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3.xml" ContentType="application/vnd.openxmlformats-officedocument.spreadsheetml.table+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tables/table4.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tables/table8.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mc:AlternateContent xmlns:mc="http://schemas.openxmlformats.org/markup-compatibility/2006">
    <mc:Choice Requires="x15">
      <x15ac:absPath xmlns:x15ac="http://schemas.microsoft.com/office/spreadsheetml/2010/11/ac" url="G:\Suprimentos\Compras\3 Planilhas Compras Estoque\"/>
    </mc:Choice>
  </mc:AlternateContent>
  <bookViews>
    <workbookView xWindow="0" yWindow="0" windowWidth="28800" windowHeight="12300"/>
  </bookViews>
  <sheets>
    <sheet name="Ponto_Ped" sheetId="1" r:id="rId1"/>
    <sheet name="Saldo" sheetId="15" r:id="rId2"/>
    <sheet name="Filtros" sheetId="12" r:id="rId3"/>
    <sheet name="Consumo_Anual" sheetId="5" state="hidden" r:id="rId4"/>
    <sheet name="Excluir_do_Estoque" sheetId="11" r:id="rId5"/>
    <sheet name="Parâmetros" sheetId="9" r:id="rId6"/>
    <sheet name="Estáticas" sheetId="10" r:id="rId7"/>
    <sheet name="Grupos" sheetId="14" r:id="rId8"/>
  </sheets>
  <functionGroups builtInGroupCount="18"/>
  <definedNames>
    <definedName name="Excel_BuiltIn__FilterDatabase_3" localSheetId="7">#REF!</definedName>
    <definedName name="Excel_BuiltIn__FilterDatabase_3">#REF!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 i="1" l="1"/>
  <c r="G7" i="1"/>
  <c r="N7" i="1"/>
  <c r="O7" i="1"/>
  <c r="K497" i="1" l="1"/>
  <c r="K493" i="1"/>
  <c r="K489" i="1"/>
  <c r="K485" i="1"/>
  <c r="K481" i="1"/>
  <c r="K477" i="1"/>
  <c r="K473" i="1"/>
  <c r="K469" i="1"/>
  <c r="K453" i="1"/>
  <c r="K449" i="1"/>
  <c r="K445" i="1"/>
  <c r="K441" i="1"/>
  <c r="K437" i="1"/>
  <c r="K433" i="1"/>
  <c r="K429" i="1"/>
  <c r="K425" i="1"/>
  <c r="K421" i="1"/>
  <c r="K417" i="1"/>
  <c r="K413" i="1"/>
  <c r="K409" i="1"/>
  <c r="K405" i="1"/>
  <c r="K401" i="1"/>
  <c r="K397" i="1"/>
  <c r="K393" i="1"/>
  <c r="K389" i="1"/>
  <c r="K385" i="1"/>
  <c r="K381" i="1"/>
  <c r="K377" i="1"/>
  <c r="K373" i="1"/>
  <c r="K369" i="1"/>
  <c r="K365" i="1"/>
  <c r="K361" i="1"/>
  <c r="K357" i="1"/>
  <c r="K353" i="1"/>
  <c r="K349" i="1"/>
  <c r="K345" i="1"/>
  <c r="K341" i="1"/>
  <c r="K337" i="1"/>
  <c r="K333" i="1"/>
  <c r="K329" i="1"/>
  <c r="K325" i="1"/>
  <c r="K321" i="1"/>
  <c r="K317" i="1"/>
  <c r="K313" i="1"/>
  <c r="K309" i="1"/>
  <c r="K305" i="1"/>
  <c r="K302" i="1"/>
  <c r="K298" i="1"/>
  <c r="K294" i="1"/>
  <c r="K290" i="1"/>
  <c r="K286" i="1"/>
  <c r="K282" i="1"/>
  <c r="K278" i="1"/>
  <c r="K274" i="1"/>
  <c r="K270" i="1"/>
  <c r="K266" i="1"/>
  <c r="K262" i="1"/>
  <c r="K258" i="1"/>
  <c r="K254" i="1"/>
  <c r="K250" i="1"/>
  <c r="K246" i="1"/>
  <c r="K242" i="1"/>
  <c r="K238" i="1"/>
  <c r="K234" i="1"/>
  <c r="K230" i="1"/>
  <c r="K226" i="1"/>
  <c r="K222" i="1"/>
  <c r="K218" i="1"/>
  <c r="K214" i="1"/>
  <c r="K210" i="1"/>
  <c r="K206" i="1"/>
  <c r="K202" i="1"/>
  <c r="K198" i="1"/>
  <c r="K194" i="1"/>
  <c r="K190" i="1"/>
  <c r="K186" i="1"/>
  <c r="K182" i="1"/>
  <c r="K178" i="1"/>
  <c r="K174" i="1"/>
  <c r="K170" i="1"/>
  <c r="K166" i="1"/>
  <c r="K162" i="1"/>
  <c r="K158" i="1"/>
  <c r="K154" i="1"/>
  <c r="K150" i="1"/>
  <c r="K5" i="1"/>
  <c r="K3" i="1"/>
  <c r="K1006" i="1"/>
  <c r="K1002" i="1"/>
  <c r="K998" i="1"/>
  <c r="K994" i="1"/>
  <c r="K990" i="1"/>
  <c r="K986" i="1"/>
  <c r="K982" i="1"/>
  <c r="K978" i="1"/>
  <c r="K974" i="1"/>
  <c r="K970" i="1"/>
  <c r="K966" i="1"/>
  <c r="K962" i="1"/>
  <c r="K958" i="1"/>
  <c r="K954" i="1"/>
  <c r="K950" i="1"/>
  <c r="K946" i="1"/>
  <c r="K942" i="1"/>
  <c r="K938" i="1"/>
  <c r="K934" i="1"/>
  <c r="K930" i="1"/>
  <c r="K926" i="1"/>
  <c r="K922" i="1"/>
  <c r="K918" i="1"/>
  <c r="K914" i="1"/>
  <c r="K910" i="1"/>
  <c r="K906" i="1"/>
  <c r="K902" i="1"/>
  <c r="K898" i="1"/>
  <c r="K894" i="1"/>
  <c r="K890" i="1"/>
  <c r="K886" i="1"/>
  <c r="K882" i="1"/>
  <c r="K878" i="1"/>
  <c r="K874" i="1"/>
  <c r="K870" i="1"/>
  <c r="K866" i="1"/>
  <c r="K862" i="1"/>
  <c r="K858" i="1"/>
  <c r="K854" i="1"/>
  <c r="K850" i="1"/>
  <c r="K846" i="1"/>
  <c r="K842" i="1"/>
  <c r="K838" i="1"/>
  <c r="K834" i="1"/>
  <c r="K830" i="1"/>
  <c r="K826" i="1"/>
  <c r="K822" i="1"/>
  <c r="K818" i="1"/>
  <c r="K814" i="1"/>
  <c r="K810" i="1"/>
  <c r="K806" i="1"/>
  <c r="K802" i="1"/>
  <c r="K798" i="1"/>
  <c r="K794" i="1"/>
  <c r="K790" i="1"/>
  <c r="K786" i="1"/>
  <c r="K779" i="1"/>
  <c r="K775" i="1"/>
  <c r="K771" i="1"/>
  <c r="K767" i="1"/>
  <c r="K763" i="1"/>
  <c r="K759" i="1"/>
  <c r="K755" i="1"/>
  <c r="K751" i="1"/>
  <c r="K747" i="1"/>
  <c r="K743" i="1"/>
  <c r="K739" i="1"/>
  <c r="K735" i="1"/>
  <c r="K731" i="1"/>
  <c r="K727" i="1"/>
  <c r="K723" i="1"/>
  <c r="K719" i="1"/>
  <c r="K715" i="1"/>
  <c r="K711" i="1"/>
  <c r="K707" i="1"/>
  <c r="K703" i="1"/>
  <c r="K699" i="1"/>
  <c r="K695" i="1"/>
  <c r="K691" i="1"/>
  <c r="K687" i="1"/>
  <c r="K683" i="1"/>
  <c r="K679" i="1"/>
  <c r="K675" i="1"/>
  <c r="K671" i="1"/>
  <c r="K1009" i="1"/>
  <c r="K1008" i="1"/>
  <c r="K1007" i="1"/>
  <c r="K1005" i="1"/>
  <c r="K1004" i="1"/>
  <c r="K1003" i="1"/>
  <c r="K1001" i="1"/>
  <c r="K1000" i="1"/>
  <c r="K999" i="1"/>
  <c r="K997" i="1"/>
  <c r="K996" i="1"/>
  <c r="K995" i="1"/>
  <c r="K993" i="1"/>
  <c r="K992" i="1"/>
  <c r="K991" i="1"/>
  <c r="K989" i="1"/>
  <c r="K988" i="1"/>
  <c r="K987" i="1"/>
  <c r="K985" i="1"/>
  <c r="K984" i="1"/>
  <c r="K983" i="1"/>
  <c r="K981" i="1"/>
  <c r="K980" i="1"/>
  <c r="K979" i="1"/>
  <c r="K977" i="1"/>
  <c r="K976" i="1"/>
  <c r="K975" i="1"/>
  <c r="K973" i="1"/>
  <c r="K972" i="1"/>
  <c r="K971" i="1"/>
  <c r="K969" i="1"/>
  <c r="K968" i="1"/>
  <c r="K967" i="1"/>
  <c r="K965" i="1"/>
  <c r="K964" i="1"/>
  <c r="K963" i="1"/>
  <c r="K961" i="1"/>
  <c r="K960" i="1"/>
  <c r="K959" i="1"/>
  <c r="K957" i="1"/>
  <c r="K956" i="1"/>
  <c r="K955" i="1"/>
  <c r="K953" i="1"/>
  <c r="K952" i="1"/>
  <c r="K951" i="1"/>
  <c r="K949" i="1"/>
  <c r="K948" i="1"/>
  <c r="K947" i="1"/>
  <c r="K945" i="1"/>
  <c r="K944" i="1"/>
  <c r="K943" i="1"/>
  <c r="K941" i="1"/>
  <c r="K940" i="1"/>
  <c r="K939" i="1"/>
  <c r="K937" i="1"/>
  <c r="K936" i="1"/>
  <c r="K935" i="1"/>
  <c r="K933" i="1"/>
  <c r="K932" i="1"/>
  <c r="K931" i="1"/>
  <c r="K929" i="1"/>
  <c r="K928" i="1"/>
  <c r="K927" i="1"/>
  <c r="K925" i="1"/>
  <c r="K924" i="1"/>
  <c r="K923" i="1"/>
  <c r="K921" i="1"/>
  <c r="K920" i="1"/>
  <c r="K919" i="1"/>
  <c r="K917" i="1"/>
  <c r="K916" i="1"/>
  <c r="K915" i="1"/>
  <c r="K913" i="1"/>
  <c r="K912" i="1"/>
  <c r="K911" i="1"/>
  <c r="K909" i="1"/>
  <c r="K908" i="1"/>
  <c r="K907" i="1"/>
  <c r="K905" i="1"/>
  <c r="K904" i="1"/>
  <c r="K903" i="1"/>
  <c r="K901" i="1"/>
  <c r="K900" i="1"/>
  <c r="K899" i="1"/>
  <c r="K897" i="1"/>
  <c r="K896" i="1"/>
  <c r="K895" i="1"/>
  <c r="K893" i="1"/>
  <c r="K892" i="1"/>
  <c r="K891" i="1"/>
  <c r="K889" i="1"/>
  <c r="K888" i="1"/>
  <c r="K887" i="1"/>
  <c r="K885" i="1"/>
  <c r="K884" i="1"/>
  <c r="K883" i="1"/>
  <c r="K881" i="1"/>
  <c r="K880" i="1"/>
  <c r="K879" i="1"/>
  <c r="K877" i="1"/>
  <c r="K876" i="1"/>
  <c r="K875" i="1"/>
  <c r="K873" i="1"/>
  <c r="K872" i="1"/>
  <c r="K871" i="1"/>
  <c r="K869" i="1"/>
  <c r="K868" i="1"/>
  <c r="K867" i="1"/>
  <c r="K865" i="1"/>
  <c r="K864" i="1"/>
  <c r="K863" i="1"/>
  <c r="K861" i="1"/>
  <c r="K860" i="1"/>
  <c r="K859" i="1"/>
  <c r="K857" i="1"/>
  <c r="K856" i="1"/>
  <c r="K855" i="1"/>
  <c r="K853" i="1"/>
  <c r="K852" i="1"/>
  <c r="K851" i="1"/>
  <c r="K849" i="1"/>
  <c r="K848" i="1"/>
  <c r="K847" i="1"/>
  <c r="K845" i="1"/>
  <c r="K844" i="1"/>
  <c r="K843" i="1"/>
  <c r="K841" i="1"/>
  <c r="K840" i="1"/>
  <c r="K839" i="1"/>
  <c r="K837" i="1"/>
  <c r="K836" i="1"/>
  <c r="K835" i="1"/>
  <c r="K833" i="1"/>
  <c r="K832" i="1"/>
  <c r="K831" i="1"/>
  <c r="K829" i="1"/>
  <c r="K828" i="1"/>
  <c r="K827" i="1"/>
  <c r="K825" i="1"/>
  <c r="K824" i="1"/>
  <c r="K823" i="1"/>
  <c r="K821" i="1"/>
  <c r="K820" i="1"/>
  <c r="K819" i="1"/>
  <c r="K817" i="1"/>
  <c r="K816" i="1"/>
  <c r="K815" i="1"/>
  <c r="K813" i="1"/>
  <c r="K812" i="1"/>
  <c r="K811" i="1"/>
  <c r="K809" i="1"/>
  <c r="K808" i="1"/>
  <c r="K807" i="1"/>
  <c r="K805" i="1"/>
  <c r="K804" i="1"/>
  <c r="K803" i="1"/>
  <c r="K801" i="1"/>
  <c r="K800" i="1"/>
  <c r="K799" i="1"/>
  <c r="K797" i="1"/>
  <c r="K796" i="1"/>
  <c r="K795" i="1"/>
  <c r="K793" i="1"/>
  <c r="K792" i="1"/>
  <c r="K791" i="1"/>
  <c r="K789" i="1"/>
  <c r="K788" i="1"/>
  <c r="K787" i="1"/>
  <c r="K785" i="1"/>
  <c r="K784" i="1"/>
  <c r="K783" i="1"/>
  <c r="K782" i="1"/>
  <c r="K781" i="1"/>
  <c r="K780" i="1"/>
  <c r="K778" i="1"/>
  <c r="K777" i="1"/>
  <c r="K776" i="1"/>
  <c r="K774" i="1"/>
  <c r="K773" i="1"/>
  <c r="K772" i="1"/>
  <c r="K770" i="1"/>
  <c r="K769" i="1"/>
  <c r="K768" i="1"/>
  <c r="K766" i="1"/>
  <c r="K765" i="1"/>
  <c r="K764" i="1"/>
  <c r="K762" i="1"/>
  <c r="K761" i="1"/>
  <c r="K760" i="1"/>
  <c r="K758" i="1"/>
  <c r="K757" i="1"/>
  <c r="K756" i="1"/>
  <c r="K754" i="1"/>
  <c r="K753" i="1"/>
  <c r="K752" i="1"/>
  <c r="K750" i="1"/>
  <c r="K749" i="1"/>
  <c r="K748" i="1"/>
  <c r="K746" i="1"/>
  <c r="K745" i="1"/>
  <c r="K744" i="1"/>
  <c r="K742" i="1"/>
  <c r="K741" i="1"/>
  <c r="K740" i="1"/>
  <c r="K738" i="1"/>
  <c r="K737" i="1"/>
  <c r="K736" i="1"/>
  <c r="K734" i="1"/>
  <c r="K733" i="1"/>
  <c r="K732" i="1"/>
  <c r="K730" i="1"/>
  <c r="K729" i="1"/>
  <c r="K728" i="1"/>
  <c r="K726" i="1"/>
  <c r="K725" i="1"/>
  <c r="K724" i="1"/>
  <c r="K722" i="1"/>
  <c r="K721" i="1"/>
  <c r="K720" i="1"/>
  <c r="K718" i="1"/>
  <c r="K717" i="1"/>
  <c r="K716" i="1"/>
  <c r="K714" i="1"/>
  <c r="K713" i="1"/>
  <c r="K712" i="1"/>
  <c r="K710" i="1"/>
  <c r="K709" i="1"/>
  <c r="K708" i="1"/>
  <c r="K706" i="1"/>
  <c r="K705" i="1"/>
  <c r="K704" i="1"/>
  <c r="K702" i="1"/>
  <c r="K701" i="1"/>
  <c r="K700" i="1"/>
  <c r="K698" i="1"/>
  <c r="K697" i="1"/>
  <c r="K696" i="1"/>
  <c r="K694" i="1"/>
  <c r="K693" i="1"/>
  <c r="K692" i="1"/>
  <c r="K690" i="1"/>
  <c r="K689" i="1"/>
  <c r="K688" i="1"/>
  <c r="K686" i="1"/>
  <c r="K685" i="1"/>
  <c r="K684" i="1"/>
  <c r="K682" i="1"/>
  <c r="K681" i="1"/>
  <c r="K680" i="1"/>
  <c r="K678" i="1"/>
  <c r="K677" i="1"/>
  <c r="K676" i="1"/>
  <c r="K674" i="1"/>
  <c r="K673" i="1"/>
  <c r="K672"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6" i="1"/>
  <c r="K495" i="1"/>
  <c r="K494" i="1"/>
  <c r="K492" i="1"/>
  <c r="K491" i="1"/>
  <c r="K490" i="1"/>
  <c r="K488" i="1"/>
  <c r="K487" i="1"/>
  <c r="K486" i="1"/>
  <c r="K484" i="1"/>
  <c r="K483" i="1"/>
  <c r="K482" i="1"/>
  <c r="K480" i="1"/>
  <c r="K479" i="1"/>
  <c r="K478" i="1"/>
  <c r="K476" i="1"/>
  <c r="K475" i="1"/>
  <c r="K474" i="1"/>
  <c r="K472" i="1"/>
  <c r="K471" i="1"/>
  <c r="K470" i="1"/>
  <c r="K468" i="1"/>
  <c r="K467" i="1"/>
  <c r="K466" i="1"/>
  <c r="K465" i="1"/>
  <c r="K464" i="1"/>
  <c r="K463" i="1"/>
  <c r="K462" i="1"/>
  <c r="K461" i="1"/>
  <c r="K460" i="1"/>
  <c r="K459" i="1"/>
  <c r="K458" i="1"/>
  <c r="K457" i="1"/>
  <c r="K456" i="1"/>
  <c r="K455" i="1"/>
  <c r="K454" i="1"/>
  <c r="K452" i="1"/>
  <c r="K451" i="1"/>
  <c r="K450" i="1"/>
  <c r="K448" i="1"/>
  <c r="K447" i="1"/>
  <c r="K446" i="1"/>
  <c r="K444" i="1"/>
  <c r="K443" i="1"/>
  <c r="K442" i="1"/>
  <c r="K440" i="1"/>
  <c r="K439" i="1"/>
  <c r="K438" i="1"/>
  <c r="K436" i="1"/>
  <c r="K435" i="1"/>
  <c r="K434" i="1"/>
  <c r="K432" i="1"/>
  <c r="K431" i="1"/>
  <c r="K430" i="1"/>
  <c r="K428" i="1"/>
  <c r="K427" i="1"/>
  <c r="K426" i="1"/>
  <c r="K424" i="1"/>
  <c r="K423" i="1"/>
  <c r="K422" i="1"/>
  <c r="K420" i="1"/>
  <c r="K419" i="1"/>
  <c r="K418" i="1"/>
  <c r="K416" i="1"/>
  <c r="K415" i="1"/>
  <c r="K414" i="1"/>
  <c r="K412" i="1"/>
  <c r="K411" i="1"/>
  <c r="K410" i="1"/>
  <c r="K408" i="1"/>
  <c r="K407" i="1"/>
  <c r="K406" i="1"/>
  <c r="K404" i="1"/>
  <c r="K403" i="1"/>
  <c r="K402" i="1"/>
  <c r="K400" i="1"/>
  <c r="K399" i="1"/>
  <c r="K398" i="1"/>
  <c r="K396" i="1"/>
  <c r="K395" i="1"/>
  <c r="K394" i="1"/>
  <c r="K392" i="1"/>
  <c r="K391" i="1"/>
  <c r="K390" i="1"/>
  <c r="K388" i="1"/>
  <c r="K387" i="1"/>
  <c r="K386" i="1"/>
  <c r="K384" i="1"/>
  <c r="K383" i="1"/>
  <c r="K382" i="1"/>
  <c r="K380" i="1"/>
  <c r="K379" i="1"/>
  <c r="K378" i="1"/>
  <c r="K376" i="1"/>
  <c r="K375" i="1"/>
  <c r="K374" i="1"/>
  <c r="K372" i="1"/>
  <c r="K371" i="1"/>
  <c r="K370" i="1"/>
  <c r="K368" i="1"/>
  <c r="K367" i="1"/>
  <c r="K366" i="1"/>
  <c r="K364" i="1"/>
  <c r="K363" i="1"/>
  <c r="K362" i="1"/>
  <c r="K360" i="1"/>
  <c r="K359" i="1"/>
  <c r="K358" i="1"/>
  <c r="K356" i="1"/>
  <c r="K355" i="1"/>
  <c r="K354" i="1"/>
  <c r="K352" i="1"/>
  <c r="K351" i="1"/>
  <c r="K350" i="1"/>
  <c r="K348" i="1"/>
  <c r="K347" i="1"/>
  <c r="K346" i="1"/>
  <c r="K344" i="1"/>
  <c r="K343" i="1"/>
  <c r="K342" i="1"/>
  <c r="K340" i="1"/>
  <c r="K339" i="1"/>
  <c r="K338" i="1"/>
  <c r="K336" i="1"/>
  <c r="K335" i="1"/>
  <c r="K334" i="1"/>
  <c r="K332" i="1"/>
  <c r="K331" i="1"/>
  <c r="K330" i="1"/>
  <c r="K328" i="1"/>
  <c r="K327" i="1"/>
  <c r="K326" i="1"/>
  <c r="K324" i="1"/>
  <c r="K323" i="1"/>
  <c r="K322" i="1"/>
  <c r="K320" i="1"/>
  <c r="K319" i="1"/>
  <c r="K318" i="1"/>
  <c r="K316" i="1"/>
  <c r="K315" i="1"/>
  <c r="K314" i="1"/>
  <c r="K312" i="1"/>
  <c r="K311" i="1"/>
  <c r="K310" i="1"/>
  <c r="K308" i="1"/>
  <c r="K307" i="1"/>
  <c r="K306" i="1"/>
  <c r="K304" i="1"/>
  <c r="K303" i="1"/>
  <c r="K301" i="1"/>
  <c r="K300" i="1"/>
  <c r="K299" i="1"/>
  <c r="K297" i="1"/>
  <c r="K296" i="1"/>
  <c r="K295" i="1"/>
  <c r="K293" i="1"/>
  <c r="K292" i="1"/>
  <c r="K291" i="1"/>
  <c r="K289" i="1"/>
  <c r="K288" i="1"/>
  <c r="K287" i="1"/>
  <c r="K285" i="1"/>
  <c r="K284" i="1"/>
  <c r="K283" i="1"/>
  <c r="K281" i="1"/>
  <c r="K280" i="1"/>
  <c r="K279" i="1"/>
  <c r="K277" i="1"/>
  <c r="K276" i="1"/>
  <c r="K275" i="1"/>
  <c r="K273" i="1"/>
  <c r="K272" i="1"/>
  <c r="K271" i="1"/>
  <c r="K269" i="1"/>
  <c r="K268" i="1"/>
  <c r="K267" i="1"/>
  <c r="K265" i="1"/>
  <c r="K264" i="1"/>
  <c r="K263" i="1"/>
  <c r="K261" i="1"/>
  <c r="K260" i="1"/>
  <c r="K259" i="1"/>
  <c r="K257" i="1"/>
  <c r="K256" i="1"/>
  <c r="K255" i="1"/>
  <c r="K253" i="1"/>
  <c r="K252" i="1"/>
  <c r="K251" i="1"/>
  <c r="K249" i="1"/>
  <c r="K248" i="1"/>
  <c r="K247" i="1"/>
  <c r="K245" i="1"/>
  <c r="K244" i="1"/>
  <c r="K243" i="1"/>
  <c r="K241" i="1"/>
  <c r="K240" i="1"/>
  <c r="K239" i="1"/>
  <c r="K237" i="1"/>
  <c r="K236" i="1"/>
  <c r="K235" i="1"/>
  <c r="K233" i="1"/>
  <c r="K232" i="1"/>
  <c r="K231" i="1"/>
  <c r="K229" i="1"/>
  <c r="K228" i="1"/>
  <c r="K227" i="1"/>
  <c r="K225" i="1"/>
  <c r="K224" i="1"/>
  <c r="K223" i="1"/>
  <c r="K221" i="1"/>
  <c r="K220" i="1"/>
  <c r="K219" i="1"/>
  <c r="K217" i="1"/>
  <c r="K216" i="1"/>
  <c r="K215" i="1"/>
  <c r="K213" i="1"/>
  <c r="K212" i="1"/>
  <c r="K211" i="1"/>
  <c r="K209" i="1"/>
  <c r="K208" i="1"/>
  <c r="K207" i="1"/>
  <c r="K205" i="1"/>
  <c r="K204" i="1"/>
  <c r="K203" i="1"/>
  <c r="K201" i="1"/>
  <c r="K200" i="1"/>
  <c r="K199" i="1"/>
  <c r="K197" i="1"/>
  <c r="K196" i="1"/>
  <c r="K195" i="1"/>
  <c r="K193" i="1"/>
  <c r="K192" i="1"/>
  <c r="K191" i="1"/>
  <c r="K189" i="1"/>
  <c r="K188" i="1"/>
  <c r="K187" i="1"/>
  <c r="K185" i="1"/>
  <c r="K184" i="1"/>
  <c r="K183" i="1"/>
  <c r="K181" i="1"/>
  <c r="K180" i="1"/>
  <c r="K179" i="1"/>
  <c r="K177" i="1"/>
  <c r="K176" i="1"/>
  <c r="K175" i="1"/>
  <c r="K173" i="1"/>
  <c r="K172" i="1"/>
  <c r="K171" i="1"/>
  <c r="K169" i="1"/>
  <c r="K168" i="1"/>
  <c r="K167" i="1"/>
  <c r="K165" i="1"/>
  <c r="K164" i="1"/>
  <c r="K163" i="1"/>
  <c r="K161" i="1"/>
  <c r="K160" i="1"/>
  <c r="K159" i="1"/>
  <c r="K157" i="1"/>
  <c r="K156" i="1"/>
  <c r="K155" i="1"/>
  <c r="K153" i="1"/>
  <c r="K152" i="1"/>
  <c r="K151"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6" i="1"/>
  <c r="K4" i="1"/>
  <c r="F710" i="1" l="1"/>
  <c r="F31" i="1"/>
  <c r="F30" i="1"/>
  <c r="F864" i="1"/>
  <c r="F466" i="1"/>
  <c r="F469" i="1"/>
  <c r="F627" i="1"/>
  <c r="F678" i="1"/>
  <c r="F824" i="1"/>
  <c r="F661" i="1"/>
  <c r="F662" i="1"/>
  <c r="F663" i="1"/>
  <c r="F664" i="1"/>
  <c r="F665" i="1"/>
  <c r="F589" i="1"/>
  <c r="F590" i="1"/>
  <c r="F588" i="1"/>
  <c r="F587" i="1"/>
  <c r="F833" i="1"/>
  <c r="F654" i="1"/>
  <c r="F655" i="1"/>
  <c r="F656" i="1"/>
  <c r="F658" i="1"/>
  <c r="F834" i="1"/>
  <c r="F659" i="1"/>
  <c r="F672" i="1"/>
  <c r="F798" i="1"/>
  <c r="F252" i="1"/>
  <c r="F657" i="1"/>
  <c r="F197" i="1"/>
  <c r="F748" i="1"/>
  <c r="F825" i="1"/>
  <c r="F787" i="1"/>
  <c r="F872" i="1"/>
  <c r="F285" i="1"/>
  <c r="F35" i="1"/>
  <c r="F877" i="1"/>
  <c r="F528" i="1"/>
  <c r="F527" i="1"/>
  <c r="F467" i="1"/>
  <c r="F468" i="1"/>
  <c r="F34" i="1"/>
  <c r="F563" i="1"/>
  <c r="F564" i="1"/>
  <c r="F120" i="1"/>
  <c r="F121" i="1"/>
  <c r="F129" i="1"/>
  <c r="F38" i="1"/>
  <c r="F470" i="1"/>
  <c r="F369" i="1"/>
  <c r="F435" i="1"/>
  <c r="F432" i="1"/>
  <c r="F457" i="1"/>
  <c r="F498" i="1"/>
  <c r="F921" i="1"/>
  <c r="F128" i="1"/>
  <c r="F4" i="1"/>
  <c r="F272" i="1"/>
  <c r="F920" i="1"/>
  <c r="F525" i="1"/>
  <c r="F33" i="1"/>
  <c r="F331" i="1"/>
  <c r="F835" i="1"/>
  <c r="F727" i="1"/>
  <c r="F641" i="1"/>
  <c r="F473" i="1"/>
  <c r="F130" i="1"/>
  <c r="F26" i="1"/>
  <c r="F562" i="1"/>
  <c r="F419" i="1"/>
  <c r="F711" i="1"/>
  <c r="F37" i="1"/>
  <c r="F36" i="1"/>
  <c r="F784" i="1"/>
  <c r="F637" i="1"/>
  <c r="F119" i="1"/>
  <c r="F386" i="1"/>
  <c r="F979" i="1"/>
  <c r="F471" i="1"/>
  <c r="F831" i="1"/>
  <c r="F358" i="1"/>
  <c r="F695" i="1"/>
  <c r="F472" i="1"/>
  <c r="F250" i="1"/>
  <c r="F251" i="1"/>
  <c r="F249" i="1"/>
  <c r="F248" i="1"/>
  <c r="F651" i="1"/>
  <c r="F174" i="1"/>
  <c r="F210" i="1"/>
  <c r="F234" i="1"/>
  <c r="F3" i="1"/>
  <c r="F783" i="1"/>
  <c r="F879" i="1"/>
  <c r="F996" i="1"/>
  <c r="F929" i="1"/>
  <c r="F951" i="1"/>
  <c r="F19" i="1"/>
  <c r="F882" i="1"/>
  <c r="F883" i="1"/>
  <c r="F988" i="1"/>
  <c r="F953" i="1"/>
  <c r="F997" i="1"/>
  <c r="F880" i="1"/>
  <c r="F881" i="1"/>
  <c r="F998" i="1"/>
  <c r="F885" i="1"/>
  <c r="F329" i="1"/>
  <c r="F884" i="1"/>
  <c r="F886" i="1"/>
  <c r="F887" i="1"/>
  <c r="F888" i="1"/>
  <c r="F899" i="1"/>
  <c r="F889" i="1"/>
  <c r="F937" i="1"/>
  <c r="F954" i="1"/>
  <c r="F955" i="1"/>
  <c r="F910" i="1"/>
  <c r="F911" i="1"/>
  <c r="F912" i="1"/>
  <c r="F8" i="1"/>
  <c r="F18" i="1"/>
  <c r="F20" i="1"/>
  <c r="F914" i="1"/>
  <c r="F915" i="1"/>
  <c r="F463" i="1"/>
  <c r="F21" i="1"/>
  <c r="F373" i="1"/>
  <c r="F421" i="1"/>
  <c r="F930" i="1"/>
  <c r="F950" i="1"/>
  <c r="F931" i="1"/>
  <c r="F932" i="1"/>
  <c r="F933" i="1"/>
  <c r="F118" i="1"/>
  <c r="F488" i="1"/>
  <c r="F487" i="1"/>
  <c r="F219" i="1"/>
  <c r="F520" i="1"/>
  <c r="F22" i="1"/>
  <c r="F24" i="1"/>
  <c r="F25" i="1"/>
  <c r="F927" i="1"/>
  <c r="F926" i="1"/>
  <c r="F23" i="1"/>
  <c r="F117" i="1"/>
  <c r="F707" i="1"/>
  <c r="F517" i="1"/>
  <c r="F357" i="1"/>
  <c r="F14" i="1"/>
  <c r="F17" i="1"/>
  <c r="F175" i="1"/>
  <c r="F13" i="1"/>
  <c r="F338" i="1"/>
  <c r="F177" i="1"/>
  <c r="F15" i="1"/>
  <c r="F176" i="1"/>
  <c r="F16" i="1"/>
  <c r="F276" i="1"/>
  <c r="F999" i="1"/>
  <c r="F913" i="1"/>
  <c r="F1008" i="1"/>
  <c r="F83" i="1"/>
  <c r="F900" i="1"/>
  <c r="F901" i="1"/>
  <c r="F894" i="1"/>
  <c r="F10" i="1"/>
  <c r="F895" i="1"/>
  <c r="F896" i="1"/>
  <c r="F934" i="1"/>
  <c r="F935" i="1"/>
  <c r="F327" i="1"/>
  <c r="F952" i="1"/>
  <c r="F897" i="1"/>
  <c r="F936" i="1"/>
  <c r="F109" i="1"/>
  <c r="F169" i="1"/>
  <c r="F561" i="1"/>
  <c r="F776" i="1"/>
  <c r="F482" i="1"/>
  <c r="F483" i="1"/>
  <c r="F484" i="1"/>
  <c r="F485" i="1"/>
  <c r="F690" i="1"/>
  <c r="F497" i="1"/>
  <c r="F496" i="1"/>
  <c r="F171" i="1"/>
  <c r="F993" i="1"/>
  <c r="F323" i="1"/>
  <c r="F228" i="1"/>
  <c r="F236" i="1"/>
  <c r="F229" i="1"/>
  <c r="F230" i="1"/>
  <c r="F237" i="1"/>
  <c r="F231" i="1"/>
  <c r="F571" i="1"/>
  <c r="F572" i="1"/>
  <c r="F573" i="1"/>
  <c r="F574" i="1"/>
  <c r="F575" i="1"/>
  <c r="F576" i="1"/>
  <c r="F184" i="1"/>
  <c r="F578" i="1"/>
  <c r="F579" i="1"/>
  <c r="F580" i="1"/>
  <c r="F581" i="1"/>
  <c r="F582" i="1"/>
  <c r="F949" i="1"/>
  <c r="F389" i="1"/>
  <c r="F254" i="1"/>
  <c r="F242" i="1"/>
  <c r="F256" i="1"/>
  <c r="F253" i="1"/>
  <c r="F255" i="1"/>
  <c r="F666" i="1"/>
  <c r="F566" i="1"/>
  <c r="F904" i="1"/>
  <c r="F903" i="1"/>
  <c r="F434" i="1"/>
  <c r="F281" i="1"/>
  <c r="F816" i="1"/>
  <c r="F277" i="1"/>
  <c r="F280" i="1"/>
  <c r="F278" i="1"/>
  <c r="F279" i="1"/>
  <c r="F446" i="1"/>
  <c r="F179" i="1"/>
  <c r="F291" i="1"/>
  <c r="F180" i="1"/>
  <c r="F181" i="1"/>
  <c r="F928" i="1"/>
  <c r="F29" i="1"/>
  <c r="F222" i="1"/>
  <c r="F28" i="1"/>
  <c r="F223" i="1"/>
  <c r="F328" i="1"/>
  <c r="F941" i="1"/>
  <c r="F942" i="1"/>
  <c r="F943" i="1"/>
  <c r="F944" i="1"/>
  <c r="F945" i="1"/>
  <c r="F946" i="1"/>
  <c r="F947" i="1"/>
  <c r="F948" i="1"/>
  <c r="F225" i="1"/>
  <c r="F282" i="1"/>
  <c r="F227" i="1"/>
  <c r="F292" i="1"/>
  <c r="F226" i="1"/>
  <c r="F869" i="1"/>
  <c r="F898" i="1"/>
  <c r="F388" i="1"/>
  <c r="F569" i="1"/>
  <c r="F568" i="1"/>
  <c r="F567" i="1"/>
  <c r="F424" i="1"/>
  <c r="F178" i="1"/>
  <c r="F27" i="1"/>
  <c r="F5" i="1"/>
  <c r="F391" i="1"/>
  <c r="F604" i="1"/>
  <c r="F602" i="1"/>
  <c r="F603" i="1"/>
  <c r="F6" i="1"/>
  <c r="F12" i="1"/>
  <c r="F9" i="1"/>
  <c r="F11" i="1"/>
  <c r="F501" i="1"/>
  <c r="F902" i="1"/>
  <c r="F500" i="1"/>
  <c r="F837" i="1"/>
  <c r="F848" i="1"/>
  <c r="F849" i="1"/>
  <c r="F865" i="1"/>
  <c r="F314" i="1"/>
  <c r="F642" i="1"/>
  <c r="F780" i="1"/>
  <c r="F875" i="1"/>
  <c r="F679" i="1"/>
  <c r="F682" i="1"/>
  <c r="F680" i="1"/>
  <c r="F681" i="1"/>
  <c r="F693" i="1"/>
  <c r="F957" i="1"/>
  <c r="F958" i="1"/>
  <c r="F39" i="1"/>
  <c r="F131" i="1"/>
  <c r="F258" i="1"/>
  <c r="F122" i="1"/>
  <c r="F870" i="1"/>
  <c r="F807" i="1"/>
  <c r="F165" i="1"/>
  <c r="F297" i="1"/>
  <c r="F235" i="1"/>
  <c r="F290" i="1"/>
  <c r="F617" i="1"/>
  <c r="F101" i="1"/>
  <c r="F102" i="1"/>
  <c r="F515" i="1"/>
  <c r="F516" i="1"/>
  <c r="F332" i="1"/>
  <c r="F149" i="1"/>
  <c r="F777" i="1"/>
  <c r="F778" i="1"/>
  <c r="F427" i="1"/>
  <c r="F428" i="1"/>
  <c r="F1009" i="1"/>
  <c r="F905" i="1"/>
  <c r="F667" i="1"/>
  <c r="F1007" i="1"/>
  <c r="F220" i="1"/>
  <c r="F85" i="1"/>
  <c r="F264" i="1"/>
  <c r="F106" i="1"/>
  <c r="F97" i="1"/>
  <c r="F191" i="1"/>
  <c r="F98" i="1"/>
  <c r="F523" i="1"/>
  <c r="F127" i="1"/>
  <c r="F257" i="1"/>
  <c r="F524" i="1"/>
  <c r="F378" i="1"/>
  <c r="F342" i="1"/>
  <c r="F343" i="1"/>
  <c r="F893" i="1"/>
  <c r="F917" i="1"/>
  <c r="F916" i="1"/>
  <c r="F334" i="1"/>
  <c r="F747" i="1"/>
  <c r="F317" i="1"/>
  <c r="F746" i="1"/>
  <c r="F447" i="1"/>
  <c r="F683" i="1"/>
  <c r="F684" i="1"/>
  <c r="F963" i="1"/>
  <c r="F964" i="1"/>
  <c r="F965" i="1"/>
  <c r="F966" i="1"/>
  <c r="F744" i="1"/>
  <c r="F341" i="1"/>
  <c r="F362" i="1"/>
  <c r="F823" i="1"/>
  <c r="F803" i="1"/>
  <c r="F822" i="1"/>
  <c r="F745" i="1"/>
  <c r="F774" i="1"/>
  <c r="F775" i="1"/>
  <c r="F960" i="1"/>
  <c r="F961" i="1"/>
  <c r="F962" i="1"/>
  <c r="F599" i="1"/>
  <c r="F871" i="1"/>
  <c r="F550" i="1"/>
  <c r="F246" i="1"/>
  <c r="F72" i="1"/>
  <c r="F247" i="1"/>
  <c r="F296" i="1"/>
  <c r="F763" i="1"/>
  <c r="F762" i="1"/>
  <c r="F321" i="1"/>
  <c r="F476" i="1"/>
  <c r="F335" i="1"/>
  <c r="F330" i="1"/>
  <c r="F359" i="1"/>
  <c r="F360" i="1"/>
  <c r="F785" i="1"/>
  <c r="F367" i="1"/>
  <c r="F410" i="1"/>
  <c r="F925" i="1"/>
  <c r="F489" i="1"/>
  <c r="F166" i="1"/>
  <c r="F919" i="1"/>
  <c r="F836" i="1"/>
  <c r="F387" i="1"/>
  <c r="F908" i="1"/>
  <c r="F100" i="1"/>
  <c r="F273" i="1"/>
  <c r="F909" i="1"/>
  <c r="F474" i="1"/>
  <c r="F475" i="1"/>
  <c r="F448" i="1"/>
  <c r="F481" i="1"/>
  <c r="F742" i="1"/>
  <c r="F652" i="1"/>
  <c r="F370" i="1"/>
  <c r="F445" i="1"/>
  <c r="F689" i="1"/>
  <c r="F139" i="1"/>
  <c r="F876" i="1"/>
  <c r="F491" i="1"/>
  <c r="F668" i="1"/>
  <c r="F703" i="1"/>
  <c r="F704" i="1"/>
  <c r="F705" i="1"/>
  <c r="F706" i="1"/>
  <c r="F551" i="1"/>
  <c r="F552" i="1"/>
  <c r="F553" i="1"/>
  <c r="F669" i="1"/>
  <c r="F866" i="1"/>
  <c r="F322" i="1"/>
  <c r="F300" i="1"/>
  <c r="F595" i="1"/>
  <c r="F519" i="1"/>
  <c r="F518" i="1"/>
  <c r="F302" i="1"/>
  <c r="F554" i="1"/>
  <c r="F677" i="1"/>
  <c r="F616" i="1"/>
  <c r="F577" i="1"/>
  <c r="F878" i="1"/>
  <c r="F873" i="1"/>
  <c r="F426" i="1"/>
  <c r="F676" i="1"/>
  <c r="F675" i="1"/>
  <c r="F570" i="1"/>
  <c r="F477" i="1"/>
  <c r="F418" i="1"/>
  <c r="F845" i="1"/>
  <c r="F847" i="1"/>
  <c r="F851" i="1"/>
  <c r="F423" i="1"/>
  <c r="F846" i="1"/>
  <c r="F843" i="1"/>
  <c r="F614" i="1"/>
  <c r="F586" i="1"/>
  <c r="F643" i="1"/>
  <c r="F644" i="1"/>
  <c r="F645" i="1"/>
  <c r="F646" i="1"/>
  <c r="F660" i="1"/>
  <c r="F673" i="1"/>
  <c r="F597" i="1"/>
  <c r="F633" i="1"/>
  <c r="F647" i="1"/>
  <c r="F692" i="1"/>
  <c r="F850" i="1"/>
  <c r="F420" i="1"/>
  <c r="F732" i="1"/>
  <c r="F733" i="1"/>
  <c r="F720" i="1"/>
  <c r="F68" i="1"/>
  <c r="F721" i="1"/>
  <c r="F148" i="1"/>
  <c r="F69" i="1"/>
  <c r="F736" i="1"/>
  <c r="F735" i="1"/>
  <c r="F734" i="1"/>
  <c r="F326" i="1"/>
  <c r="F694" i="1"/>
  <c r="F433" i="1"/>
  <c r="F756" i="1"/>
  <c r="F716" i="1"/>
  <c r="F789" i="1"/>
  <c r="F810" i="1"/>
  <c r="F858" i="1"/>
  <c r="F715" i="1"/>
  <c r="F809" i="1"/>
  <c r="F757" i="1"/>
  <c r="F859" i="1"/>
  <c r="F892" i="1"/>
  <c r="F790" i="1"/>
  <c r="F700" i="1"/>
  <c r="F738" i="1"/>
  <c r="F717" i="1"/>
  <c r="F811" i="1"/>
  <c r="F812" i="1"/>
  <c r="F615" i="1"/>
  <c r="F608" i="1"/>
  <c r="F819" i="1"/>
  <c r="F632" i="1"/>
  <c r="F890" i="1"/>
  <c r="F891" i="1"/>
  <c r="F559" i="1"/>
  <c r="F560" i="1"/>
  <c r="F436" i="1"/>
  <c r="F286" i="1"/>
  <c r="F416" i="1"/>
  <c r="F393" i="1"/>
  <c r="F319" i="1"/>
  <c r="F565" i="1"/>
  <c r="F639" i="1"/>
  <c r="F451" i="1"/>
  <c r="F453" i="1"/>
  <c r="F450" i="1"/>
  <c r="F452" i="1"/>
  <c r="F594" i="1"/>
  <c r="F529" i="1"/>
  <c r="F530" i="1"/>
  <c r="F531" i="1"/>
  <c r="F532" i="1"/>
  <c r="F533" i="1"/>
  <c r="F534" i="1"/>
  <c r="F535" i="1"/>
  <c r="F541" i="1"/>
  <c r="F536" i="1"/>
  <c r="F544" i="1"/>
  <c r="F545" i="1"/>
  <c r="F537" i="1"/>
  <c r="F538" i="1"/>
  <c r="F539" i="1"/>
  <c r="F540" i="1"/>
  <c r="F542" i="1"/>
  <c r="F543" i="1"/>
  <c r="F713" i="1"/>
  <c r="F635" i="1"/>
  <c r="F634" i="1"/>
  <c r="F714" i="1"/>
  <c r="F861" i="1"/>
  <c r="F860" i="1"/>
  <c r="F696" i="1"/>
  <c r="F583" i="1"/>
  <c r="F584" i="1"/>
  <c r="F585" i="1"/>
  <c r="F636" i="1"/>
  <c r="F649" i="1"/>
  <c r="F739" i="1"/>
  <c r="F311" i="1"/>
  <c r="F310" i="1"/>
  <c r="F135" i="1"/>
  <c r="F922" i="1"/>
  <c r="F697" i="1"/>
  <c r="F725" i="1"/>
  <c r="F751" i="1"/>
  <c r="F743" i="1"/>
  <c r="F67" i="1"/>
  <c r="F768" i="1"/>
  <c r="F749" i="1"/>
  <c r="F750" i="1"/>
  <c r="F350" i="1"/>
  <c r="F349" i="1"/>
  <c r="F606" i="1"/>
  <c r="F686" i="1"/>
  <c r="F685" i="1"/>
  <c r="F134" i="1"/>
  <c r="F795" i="1"/>
  <c r="F863" i="1"/>
  <c r="F380" i="1"/>
  <c r="F136" i="1"/>
  <c r="F137" i="1"/>
  <c r="F70" i="1"/>
  <c r="F712" i="1"/>
  <c r="F288" i="1"/>
  <c r="F855" i="1"/>
  <c r="F724" i="1"/>
  <c r="F854" i="1"/>
  <c r="F853" i="1"/>
  <c r="F348" i="1"/>
  <c r="F838" i="1"/>
  <c r="F146" i="1"/>
  <c r="F150" i="1"/>
  <c r="F857" i="1"/>
  <c r="F856" i="1"/>
  <c r="F145" i="1"/>
  <c r="F458" i="1"/>
  <c r="F147" i="1"/>
  <c r="F151" i="1"/>
  <c r="F152" i="1"/>
  <c r="F154" i="1"/>
  <c r="F155" i="1"/>
  <c r="F153" i="1"/>
  <c r="F156" i="1"/>
  <c r="F737" i="1"/>
  <c r="F740" i="1"/>
  <c r="F718" i="1"/>
  <c r="F719" i="1"/>
  <c r="F640" i="1"/>
  <c r="F157" i="1"/>
  <c r="F158" i="1"/>
  <c r="F162" i="1"/>
  <c r="F159" i="1"/>
  <c r="F160" i="1"/>
  <c r="F161" i="1"/>
  <c r="F163" i="1"/>
  <c r="F781" i="1"/>
  <c r="F767" i="1"/>
  <c r="F728" i="1"/>
  <c r="F731" i="1"/>
  <c r="F729" i="1"/>
  <c r="F730" i="1"/>
  <c r="F782" i="1"/>
  <c r="F1006" i="1"/>
  <c r="F1005" i="1"/>
  <c r="F844" i="1"/>
  <c r="F133" i="1"/>
  <c r="F138" i="1"/>
  <c r="F918" i="1"/>
  <c r="F287" i="1"/>
  <c r="F495" i="1"/>
  <c r="F478" i="1"/>
  <c r="F124" i="1"/>
  <c r="F123" i="1"/>
  <c r="F125" i="1"/>
  <c r="F701" i="1"/>
  <c r="F698" i="1"/>
  <c r="F521" i="1"/>
  <c r="F800" i="1"/>
  <c r="F337" i="1"/>
  <c r="F144" i="1"/>
  <c r="F817" i="1"/>
  <c r="F791" i="1"/>
  <c r="F792" i="1"/>
  <c r="F74" i="1"/>
  <c r="F75" i="1"/>
  <c r="F513" i="1"/>
  <c r="F522" i="1"/>
  <c r="F938" i="1"/>
  <c r="F939" i="1"/>
  <c r="F829" i="1"/>
  <c r="F73" i="1"/>
  <c r="F486" i="1"/>
  <c r="F779" i="1"/>
  <c r="F842" i="1"/>
  <c r="F793" i="1"/>
  <c r="F760" i="1"/>
  <c r="F699" i="1"/>
  <c r="F906" i="1"/>
  <c r="F907" i="1"/>
  <c r="F1000" i="1"/>
  <c r="F959" i="1"/>
  <c r="F354" i="1"/>
  <c r="F355" i="1"/>
  <c r="F263" i="1"/>
  <c r="F270" i="1"/>
  <c r="F111" i="1"/>
  <c r="F112" i="1"/>
  <c r="F115" i="1"/>
  <c r="F113" i="1"/>
  <c r="F262" i="1"/>
  <c r="F114" i="1"/>
  <c r="F425" i="1"/>
  <c r="F110" i="1"/>
  <c r="F620" i="1"/>
  <c r="F619" i="1"/>
  <c r="F622" i="1"/>
  <c r="F621" i="1"/>
  <c r="F612" i="1"/>
  <c r="F613" i="1"/>
  <c r="F796" i="1"/>
  <c r="F352" i="1"/>
  <c r="F353" i="1"/>
  <c r="F324" i="1"/>
  <c r="F377" i="1"/>
  <c r="F722" i="1"/>
  <c r="F814" i="1"/>
  <c r="F265" i="1"/>
  <c r="F46" i="1"/>
  <c r="F45" i="1"/>
  <c r="F42" i="1"/>
  <c r="F48" i="1"/>
  <c r="F50" i="1"/>
  <c r="F266" i="1"/>
  <c r="F512" i="1"/>
  <c r="F691" i="1"/>
  <c r="F839" i="1"/>
  <c r="F456" i="1"/>
  <c r="F455" i="1"/>
  <c r="F862" i="1"/>
  <c r="F164" i="1"/>
  <c r="F989" i="1"/>
  <c r="F990" i="1"/>
  <c r="F60" i="1"/>
  <c r="F313" i="1"/>
  <c r="F62" i="1"/>
  <c r="F61" i="1"/>
  <c r="F59" i="1"/>
  <c r="F992" i="1"/>
  <c r="F58" i="1"/>
  <c r="F991" i="1"/>
  <c r="F56" i="1"/>
  <c r="F241" i="1"/>
  <c r="F274" i="1"/>
  <c r="F607" i="1"/>
  <c r="F631" i="1"/>
  <c r="F592" i="1"/>
  <c r="F351" i="1"/>
  <c r="F346" i="1"/>
  <c r="F345" i="1"/>
  <c r="F65" i="1"/>
  <c r="F320" i="1"/>
  <c r="F64" i="1"/>
  <c r="F66" i="1"/>
  <c r="F384" i="1"/>
  <c r="F299" i="1"/>
  <c r="F820" i="1"/>
  <c r="F340" i="1"/>
  <c r="F405" i="1"/>
  <c r="F406" i="1"/>
  <c r="F325" i="1"/>
  <c r="F63" i="1"/>
  <c r="F442" i="1"/>
  <c r="F441" i="1"/>
  <c r="F994" i="1"/>
  <c r="F618" i="1"/>
  <c r="F173" i="1"/>
  <c r="F172" i="1"/>
  <c r="F347" i="1"/>
  <c r="F107" i="1"/>
  <c r="F108" i="1"/>
  <c r="F86" i="1"/>
  <c r="F407" i="1"/>
  <c r="F88" i="1"/>
  <c r="F372" i="1"/>
  <c r="F79" i="1"/>
  <c r="F408" i="1"/>
  <c r="F80" i="1"/>
  <c r="F383" i="1"/>
  <c r="F374" i="1"/>
  <c r="F752" i="1"/>
  <c r="F379" i="1"/>
  <c r="F269" i="1"/>
  <c r="F267" i="1"/>
  <c r="F268" i="1"/>
  <c r="F76" i="1"/>
  <c r="F77" i="1"/>
  <c r="F610" i="1"/>
  <c r="F815" i="1"/>
  <c r="F702" i="1"/>
  <c r="F140" i="1"/>
  <c r="F183" i="1"/>
  <c r="F84" i="1"/>
  <c r="F182" i="1"/>
  <c r="F940" i="1"/>
  <c r="F623" i="1"/>
  <c r="F141" i="1"/>
  <c r="F385" i="1"/>
  <c r="F638" i="1"/>
  <c r="F238" i="1"/>
  <c r="F980" i="1"/>
  <c r="F981" i="1"/>
  <c r="F995" i="1"/>
  <c r="F93" i="1"/>
  <c r="F94" i="1"/>
  <c r="F95" i="1"/>
  <c r="F723" i="1"/>
  <c r="F492" i="1"/>
  <c r="F143" i="1"/>
  <c r="F116" i="1"/>
  <c r="F298" i="1"/>
  <c r="F244" i="1"/>
  <c r="F261" i="1"/>
  <c r="F260" i="1"/>
  <c r="F243" i="1"/>
  <c r="F92" i="1"/>
  <c r="F91" i="1"/>
  <c r="F90" i="1"/>
  <c r="F741" i="1"/>
  <c r="F510" i="1"/>
  <c r="F415" i="1"/>
  <c r="F508" i="1"/>
  <c r="F505" i="1"/>
  <c r="F506" i="1"/>
  <c r="F507" i="1"/>
  <c r="F142" i="1"/>
  <c r="F344" i="1"/>
  <c r="F509" i="1"/>
  <c r="F494" i="1"/>
  <c r="F650" i="1"/>
  <c r="F593" i="1"/>
  <c r="F284" i="1"/>
  <c r="F336" i="1"/>
  <c r="F956" i="1"/>
  <c r="F316" i="1"/>
  <c r="F312" i="1"/>
  <c r="F104" i="1"/>
  <c r="F105" i="1"/>
  <c r="F832" i="1"/>
  <c r="F558" i="1"/>
  <c r="F971" i="1"/>
  <c r="F972" i="1"/>
  <c r="F973" i="1"/>
  <c r="F974" i="1"/>
  <c r="F975" i="1"/>
  <c r="F818" i="1"/>
  <c r="F556" i="1"/>
  <c r="F557" i="1"/>
  <c r="F821" i="1"/>
  <c r="F548" i="1"/>
  <c r="F394" i="1"/>
  <c r="F221" i="1"/>
  <c r="F605" i="1"/>
  <c r="F71" i="1"/>
  <c r="F240" i="1"/>
  <c r="F193" i="1"/>
  <c r="F194" i="1"/>
  <c r="F195" i="1"/>
  <c r="F196" i="1"/>
  <c r="F126" i="1"/>
  <c r="F211" i="1"/>
  <c r="F333" i="1"/>
  <c r="F307" i="1"/>
  <c r="F808" i="1"/>
  <c r="F212" i="1"/>
  <c r="F213" i="1"/>
  <c r="F214" i="1"/>
  <c r="F215" i="1"/>
  <c r="F216" i="1"/>
  <c r="F96" i="1"/>
  <c r="F271" i="1"/>
  <c r="F978" i="1"/>
  <c r="F977" i="1"/>
  <c r="F923" i="1"/>
  <c r="F688" i="1"/>
  <c r="F687" i="1"/>
  <c r="F465" i="1"/>
  <c r="F293" i="1"/>
  <c r="F294" i="1"/>
  <c r="F295" i="1"/>
  <c r="F504" i="1"/>
  <c r="F874" i="1"/>
  <c r="F480" i="1"/>
  <c r="F648" i="1"/>
  <c r="F755" i="1"/>
  <c r="F827" i="1"/>
  <c r="F828" i="1"/>
  <c r="F976" i="1"/>
  <c r="F479" i="1"/>
  <c r="F399" i="1"/>
  <c r="F208" i="1"/>
  <c r="F761" i="1"/>
  <c r="F826" i="1"/>
  <c r="F444" i="1"/>
  <c r="F443" i="1"/>
  <c r="F813" i="1"/>
  <c r="F549" i="1"/>
  <c r="F766" i="1"/>
  <c r="F674" i="1"/>
  <c r="F805" i="1"/>
  <c r="F804" i="1"/>
  <c r="F806" i="1"/>
  <c r="F765" i="1"/>
  <c r="F454" i="1"/>
  <c r="F366" i="1"/>
  <c r="F371" i="1"/>
  <c r="F397" i="1"/>
  <c r="F398" i="1"/>
  <c r="F382" i="1"/>
  <c r="F764" i="1"/>
  <c r="F301" i="1"/>
  <c r="F600" i="1"/>
  <c r="F601" i="1"/>
  <c r="F625" i="1"/>
  <c r="F628" i="1"/>
  <c r="F624" i="1"/>
  <c r="F626" i="1"/>
  <c r="F375" i="1"/>
  <c r="F376" i="1"/>
  <c r="F395" i="1"/>
  <c r="F396" i="1"/>
  <c r="F464" i="1"/>
  <c r="F400" i="1"/>
  <c r="F401" i="1"/>
  <c r="F413" i="1"/>
  <c r="F414" i="1"/>
  <c r="F402" i="1"/>
  <c r="F409" i="1"/>
  <c r="F629" i="1"/>
  <c r="F630" i="1"/>
  <c r="F758" i="1"/>
  <c r="F392" i="1"/>
  <c r="F417" i="1"/>
  <c r="F968" i="1"/>
  <c r="F969" i="1"/>
  <c r="F192" i="1"/>
  <c r="F339" i="1"/>
  <c r="F970" i="1"/>
  <c r="F201" i="1"/>
  <c r="F209" i="1"/>
  <c r="F202" i="1"/>
  <c r="F203" i="1"/>
  <c r="F204" i="1"/>
  <c r="F205" i="1"/>
  <c r="F206" i="1"/>
  <c r="F207" i="1"/>
  <c r="F198" i="1"/>
  <c r="F199" i="1"/>
  <c r="F200" i="1"/>
  <c r="F924" i="1"/>
  <c r="F315" i="1"/>
  <c r="F365" i="1"/>
  <c r="F726" i="1"/>
  <c r="F364" i="1"/>
  <c r="F653" i="1"/>
  <c r="F598" i="1"/>
  <c r="F852" i="1"/>
  <c r="F499" i="1"/>
  <c r="F611" i="1"/>
  <c r="F170" i="1"/>
  <c r="F759" i="1"/>
  <c r="F967" i="1"/>
  <c r="F868" i="1"/>
  <c r="F462" i="1"/>
  <c r="F773" i="1"/>
  <c r="F368" i="1"/>
  <c r="F461" i="1"/>
  <c r="F439" i="1"/>
  <c r="F459" i="1"/>
  <c r="F440" i="1"/>
  <c r="F511" i="1"/>
  <c r="F753" i="1"/>
  <c r="F754" i="1"/>
  <c r="F438" i="1"/>
  <c r="F460" i="1"/>
  <c r="F437" i="1"/>
  <c r="F390" i="1"/>
  <c r="F596" i="1"/>
  <c r="F99" i="1"/>
  <c r="F709" i="1"/>
  <c r="F167" i="1"/>
  <c r="F168" i="1"/>
  <c r="F245" i="1"/>
  <c r="F449" i="1"/>
  <c r="F788" i="1"/>
  <c r="F786" i="1"/>
  <c r="F490" i="1"/>
  <c r="F1001" i="1"/>
  <c r="F987" i="1"/>
  <c r="F982" i="1"/>
  <c r="F986" i="1"/>
  <c r="F1002" i="1"/>
  <c r="F1004" i="1"/>
  <c r="F1003" i="1"/>
  <c r="F259" i="1"/>
  <c r="F132" i="1"/>
  <c r="F526" i="1"/>
  <c r="F217" i="1"/>
  <c r="F422" i="1"/>
  <c r="F218" i="1"/>
  <c r="F431" i="1"/>
  <c r="F44" i="1"/>
  <c r="F47" i="1"/>
  <c r="F361" i="1"/>
  <c r="F49" i="1"/>
  <c r="F43" i="1"/>
  <c r="F51" i="1"/>
  <c r="F514" i="1"/>
  <c r="F503" i="1"/>
  <c r="F363" i="1"/>
  <c r="F708" i="1"/>
  <c r="F670" i="1"/>
  <c r="F671" i="1"/>
  <c r="F411" i="1"/>
  <c r="F356" i="1"/>
  <c r="F412" i="1"/>
  <c r="F289" i="1"/>
  <c r="F283" i="1"/>
  <c r="F306" i="1"/>
  <c r="F983" i="1"/>
  <c r="F984" i="1"/>
  <c r="F985" i="1"/>
  <c r="F57" i="1"/>
  <c r="F41" i="1"/>
  <c r="F275" i="1"/>
  <c r="F52" i="1"/>
  <c r="F233" i="1"/>
  <c r="F232" i="1"/>
  <c r="F53" i="1"/>
  <c r="F54" i="1"/>
  <c r="F55" i="1"/>
  <c r="F547" i="1"/>
  <c r="F841" i="1"/>
  <c r="F40" i="1"/>
  <c r="F224" i="1"/>
  <c r="F840" i="1"/>
  <c r="F609" i="1"/>
  <c r="F794" i="1"/>
  <c r="F32" i="1"/>
  <c r="F103" i="1"/>
  <c r="F187" i="1"/>
  <c r="F78" i="1"/>
  <c r="F188" i="1"/>
  <c r="F81" i="1"/>
  <c r="F82" i="1"/>
  <c r="F305" i="1"/>
  <c r="F304" i="1"/>
  <c r="F303" i="1"/>
  <c r="F190" i="1"/>
  <c r="F189" i="1"/>
  <c r="F87" i="1"/>
  <c r="F89" i="1"/>
  <c r="F546" i="1"/>
  <c r="F429" i="1"/>
  <c r="F591" i="1"/>
  <c r="F186" i="1"/>
  <c r="F381" i="1"/>
  <c r="F239" i="1"/>
  <c r="F555" i="1"/>
  <c r="F801" i="1"/>
  <c r="F802" i="1"/>
  <c r="F502" i="1"/>
  <c r="F493" i="1"/>
  <c r="F318" i="1"/>
  <c r="F403" i="1"/>
  <c r="F185" i="1"/>
  <c r="F799" i="1"/>
  <c r="F404" i="1"/>
  <c r="F830" i="1"/>
  <c r="F430" i="1"/>
  <c r="F308" i="1"/>
  <c r="F309" i="1"/>
  <c r="F772" i="1"/>
  <c r="F769" i="1"/>
  <c r="F770" i="1"/>
  <c r="F771" i="1"/>
  <c r="F867" i="1"/>
  <c r="F797" i="1"/>
  <c r="D1012" i="5" l="1"/>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O867" i="1"/>
  <c r="N867" i="1"/>
  <c r="G867" i="1"/>
  <c r="O797" i="1"/>
  <c r="N797" i="1"/>
  <c r="G797" i="1"/>
  <c r="O772" i="1"/>
  <c r="N772" i="1"/>
  <c r="G772" i="1"/>
  <c r="O771" i="1"/>
  <c r="N771" i="1"/>
  <c r="G771" i="1"/>
  <c r="O770" i="1"/>
  <c r="N770" i="1"/>
  <c r="G770" i="1"/>
  <c r="O769" i="1"/>
  <c r="N769" i="1"/>
  <c r="G769" i="1"/>
  <c r="O430" i="1"/>
  <c r="N430" i="1"/>
  <c r="G430" i="1"/>
  <c r="O309" i="1"/>
  <c r="N309" i="1"/>
  <c r="G309" i="1"/>
  <c r="O308" i="1"/>
  <c r="N308" i="1"/>
  <c r="G308" i="1"/>
  <c r="O830" i="1"/>
  <c r="N830" i="1"/>
  <c r="G830" i="1"/>
  <c r="O404" i="1"/>
  <c r="N404" i="1"/>
  <c r="G404" i="1"/>
  <c r="O799" i="1"/>
  <c r="N799" i="1"/>
  <c r="G799" i="1"/>
  <c r="O185" i="1"/>
  <c r="N185" i="1"/>
  <c r="G185" i="1"/>
  <c r="O403" i="1"/>
  <c r="N403" i="1"/>
  <c r="G403" i="1"/>
  <c r="O802" i="1"/>
  <c r="N802" i="1"/>
  <c r="G802" i="1"/>
  <c r="O801" i="1"/>
  <c r="N801" i="1"/>
  <c r="G801" i="1"/>
  <c r="O502" i="1"/>
  <c r="N502" i="1"/>
  <c r="G502" i="1"/>
  <c r="O493" i="1"/>
  <c r="N493" i="1"/>
  <c r="G493" i="1"/>
  <c r="O318" i="1"/>
  <c r="N318" i="1"/>
  <c r="G318" i="1"/>
  <c r="O555" i="1"/>
  <c r="N555" i="1"/>
  <c r="G555" i="1"/>
  <c r="O381" i="1"/>
  <c r="N381" i="1"/>
  <c r="G381" i="1"/>
  <c r="O239" i="1"/>
  <c r="N239" i="1"/>
  <c r="G239" i="1"/>
  <c r="O186" i="1"/>
  <c r="N186" i="1"/>
  <c r="G186" i="1"/>
  <c r="O591" i="1"/>
  <c r="N591" i="1"/>
  <c r="G591" i="1"/>
  <c r="O546" i="1"/>
  <c r="N546" i="1"/>
  <c r="G546" i="1"/>
  <c r="O429" i="1"/>
  <c r="N429" i="1"/>
  <c r="G429" i="1"/>
  <c r="O305" i="1"/>
  <c r="N305" i="1"/>
  <c r="G305" i="1"/>
  <c r="O304" i="1"/>
  <c r="N304" i="1"/>
  <c r="G304" i="1"/>
  <c r="O303" i="1"/>
  <c r="N303" i="1"/>
  <c r="G303" i="1"/>
  <c r="O190" i="1"/>
  <c r="N190" i="1"/>
  <c r="G190" i="1"/>
  <c r="O189" i="1"/>
  <c r="N189" i="1"/>
  <c r="G189" i="1"/>
  <c r="O188" i="1"/>
  <c r="N188" i="1"/>
  <c r="G188" i="1"/>
  <c r="O187" i="1"/>
  <c r="N187" i="1"/>
  <c r="G187" i="1"/>
  <c r="O103" i="1"/>
  <c r="N103" i="1"/>
  <c r="G103" i="1"/>
  <c r="O89" i="1"/>
  <c r="N89" i="1"/>
  <c r="G89" i="1"/>
  <c r="O87" i="1"/>
  <c r="N87" i="1"/>
  <c r="G87" i="1"/>
  <c r="O82" i="1"/>
  <c r="N82" i="1"/>
  <c r="G82" i="1"/>
  <c r="O81" i="1"/>
  <c r="N81" i="1"/>
  <c r="G81" i="1"/>
  <c r="O78" i="1"/>
  <c r="N78" i="1"/>
  <c r="G78" i="1"/>
  <c r="O32" i="1"/>
  <c r="N32" i="1"/>
  <c r="G32" i="1"/>
  <c r="O794" i="1"/>
  <c r="N794" i="1"/>
  <c r="G794" i="1"/>
  <c r="O609" i="1"/>
  <c r="N609" i="1"/>
  <c r="G609" i="1"/>
  <c r="O840" i="1"/>
  <c r="N840" i="1"/>
  <c r="G840" i="1"/>
  <c r="O224" i="1"/>
  <c r="N224" i="1"/>
  <c r="G224" i="1"/>
  <c r="O40" i="1"/>
  <c r="N40" i="1"/>
  <c r="G40" i="1"/>
  <c r="O841" i="1"/>
  <c r="N841" i="1"/>
  <c r="G841" i="1"/>
  <c r="O547" i="1"/>
  <c r="N547" i="1"/>
  <c r="G547" i="1"/>
  <c r="O275" i="1"/>
  <c r="N275" i="1"/>
  <c r="G275" i="1"/>
  <c r="O233" i="1"/>
  <c r="N233" i="1"/>
  <c r="G233" i="1"/>
  <c r="O232" i="1"/>
  <c r="N232" i="1"/>
  <c r="G232" i="1"/>
  <c r="O55" i="1"/>
  <c r="N55" i="1"/>
  <c r="G55" i="1"/>
  <c r="O54" i="1"/>
  <c r="N54" i="1"/>
  <c r="G54" i="1"/>
  <c r="O53" i="1"/>
  <c r="N53" i="1"/>
  <c r="G53" i="1"/>
  <c r="O52" i="1"/>
  <c r="N52" i="1"/>
  <c r="G52" i="1"/>
  <c r="O41" i="1"/>
  <c r="N41" i="1"/>
  <c r="G41" i="1"/>
  <c r="O985" i="1"/>
  <c r="N985" i="1"/>
  <c r="G985" i="1"/>
  <c r="O984" i="1"/>
  <c r="N984" i="1"/>
  <c r="G984" i="1"/>
  <c r="O983" i="1"/>
  <c r="N983" i="1"/>
  <c r="G983" i="1"/>
  <c r="O57" i="1"/>
  <c r="N57" i="1"/>
  <c r="G57" i="1"/>
  <c r="O708" i="1"/>
  <c r="N708" i="1"/>
  <c r="G708" i="1"/>
  <c r="O671" i="1"/>
  <c r="N671" i="1"/>
  <c r="G671" i="1"/>
  <c r="O670" i="1"/>
  <c r="N670" i="1"/>
  <c r="G670" i="1"/>
  <c r="O412" i="1"/>
  <c r="N412" i="1"/>
  <c r="G412" i="1"/>
  <c r="O411" i="1"/>
  <c r="N411" i="1"/>
  <c r="G411" i="1"/>
  <c r="O356" i="1"/>
  <c r="N356" i="1"/>
  <c r="G356" i="1"/>
  <c r="O306" i="1"/>
  <c r="N306" i="1"/>
  <c r="G306" i="1"/>
  <c r="O289" i="1"/>
  <c r="N289" i="1"/>
  <c r="G289" i="1"/>
  <c r="O283" i="1"/>
  <c r="N283" i="1"/>
  <c r="G283" i="1"/>
  <c r="O363" i="1"/>
  <c r="N363" i="1"/>
  <c r="G363" i="1"/>
  <c r="O514" i="1"/>
  <c r="N514" i="1"/>
  <c r="G514" i="1"/>
  <c r="O503" i="1"/>
  <c r="N503" i="1"/>
  <c r="G503" i="1"/>
  <c r="O361" i="1"/>
  <c r="N361" i="1"/>
  <c r="G361" i="1"/>
  <c r="O51" i="1"/>
  <c r="N51" i="1"/>
  <c r="G51" i="1"/>
  <c r="O49" i="1"/>
  <c r="N49" i="1"/>
  <c r="G49" i="1"/>
  <c r="O47" i="1"/>
  <c r="N47" i="1"/>
  <c r="G47" i="1"/>
  <c r="O44" i="1"/>
  <c r="N44" i="1"/>
  <c r="G44" i="1"/>
  <c r="O43" i="1"/>
  <c r="N43" i="1"/>
  <c r="G43" i="1"/>
  <c r="O526" i="1"/>
  <c r="N526" i="1"/>
  <c r="G526" i="1"/>
  <c r="O431" i="1"/>
  <c r="N431" i="1"/>
  <c r="G431" i="1"/>
  <c r="O422" i="1"/>
  <c r="N422" i="1"/>
  <c r="G422" i="1"/>
  <c r="O259" i="1"/>
  <c r="N259" i="1"/>
  <c r="G259" i="1"/>
  <c r="O218" i="1"/>
  <c r="N218" i="1"/>
  <c r="G218" i="1"/>
  <c r="O217" i="1"/>
  <c r="N217" i="1"/>
  <c r="G217" i="1"/>
  <c r="O132" i="1"/>
  <c r="N132" i="1"/>
  <c r="G132" i="1"/>
  <c r="O1004" i="1"/>
  <c r="N1004" i="1"/>
  <c r="G1004" i="1"/>
  <c r="O1003" i="1"/>
  <c r="N1003" i="1"/>
  <c r="G1003" i="1"/>
  <c r="O1002" i="1"/>
  <c r="N1002" i="1"/>
  <c r="G1002" i="1"/>
  <c r="O1001" i="1"/>
  <c r="N1001" i="1"/>
  <c r="G1001" i="1"/>
  <c r="O987" i="1"/>
  <c r="N987" i="1"/>
  <c r="G987" i="1"/>
  <c r="O986" i="1"/>
  <c r="N986" i="1"/>
  <c r="G986" i="1"/>
  <c r="O982" i="1"/>
  <c r="N982" i="1"/>
  <c r="G982" i="1"/>
  <c r="O490" i="1"/>
  <c r="N490" i="1"/>
  <c r="G490" i="1"/>
  <c r="O788" i="1"/>
  <c r="N788" i="1"/>
  <c r="G788" i="1"/>
  <c r="O786" i="1"/>
  <c r="N786" i="1"/>
  <c r="G786" i="1"/>
  <c r="O449" i="1"/>
  <c r="N449" i="1"/>
  <c r="G449" i="1"/>
  <c r="O245" i="1"/>
  <c r="N245" i="1"/>
  <c r="G245" i="1"/>
  <c r="O709" i="1"/>
  <c r="N709" i="1"/>
  <c r="G709" i="1"/>
  <c r="O168" i="1"/>
  <c r="N168" i="1"/>
  <c r="G168" i="1"/>
  <c r="O167" i="1"/>
  <c r="N167" i="1"/>
  <c r="G167" i="1"/>
  <c r="O596" i="1"/>
  <c r="N596" i="1"/>
  <c r="G596" i="1"/>
  <c r="O390" i="1"/>
  <c r="N390" i="1"/>
  <c r="G390" i="1"/>
  <c r="O99" i="1"/>
  <c r="N99" i="1"/>
  <c r="G99" i="1"/>
  <c r="O754" i="1"/>
  <c r="N754" i="1"/>
  <c r="G754" i="1"/>
  <c r="O753" i="1"/>
  <c r="N753" i="1"/>
  <c r="G753" i="1"/>
  <c r="O511" i="1"/>
  <c r="N511" i="1"/>
  <c r="G511" i="1"/>
  <c r="O461" i="1"/>
  <c r="N461" i="1"/>
  <c r="G461" i="1"/>
  <c r="O460" i="1"/>
  <c r="N460" i="1"/>
  <c r="G460" i="1"/>
  <c r="O459" i="1"/>
  <c r="N459" i="1"/>
  <c r="G459" i="1"/>
  <c r="O440" i="1"/>
  <c r="N440" i="1"/>
  <c r="G440" i="1"/>
  <c r="O439" i="1"/>
  <c r="N439" i="1"/>
  <c r="G439" i="1"/>
  <c r="O438" i="1"/>
  <c r="N438" i="1"/>
  <c r="G438" i="1"/>
  <c r="O437" i="1"/>
  <c r="N437" i="1"/>
  <c r="G437" i="1"/>
  <c r="O368" i="1"/>
  <c r="N368" i="1"/>
  <c r="G368" i="1"/>
  <c r="O967" i="1"/>
  <c r="N967" i="1"/>
  <c r="G967" i="1"/>
  <c r="O868" i="1"/>
  <c r="N868" i="1"/>
  <c r="G868" i="1"/>
  <c r="O773" i="1"/>
  <c r="N773" i="1"/>
  <c r="G773" i="1"/>
  <c r="O462" i="1"/>
  <c r="N462" i="1"/>
  <c r="G462" i="1"/>
  <c r="O759" i="1"/>
  <c r="N759" i="1"/>
  <c r="G759" i="1"/>
  <c r="O170" i="1"/>
  <c r="N170" i="1"/>
  <c r="G170" i="1"/>
  <c r="O611" i="1"/>
  <c r="N611" i="1"/>
  <c r="G611" i="1"/>
  <c r="O499" i="1"/>
  <c r="N499" i="1"/>
  <c r="G499" i="1"/>
  <c r="O852" i="1"/>
  <c r="N852" i="1"/>
  <c r="G852" i="1"/>
  <c r="O598" i="1"/>
  <c r="N598" i="1"/>
  <c r="G598" i="1"/>
  <c r="O653" i="1"/>
  <c r="N653" i="1"/>
  <c r="G653" i="1"/>
  <c r="O726" i="1"/>
  <c r="N726" i="1"/>
  <c r="G726" i="1"/>
  <c r="O365" i="1"/>
  <c r="N365" i="1"/>
  <c r="G365" i="1"/>
  <c r="O364" i="1"/>
  <c r="N364" i="1"/>
  <c r="G364" i="1"/>
  <c r="O924" i="1"/>
  <c r="N924" i="1"/>
  <c r="G924" i="1"/>
  <c r="O315" i="1"/>
  <c r="N315" i="1"/>
  <c r="G315" i="1"/>
  <c r="O209" i="1"/>
  <c r="N209" i="1"/>
  <c r="G209" i="1"/>
  <c r="O207" i="1"/>
  <c r="N207" i="1"/>
  <c r="G207" i="1"/>
  <c r="O206" i="1"/>
  <c r="N206" i="1"/>
  <c r="G206" i="1"/>
  <c r="O205" i="1"/>
  <c r="N205" i="1"/>
  <c r="G205" i="1"/>
  <c r="O204" i="1"/>
  <c r="N204" i="1"/>
  <c r="G204" i="1"/>
  <c r="O203" i="1"/>
  <c r="N203" i="1"/>
  <c r="G203" i="1"/>
  <c r="O202" i="1"/>
  <c r="N202" i="1"/>
  <c r="G202" i="1"/>
  <c r="O201" i="1"/>
  <c r="N201" i="1"/>
  <c r="G201" i="1"/>
  <c r="O200" i="1"/>
  <c r="N200" i="1"/>
  <c r="G200" i="1"/>
  <c r="O199" i="1"/>
  <c r="N199" i="1"/>
  <c r="G199" i="1"/>
  <c r="O198" i="1"/>
  <c r="N198" i="1"/>
  <c r="G198" i="1"/>
  <c r="O970" i="1"/>
  <c r="N970" i="1"/>
  <c r="G970" i="1"/>
  <c r="O339" i="1"/>
  <c r="N339" i="1"/>
  <c r="G339" i="1"/>
  <c r="O192" i="1"/>
  <c r="N192" i="1"/>
  <c r="G192" i="1"/>
  <c r="O969" i="1"/>
  <c r="N969" i="1"/>
  <c r="G969" i="1"/>
  <c r="O968" i="1"/>
  <c r="N968" i="1"/>
  <c r="G968" i="1"/>
  <c r="O417" i="1"/>
  <c r="N417" i="1"/>
  <c r="G417" i="1"/>
  <c r="O392" i="1"/>
  <c r="N392" i="1"/>
  <c r="G392" i="1"/>
  <c r="O758" i="1"/>
  <c r="N758" i="1"/>
  <c r="G758" i="1"/>
  <c r="O630" i="1"/>
  <c r="N630" i="1"/>
  <c r="G630" i="1"/>
  <c r="O629" i="1"/>
  <c r="N629" i="1"/>
  <c r="G629" i="1"/>
  <c r="O464" i="1"/>
  <c r="N464" i="1"/>
  <c r="G464" i="1"/>
  <c r="O414" i="1"/>
  <c r="N414" i="1"/>
  <c r="G414" i="1"/>
  <c r="O413" i="1"/>
  <c r="N413" i="1"/>
  <c r="G413" i="1"/>
  <c r="O409" i="1"/>
  <c r="N409" i="1"/>
  <c r="G409" i="1"/>
  <c r="O402" i="1"/>
  <c r="N402" i="1"/>
  <c r="G402" i="1"/>
  <c r="O401" i="1"/>
  <c r="N401" i="1"/>
  <c r="G401" i="1"/>
  <c r="O400" i="1"/>
  <c r="N400" i="1"/>
  <c r="G400" i="1"/>
  <c r="O396" i="1"/>
  <c r="N396" i="1"/>
  <c r="G396" i="1"/>
  <c r="O395" i="1"/>
  <c r="N395" i="1"/>
  <c r="G395" i="1"/>
  <c r="O376" i="1"/>
  <c r="N376" i="1"/>
  <c r="G376" i="1"/>
  <c r="O375" i="1"/>
  <c r="N375" i="1"/>
  <c r="G375" i="1"/>
  <c r="O628" i="1"/>
  <c r="N628" i="1"/>
  <c r="G628" i="1"/>
  <c r="O626" i="1"/>
  <c r="N626" i="1"/>
  <c r="G626" i="1"/>
  <c r="O625" i="1"/>
  <c r="N625" i="1"/>
  <c r="G625" i="1"/>
  <c r="O624" i="1"/>
  <c r="N624" i="1"/>
  <c r="G624" i="1"/>
  <c r="O764" i="1"/>
  <c r="N764" i="1"/>
  <c r="G764" i="1"/>
  <c r="O601" i="1"/>
  <c r="N601" i="1"/>
  <c r="G601" i="1"/>
  <c r="O600" i="1"/>
  <c r="N600" i="1"/>
  <c r="G600" i="1"/>
  <c r="O398" i="1"/>
  <c r="N398" i="1"/>
  <c r="G398" i="1"/>
  <c r="O397" i="1"/>
  <c r="N397" i="1"/>
  <c r="G397" i="1"/>
  <c r="O382" i="1"/>
  <c r="N382" i="1"/>
  <c r="G382" i="1"/>
  <c r="O371" i="1"/>
  <c r="N371" i="1"/>
  <c r="G371" i="1"/>
  <c r="O301" i="1"/>
  <c r="N301" i="1"/>
  <c r="G301" i="1"/>
  <c r="O813" i="1"/>
  <c r="N813" i="1"/>
  <c r="G813" i="1"/>
  <c r="O806" i="1"/>
  <c r="N806" i="1"/>
  <c r="G806" i="1"/>
  <c r="O805" i="1"/>
  <c r="N805" i="1"/>
  <c r="G805" i="1"/>
  <c r="O804" i="1"/>
  <c r="N804" i="1"/>
  <c r="G804" i="1"/>
  <c r="O766" i="1"/>
  <c r="N766" i="1"/>
  <c r="G766" i="1"/>
  <c r="O765" i="1"/>
  <c r="N765" i="1"/>
  <c r="G765" i="1"/>
  <c r="O674" i="1"/>
  <c r="N674" i="1"/>
  <c r="G674" i="1"/>
  <c r="O549" i="1"/>
  <c r="N549" i="1"/>
  <c r="G549" i="1"/>
  <c r="O454" i="1"/>
  <c r="N454" i="1"/>
  <c r="G454" i="1"/>
  <c r="O366" i="1"/>
  <c r="N366" i="1"/>
  <c r="G366" i="1"/>
  <c r="O826" i="1"/>
  <c r="N826" i="1"/>
  <c r="G826" i="1"/>
  <c r="O761" i="1"/>
  <c r="N761" i="1"/>
  <c r="G761" i="1"/>
  <c r="O444" i="1"/>
  <c r="N444" i="1"/>
  <c r="G444" i="1"/>
  <c r="O443" i="1"/>
  <c r="N443" i="1"/>
  <c r="G443" i="1"/>
  <c r="O399" i="1"/>
  <c r="N399" i="1"/>
  <c r="G399" i="1"/>
  <c r="O208" i="1"/>
  <c r="N208" i="1"/>
  <c r="G208" i="1"/>
  <c r="O976" i="1"/>
  <c r="N976" i="1"/>
  <c r="G976" i="1"/>
  <c r="O828" i="1"/>
  <c r="N828" i="1"/>
  <c r="G828" i="1"/>
  <c r="O827" i="1"/>
  <c r="N827" i="1"/>
  <c r="G827" i="1"/>
  <c r="O755" i="1"/>
  <c r="N755" i="1"/>
  <c r="G755" i="1"/>
  <c r="O479" i="1"/>
  <c r="N479" i="1"/>
  <c r="G479" i="1"/>
  <c r="O648" i="1"/>
  <c r="N648" i="1"/>
  <c r="G648" i="1"/>
  <c r="O874" i="1"/>
  <c r="N874" i="1"/>
  <c r="G874" i="1"/>
  <c r="O480" i="1"/>
  <c r="N480" i="1"/>
  <c r="G480" i="1"/>
  <c r="O504" i="1"/>
  <c r="N504" i="1"/>
  <c r="G504" i="1"/>
  <c r="O295" i="1"/>
  <c r="N295" i="1"/>
  <c r="G295" i="1"/>
  <c r="O294" i="1"/>
  <c r="N294" i="1"/>
  <c r="G294" i="1"/>
  <c r="O293" i="1"/>
  <c r="N293" i="1"/>
  <c r="G293" i="1"/>
  <c r="O465" i="1"/>
  <c r="N465" i="1"/>
  <c r="G465" i="1"/>
  <c r="O978" i="1"/>
  <c r="N978" i="1"/>
  <c r="G978" i="1"/>
  <c r="O977" i="1"/>
  <c r="N977" i="1"/>
  <c r="G977" i="1"/>
  <c r="O923" i="1"/>
  <c r="N923" i="1"/>
  <c r="G923" i="1"/>
  <c r="O688" i="1"/>
  <c r="N688" i="1"/>
  <c r="G688" i="1"/>
  <c r="O687" i="1"/>
  <c r="N687" i="1"/>
  <c r="G687" i="1"/>
  <c r="O271" i="1"/>
  <c r="N271" i="1"/>
  <c r="G271" i="1"/>
  <c r="O96" i="1"/>
  <c r="N96" i="1"/>
  <c r="G96" i="1"/>
  <c r="O808" i="1"/>
  <c r="N808" i="1"/>
  <c r="G808" i="1"/>
  <c r="O216" i="1"/>
  <c r="N216" i="1"/>
  <c r="G216" i="1"/>
  <c r="O215" i="1"/>
  <c r="N215" i="1"/>
  <c r="G215" i="1"/>
  <c r="O214" i="1"/>
  <c r="N214" i="1"/>
  <c r="G214" i="1"/>
  <c r="O213" i="1"/>
  <c r="N213" i="1"/>
  <c r="G213" i="1"/>
  <c r="O212" i="1"/>
  <c r="N212" i="1"/>
  <c r="G212" i="1"/>
  <c r="O333" i="1"/>
  <c r="N333" i="1"/>
  <c r="G333" i="1"/>
  <c r="O307" i="1"/>
  <c r="N307" i="1"/>
  <c r="G307" i="1"/>
  <c r="O240" i="1"/>
  <c r="N240" i="1"/>
  <c r="G240" i="1"/>
  <c r="O211" i="1"/>
  <c r="N211" i="1"/>
  <c r="G211" i="1"/>
  <c r="O196" i="1"/>
  <c r="N196" i="1"/>
  <c r="G196" i="1"/>
  <c r="O195" i="1"/>
  <c r="N195" i="1"/>
  <c r="G195" i="1"/>
  <c r="O194" i="1"/>
  <c r="N194" i="1"/>
  <c r="G194" i="1"/>
  <c r="O193" i="1"/>
  <c r="N193" i="1"/>
  <c r="G193" i="1"/>
  <c r="O126" i="1"/>
  <c r="N126" i="1"/>
  <c r="G126" i="1"/>
  <c r="O71" i="1"/>
  <c r="N71" i="1"/>
  <c r="G71" i="1"/>
  <c r="O605" i="1"/>
  <c r="N605" i="1"/>
  <c r="G605" i="1"/>
  <c r="O548" i="1"/>
  <c r="N548" i="1"/>
  <c r="G548" i="1"/>
  <c r="O394" i="1"/>
  <c r="N394" i="1"/>
  <c r="G394" i="1"/>
  <c r="O221" i="1"/>
  <c r="N221" i="1"/>
  <c r="G221" i="1"/>
  <c r="O975" i="1"/>
  <c r="N975" i="1"/>
  <c r="G975" i="1"/>
  <c r="O974" i="1"/>
  <c r="N974" i="1"/>
  <c r="G974" i="1"/>
  <c r="O973" i="1"/>
  <c r="N973" i="1"/>
  <c r="G973" i="1"/>
  <c r="O972" i="1"/>
  <c r="N972" i="1"/>
  <c r="G972" i="1"/>
  <c r="O971" i="1"/>
  <c r="N971" i="1"/>
  <c r="G971" i="1"/>
  <c r="O821" i="1"/>
  <c r="N821" i="1"/>
  <c r="G821" i="1"/>
  <c r="O818" i="1"/>
  <c r="N818" i="1"/>
  <c r="G818" i="1"/>
  <c r="O558" i="1"/>
  <c r="N558" i="1"/>
  <c r="G558" i="1"/>
  <c r="O557" i="1"/>
  <c r="N557" i="1"/>
  <c r="G557" i="1"/>
  <c r="O556" i="1"/>
  <c r="N556" i="1"/>
  <c r="G556" i="1"/>
  <c r="O832" i="1"/>
  <c r="N832" i="1"/>
  <c r="G832" i="1"/>
  <c r="O316" i="1"/>
  <c r="N316" i="1"/>
  <c r="G316" i="1"/>
  <c r="O312" i="1"/>
  <c r="N312" i="1"/>
  <c r="G312" i="1"/>
  <c r="O105" i="1"/>
  <c r="N105" i="1"/>
  <c r="G105" i="1"/>
  <c r="O104" i="1"/>
  <c r="N104" i="1"/>
  <c r="G104" i="1"/>
  <c r="O1000" i="1"/>
  <c r="N1000" i="1"/>
  <c r="G1000" i="1"/>
  <c r="O959" i="1"/>
  <c r="N959" i="1"/>
  <c r="G959" i="1"/>
  <c r="O907" i="1"/>
  <c r="N907" i="1"/>
  <c r="G907" i="1"/>
  <c r="O906" i="1"/>
  <c r="N906" i="1"/>
  <c r="G906" i="1"/>
  <c r="O699" i="1"/>
  <c r="N699" i="1"/>
  <c r="G699" i="1"/>
  <c r="O760" i="1"/>
  <c r="N760" i="1"/>
  <c r="G760" i="1"/>
  <c r="O793" i="1"/>
  <c r="N793" i="1"/>
  <c r="G793" i="1"/>
  <c r="O842" i="1"/>
  <c r="N842" i="1"/>
  <c r="G842" i="1"/>
  <c r="O779" i="1"/>
  <c r="N779" i="1"/>
  <c r="G779" i="1"/>
  <c r="O829" i="1"/>
  <c r="N829" i="1"/>
  <c r="G829" i="1"/>
  <c r="O486" i="1"/>
  <c r="N486" i="1"/>
  <c r="G486" i="1"/>
  <c r="O73" i="1"/>
  <c r="N73" i="1"/>
  <c r="G73" i="1"/>
  <c r="O939" i="1"/>
  <c r="N939" i="1"/>
  <c r="G939" i="1"/>
  <c r="O938" i="1"/>
  <c r="N938" i="1"/>
  <c r="G938" i="1"/>
  <c r="O522" i="1"/>
  <c r="N522" i="1"/>
  <c r="G522" i="1"/>
  <c r="O513" i="1"/>
  <c r="N513" i="1"/>
  <c r="G513" i="1"/>
  <c r="O792" i="1"/>
  <c r="N792" i="1"/>
  <c r="G792" i="1"/>
  <c r="O791" i="1"/>
  <c r="N791" i="1"/>
  <c r="G791" i="1"/>
  <c r="O75" i="1"/>
  <c r="N75" i="1"/>
  <c r="G75" i="1"/>
  <c r="O74" i="1"/>
  <c r="N74" i="1"/>
  <c r="G74" i="1"/>
  <c r="O817" i="1"/>
  <c r="N817" i="1"/>
  <c r="G817" i="1"/>
  <c r="O800" i="1"/>
  <c r="N800" i="1"/>
  <c r="G800" i="1"/>
  <c r="O698" i="1"/>
  <c r="N698" i="1"/>
  <c r="G698" i="1"/>
  <c r="O521" i="1"/>
  <c r="N521" i="1"/>
  <c r="G521" i="1"/>
  <c r="O337" i="1"/>
  <c r="N337" i="1"/>
  <c r="G337" i="1"/>
  <c r="O144" i="1"/>
  <c r="N144" i="1"/>
  <c r="G144" i="1"/>
  <c r="O701" i="1"/>
  <c r="N701" i="1"/>
  <c r="G701" i="1"/>
  <c r="O495" i="1"/>
  <c r="N495" i="1"/>
  <c r="G495" i="1"/>
  <c r="O478" i="1"/>
  <c r="N478" i="1"/>
  <c r="G478" i="1"/>
  <c r="O125" i="1"/>
  <c r="N125" i="1"/>
  <c r="G125" i="1"/>
  <c r="O124" i="1"/>
  <c r="N124" i="1"/>
  <c r="G124" i="1"/>
  <c r="O123" i="1"/>
  <c r="N123" i="1"/>
  <c r="G123" i="1"/>
  <c r="O918" i="1"/>
  <c r="N918" i="1"/>
  <c r="G918" i="1"/>
  <c r="O287" i="1"/>
  <c r="N287" i="1"/>
  <c r="G287" i="1"/>
  <c r="O138" i="1"/>
  <c r="N138" i="1"/>
  <c r="G138" i="1"/>
  <c r="O133" i="1"/>
  <c r="N133" i="1"/>
  <c r="G133" i="1"/>
  <c r="O844" i="1"/>
  <c r="N844" i="1"/>
  <c r="G844" i="1"/>
  <c r="O1006" i="1"/>
  <c r="N1006" i="1"/>
  <c r="G1006" i="1"/>
  <c r="O1005" i="1"/>
  <c r="N1005" i="1"/>
  <c r="G1005" i="1"/>
  <c r="O782" i="1"/>
  <c r="N782" i="1"/>
  <c r="G782" i="1"/>
  <c r="O781" i="1"/>
  <c r="N781" i="1"/>
  <c r="G781" i="1"/>
  <c r="O767" i="1"/>
  <c r="N767" i="1"/>
  <c r="G767" i="1"/>
  <c r="O731" i="1"/>
  <c r="N731" i="1"/>
  <c r="G731" i="1"/>
  <c r="O730" i="1"/>
  <c r="N730" i="1"/>
  <c r="G730" i="1"/>
  <c r="O729" i="1"/>
  <c r="N729" i="1"/>
  <c r="G729" i="1"/>
  <c r="O728" i="1"/>
  <c r="N728" i="1"/>
  <c r="G728" i="1"/>
  <c r="O740" i="1"/>
  <c r="N740" i="1"/>
  <c r="G740" i="1"/>
  <c r="O737" i="1"/>
  <c r="N737" i="1"/>
  <c r="G737" i="1"/>
  <c r="O719" i="1"/>
  <c r="N719" i="1"/>
  <c r="G719" i="1"/>
  <c r="O718" i="1"/>
  <c r="N718" i="1"/>
  <c r="G718" i="1"/>
  <c r="O640" i="1"/>
  <c r="N640" i="1"/>
  <c r="G640" i="1"/>
  <c r="O163" i="1"/>
  <c r="N163" i="1"/>
  <c r="G163" i="1"/>
  <c r="O162" i="1"/>
  <c r="N162" i="1"/>
  <c r="G162" i="1"/>
  <c r="O161" i="1"/>
  <c r="N161" i="1"/>
  <c r="G161" i="1"/>
  <c r="O160" i="1"/>
  <c r="N160" i="1"/>
  <c r="G160" i="1"/>
  <c r="O159" i="1"/>
  <c r="N159" i="1"/>
  <c r="G159" i="1"/>
  <c r="O158" i="1"/>
  <c r="N158" i="1"/>
  <c r="G158" i="1"/>
  <c r="O157" i="1"/>
  <c r="N157" i="1"/>
  <c r="G157" i="1"/>
  <c r="O857" i="1"/>
  <c r="N857" i="1"/>
  <c r="G857" i="1"/>
  <c r="O856" i="1"/>
  <c r="N856" i="1"/>
  <c r="G856" i="1"/>
  <c r="O838" i="1"/>
  <c r="N838" i="1"/>
  <c r="G838" i="1"/>
  <c r="O458" i="1"/>
  <c r="N458" i="1"/>
  <c r="G458" i="1"/>
  <c r="O156" i="1"/>
  <c r="N156" i="1"/>
  <c r="G156" i="1"/>
  <c r="O155" i="1"/>
  <c r="N155" i="1"/>
  <c r="G155" i="1"/>
  <c r="O154" i="1"/>
  <c r="N154" i="1"/>
  <c r="G154" i="1"/>
  <c r="O153" i="1"/>
  <c r="N153" i="1"/>
  <c r="G153" i="1"/>
  <c r="O152" i="1"/>
  <c r="N152" i="1"/>
  <c r="G152" i="1"/>
  <c r="O151" i="1"/>
  <c r="N151" i="1"/>
  <c r="G151" i="1"/>
  <c r="O150" i="1"/>
  <c r="N150" i="1"/>
  <c r="G150" i="1"/>
  <c r="O147" i="1"/>
  <c r="N147" i="1"/>
  <c r="G147" i="1"/>
  <c r="O146" i="1"/>
  <c r="N146" i="1"/>
  <c r="G146" i="1"/>
  <c r="O145" i="1"/>
  <c r="N145" i="1"/>
  <c r="G145" i="1"/>
  <c r="O863" i="1"/>
  <c r="N863" i="1"/>
  <c r="G863" i="1"/>
  <c r="O855" i="1"/>
  <c r="N855" i="1"/>
  <c r="G855" i="1"/>
  <c r="O854" i="1"/>
  <c r="N854" i="1"/>
  <c r="G854" i="1"/>
  <c r="O853" i="1"/>
  <c r="N853" i="1"/>
  <c r="G853" i="1"/>
  <c r="O795" i="1"/>
  <c r="N795" i="1"/>
  <c r="G795" i="1"/>
  <c r="O724" i="1"/>
  <c r="N724" i="1"/>
  <c r="G724" i="1"/>
  <c r="O712" i="1"/>
  <c r="N712" i="1"/>
  <c r="G712" i="1"/>
  <c r="O686" i="1"/>
  <c r="N686" i="1"/>
  <c r="G686" i="1"/>
  <c r="O685" i="1"/>
  <c r="N685" i="1"/>
  <c r="G685" i="1"/>
  <c r="O606" i="1"/>
  <c r="N606" i="1"/>
  <c r="G606" i="1"/>
  <c r="O380" i="1"/>
  <c r="N380" i="1"/>
  <c r="G380" i="1"/>
  <c r="O350" i="1"/>
  <c r="N350" i="1"/>
  <c r="G350" i="1"/>
  <c r="O349" i="1"/>
  <c r="N349" i="1"/>
  <c r="G349" i="1"/>
  <c r="O348" i="1"/>
  <c r="N348" i="1"/>
  <c r="G348" i="1"/>
  <c r="O288" i="1"/>
  <c r="N288" i="1"/>
  <c r="G288" i="1"/>
  <c r="O137" i="1"/>
  <c r="N137" i="1"/>
  <c r="G137" i="1"/>
  <c r="O136" i="1"/>
  <c r="N136" i="1"/>
  <c r="G136" i="1"/>
  <c r="O134" i="1"/>
  <c r="N134" i="1"/>
  <c r="G134" i="1"/>
  <c r="O70" i="1"/>
  <c r="N70" i="1"/>
  <c r="G70" i="1"/>
  <c r="O768" i="1"/>
  <c r="N768" i="1"/>
  <c r="G768" i="1"/>
  <c r="O750" i="1"/>
  <c r="N750" i="1"/>
  <c r="G750" i="1"/>
  <c r="O749" i="1"/>
  <c r="N749" i="1"/>
  <c r="G749" i="1"/>
  <c r="O743" i="1"/>
  <c r="N743" i="1"/>
  <c r="G743" i="1"/>
  <c r="O67" i="1"/>
  <c r="N67" i="1"/>
  <c r="G67" i="1"/>
  <c r="O751" i="1"/>
  <c r="N751" i="1"/>
  <c r="G751" i="1"/>
  <c r="O725" i="1"/>
  <c r="N725" i="1"/>
  <c r="G725" i="1"/>
  <c r="O697" i="1"/>
  <c r="N697" i="1"/>
  <c r="G697" i="1"/>
  <c r="O922" i="1"/>
  <c r="N922" i="1"/>
  <c r="G922" i="1"/>
  <c r="O739" i="1"/>
  <c r="N739" i="1"/>
  <c r="G739" i="1"/>
  <c r="O649" i="1"/>
  <c r="N649" i="1"/>
  <c r="G649" i="1"/>
  <c r="O311" i="1"/>
  <c r="N311" i="1"/>
  <c r="G311" i="1"/>
  <c r="O310" i="1"/>
  <c r="N310" i="1"/>
  <c r="G310" i="1"/>
  <c r="O135" i="1"/>
  <c r="N135" i="1"/>
  <c r="G135" i="1"/>
  <c r="O861" i="1"/>
  <c r="N861" i="1"/>
  <c r="G861" i="1"/>
  <c r="O860" i="1"/>
  <c r="N860" i="1"/>
  <c r="G860" i="1"/>
  <c r="O714" i="1"/>
  <c r="N714" i="1"/>
  <c r="G714" i="1"/>
  <c r="O713" i="1"/>
  <c r="N713" i="1"/>
  <c r="G713" i="1"/>
  <c r="O696" i="1"/>
  <c r="N696" i="1"/>
  <c r="G696" i="1"/>
  <c r="O636" i="1"/>
  <c r="N636" i="1"/>
  <c r="G636" i="1"/>
  <c r="O635" i="1"/>
  <c r="N635" i="1"/>
  <c r="G635" i="1"/>
  <c r="O634" i="1"/>
  <c r="N634" i="1"/>
  <c r="G634" i="1"/>
  <c r="O585" i="1"/>
  <c r="N585" i="1"/>
  <c r="G585" i="1"/>
  <c r="O584" i="1"/>
  <c r="N584" i="1"/>
  <c r="G584" i="1"/>
  <c r="O583" i="1"/>
  <c r="N583" i="1"/>
  <c r="G583" i="1"/>
  <c r="O545" i="1"/>
  <c r="N545" i="1"/>
  <c r="G545" i="1"/>
  <c r="O544" i="1"/>
  <c r="N544" i="1"/>
  <c r="G544" i="1"/>
  <c r="O543" i="1"/>
  <c r="N543" i="1"/>
  <c r="G543" i="1"/>
  <c r="O542" i="1"/>
  <c r="N542" i="1"/>
  <c r="G542" i="1"/>
  <c r="O541" i="1"/>
  <c r="N541" i="1"/>
  <c r="G541" i="1"/>
  <c r="O540" i="1"/>
  <c r="N540" i="1"/>
  <c r="G540" i="1"/>
  <c r="O539" i="1"/>
  <c r="N539" i="1"/>
  <c r="G539" i="1"/>
  <c r="O538" i="1"/>
  <c r="N538" i="1"/>
  <c r="G538" i="1"/>
  <c r="O537" i="1"/>
  <c r="N537" i="1"/>
  <c r="G537" i="1"/>
  <c r="O536" i="1"/>
  <c r="N536" i="1"/>
  <c r="G536" i="1"/>
  <c r="O535" i="1"/>
  <c r="N535" i="1"/>
  <c r="G535" i="1"/>
  <c r="O534" i="1"/>
  <c r="N534" i="1"/>
  <c r="G534" i="1"/>
  <c r="O533" i="1"/>
  <c r="N533" i="1"/>
  <c r="G533" i="1"/>
  <c r="O532" i="1"/>
  <c r="N532" i="1"/>
  <c r="G532" i="1"/>
  <c r="O531" i="1"/>
  <c r="N531" i="1"/>
  <c r="G531" i="1"/>
  <c r="O530" i="1"/>
  <c r="N530" i="1"/>
  <c r="G530" i="1"/>
  <c r="O529" i="1"/>
  <c r="N529" i="1"/>
  <c r="G529" i="1"/>
  <c r="O892" i="1"/>
  <c r="N892" i="1"/>
  <c r="G892" i="1"/>
  <c r="O891" i="1"/>
  <c r="N891" i="1"/>
  <c r="G891" i="1"/>
  <c r="O890" i="1"/>
  <c r="N890" i="1"/>
  <c r="G890" i="1"/>
  <c r="O859" i="1"/>
  <c r="N859" i="1"/>
  <c r="G859" i="1"/>
  <c r="O858" i="1"/>
  <c r="N858" i="1"/>
  <c r="G858" i="1"/>
  <c r="O819" i="1"/>
  <c r="N819" i="1"/>
  <c r="G819" i="1"/>
  <c r="O812" i="1"/>
  <c r="N812" i="1"/>
  <c r="G812" i="1"/>
  <c r="O811" i="1"/>
  <c r="N811" i="1"/>
  <c r="G811" i="1"/>
  <c r="O810" i="1"/>
  <c r="N810" i="1"/>
  <c r="G810" i="1"/>
  <c r="O809" i="1"/>
  <c r="N809" i="1"/>
  <c r="G809" i="1"/>
  <c r="O790" i="1"/>
  <c r="N790" i="1"/>
  <c r="G790" i="1"/>
  <c r="O789" i="1"/>
  <c r="N789" i="1"/>
  <c r="G789" i="1"/>
  <c r="O757" i="1"/>
  <c r="N757" i="1"/>
  <c r="G757" i="1"/>
  <c r="O756" i="1"/>
  <c r="N756" i="1"/>
  <c r="G756" i="1"/>
  <c r="O738" i="1"/>
  <c r="N738" i="1"/>
  <c r="G738" i="1"/>
  <c r="O717" i="1"/>
  <c r="N717" i="1"/>
  <c r="G717" i="1"/>
  <c r="O716" i="1"/>
  <c r="N716" i="1"/>
  <c r="G716" i="1"/>
  <c r="O715" i="1"/>
  <c r="N715" i="1"/>
  <c r="G715" i="1"/>
  <c r="O700" i="1"/>
  <c r="N700" i="1"/>
  <c r="G700" i="1"/>
  <c r="O639" i="1"/>
  <c r="N639" i="1"/>
  <c r="G639" i="1"/>
  <c r="O632" i="1"/>
  <c r="N632" i="1"/>
  <c r="G632" i="1"/>
  <c r="O615" i="1"/>
  <c r="N615" i="1"/>
  <c r="G615" i="1"/>
  <c r="O608" i="1"/>
  <c r="N608" i="1"/>
  <c r="G608" i="1"/>
  <c r="O594" i="1"/>
  <c r="N594" i="1"/>
  <c r="G594" i="1"/>
  <c r="O565" i="1"/>
  <c r="N565" i="1"/>
  <c r="G565" i="1"/>
  <c r="O560" i="1"/>
  <c r="N560" i="1"/>
  <c r="G560" i="1"/>
  <c r="O559" i="1"/>
  <c r="N559" i="1"/>
  <c r="G559" i="1"/>
  <c r="O453" i="1"/>
  <c r="N453" i="1"/>
  <c r="G453" i="1"/>
  <c r="O452" i="1"/>
  <c r="N452" i="1"/>
  <c r="G452" i="1"/>
  <c r="O451" i="1"/>
  <c r="N451" i="1"/>
  <c r="G451" i="1"/>
  <c r="O450" i="1"/>
  <c r="N450" i="1"/>
  <c r="G450" i="1"/>
  <c r="O436" i="1"/>
  <c r="N436" i="1"/>
  <c r="G436" i="1"/>
  <c r="O416" i="1"/>
  <c r="N416" i="1"/>
  <c r="G416" i="1"/>
  <c r="O393" i="1"/>
  <c r="N393" i="1"/>
  <c r="G393" i="1"/>
  <c r="O319" i="1"/>
  <c r="N319" i="1"/>
  <c r="G319" i="1"/>
  <c r="O286" i="1"/>
  <c r="N286" i="1"/>
  <c r="G286" i="1"/>
  <c r="O433" i="1"/>
  <c r="N433" i="1"/>
  <c r="G433" i="1"/>
  <c r="O694" i="1"/>
  <c r="N694" i="1"/>
  <c r="G694" i="1"/>
  <c r="O326" i="1"/>
  <c r="N326" i="1"/>
  <c r="G326" i="1"/>
  <c r="O736" i="1"/>
  <c r="N736" i="1"/>
  <c r="G736" i="1"/>
  <c r="O735" i="1"/>
  <c r="N735" i="1"/>
  <c r="G735" i="1"/>
  <c r="O734" i="1"/>
  <c r="N734" i="1"/>
  <c r="G734" i="1"/>
  <c r="O733" i="1"/>
  <c r="N733" i="1"/>
  <c r="G733" i="1"/>
  <c r="O732" i="1"/>
  <c r="N732" i="1"/>
  <c r="G732" i="1"/>
  <c r="O721" i="1"/>
  <c r="N721" i="1"/>
  <c r="G721" i="1"/>
  <c r="O720" i="1"/>
  <c r="N720" i="1"/>
  <c r="G720" i="1"/>
  <c r="O148" i="1"/>
  <c r="N148" i="1"/>
  <c r="G148" i="1"/>
  <c r="O69" i="1"/>
  <c r="N69" i="1"/>
  <c r="G69" i="1"/>
  <c r="O68" i="1"/>
  <c r="N68" i="1"/>
  <c r="G68" i="1"/>
  <c r="O850" i="1"/>
  <c r="N850" i="1"/>
  <c r="G850" i="1"/>
  <c r="O420" i="1"/>
  <c r="N420" i="1"/>
  <c r="G420" i="1"/>
  <c r="O692" i="1"/>
  <c r="N692" i="1"/>
  <c r="G692" i="1"/>
  <c r="O673" i="1"/>
  <c r="N673" i="1"/>
  <c r="G673" i="1"/>
  <c r="O660" i="1"/>
  <c r="N660" i="1"/>
  <c r="G660" i="1"/>
  <c r="O647" i="1"/>
  <c r="N647" i="1"/>
  <c r="G647" i="1"/>
  <c r="O646" i="1"/>
  <c r="N646" i="1"/>
  <c r="G646" i="1"/>
  <c r="O645" i="1"/>
  <c r="N645" i="1"/>
  <c r="G645" i="1"/>
  <c r="O644" i="1"/>
  <c r="N644" i="1"/>
  <c r="G644" i="1"/>
  <c r="O643" i="1"/>
  <c r="N643" i="1"/>
  <c r="G643" i="1"/>
  <c r="O633" i="1"/>
  <c r="N633" i="1"/>
  <c r="G633" i="1"/>
  <c r="O597" i="1"/>
  <c r="N597" i="1"/>
  <c r="G597" i="1"/>
  <c r="O586" i="1"/>
  <c r="N586" i="1"/>
  <c r="G586" i="1"/>
  <c r="O614" i="1"/>
  <c r="N614" i="1"/>
  <c r="G614" i="1"/>
  <c r="O851" i="1"/>
  <c r="N851" i="1"/>
  <c r="G851" i="1"/>
  <c r="O847" i="1"/>
  <c r="N847" i="1"/>
  <c r="G847" i="1"/>
  <c r="O846" i="1"/>
  <c r="N846" i="1"/>
  <c r="G846" i="1"/>
  <c r="O845" i="1"/>
  <c r="N845" i="1"/>
  <c r="G845" i="1"/>
  <c r="O843" i="1"/>
  <c r="N843" i="1"/>
  <c r="G843" i="1"/>
  <c r="O423" i="1"/>
  <c r="N423" i="1"/>
  <c r="G423" i="1"/>
  <c r="O418" i="1"/>
  <c r="N418" i="1"/>
  <c r="G418" i="1"/>
  <c r="O477" i="1"/>
  <c r="N477" i="1"/>
  <c r="G477" i="1"/>
  <c r="O570" i="1"/>
  <c r="N570" i="1"/>
  <c r="G570" i="1"/>
  <c r="O878" i="1"/>
  <c r="N878" i="1"/>
  <c r="G878" i="1"/>
  <c r="O873" i="1"/>
  <c r="N873" i="1"/>
  <c r="G873" i="1"/>
  <c r="O866" i="1"/>
  <c r="N866" i="1"/>
  <c r="G866" i="1"/>
  <c r="O706" i="1"/>
  <c r="N706" i="1"/>
  <c r="G706" i="1"/>
  <c r="O705" i="1"/>
  <c r="N705" i="1"/>
  <c r="G705" i="1"/>
  <c r="O704" i="1"/>
  <c r="N704" i="1"/>
  <c r="G704" i="1"/>
  <c r="O703" i="1"/>
  <c r="N703" i="1"/>
  <c r="G703" i="1"/>
  <c r="O677" i="1"/>
  <c r="N677" i="1"/>
  <c r="G677" i="1"/>
  <c r="O676" i="1"/>
  <c r="N676" i="1"/>
  <c r="G676" i="1"/>
  <c r="O675" i="1"/>
  <c r="N675" i="1"/>
  <c r="G675" i="1"/>
  <c r="O669" i="1"/>
  <c r="N669" i="1"/>
  <c r="G669" i="1"/>
  <c r="O616" i="1"/>
  <c r="N616" i="1"/>
  <c r="G616" i="1"/>
  <c r="O595" i="1"/>
  <c r="N595" i="1"/>
  <c r="G595" i="1"/>
  <c r="O577" i="1"/>
  <c r="N577" i="1"/>
  <c r="G577" i="1"/>
  <c r="O554" i="1"/>
  <c r="N554" i="1"/>
  <c r="G554" i="1"/>
  <c r="O553" i="1"/>
  <c r="N553" i="1"/>
  <c r="G553" i="1"/>
  <c r="O552" i="1"/>
  <c r="N552" i="1"/>
  <c r="G552" i="1"/>
  <c r="O551" i="1"/>
  <c r="N551" i="1"/>
  <c r="G551" i="1"/>
  <c r="O519" i="1"/>
  <c r="N519" i="1"/>
  <c r="G519" i="1"/>
  <c r="O518" i="1"/>
  <c r="N518" i="1"/>
  <c r="G518" i="1"/>
  <c r="O426" i="1"/>
  <c r="N426" i="1"/>
  <c r="G426" i="1"/>
  <c r="O322" i="1"/>
  <c r="N322" i="1"/>
  <c r="G322" i="1"/>
  <c r="O302" i="1"/>
  <c r="N302" i="1"/>
  <c r="G302" i="1"/>
  <c r="O300" i="1"/>
  <c r="N300" i="1"/>
  <c r="G300" i="1"/>
  <c r="O668" i="1"/>
  <c r="N668" i="1"/>
  <c r="G668" i="1"/>
  <c r="O491" i="1"/>
  <c r="N491" i="1"/>
  <c r="G491" i="1"/>
  <c r="O876" i="1"/>
  <c r="N876" i="1"/>
  <c r="G876" i="1"/>
  <c r="O742" i="1"/>
  <c r="N742" i="1"/>
  <c r="G742" i="1"/>
  <c r="O689" i="1"/>
  <c r="N689" i="1"/>
  <c r="G689" i="1"/>
  <c r="O652" i="1"/>
  <c r="N652" i="1"/>
  <c r="G652" i="1"/>
  <c r="O445" i="1"/>
  <c r="N445" i="1"/>
  <c r="G445" i="1"/>
  <c r="O370" i="1"/>
  <c r="N370" i="1"/>
  <c r="G370" i="1"/>
  <c r="O139" i="1"/>
  <c r="N139" i="1"/>
  <c r="G139" i="1"/>
  <c r="O909" i="1"/>
  <c r="N909" i="1"/>
  <c r="G909" i="1"/>
  <c r="O481" i="1"/>
  <c r="N481" i="1"/>
  <c r="G481" i="1"/>
  <c r="O475" i="1"/>
  <c r="N475" i="1"/>
  <c r="G475" i="1"/>
  <c r="O474" i="1"/>
  <c r="N474" i="1"/>
  <c r="G474" i="1"/>
  <c r="O448" i="1"/>
  <c r="N448" i="1"/>
  <c r="G448" i="1"/>
  <c r="O273" i="1"/>
  <c r="N273" i="1"/>
  <c r="G273" i="1"/>
  <c r="O908" i="1"/>
  <c r="N908" i="1"/>
  <c r="G908" i="1"/>
  <c r="O100" i="1"/>
  <c r="N100" i="1"/>
  <c r="G100" i="1"/>
  <c r="O919" i="1"/>
  <c r="N919" i="1"/>
  <c r="G919" i="1"/>
  <c r="O836" i="1"/>
  <c r="N836" i="1"/>
  <c r="G836" i="1"/>
  <c r="O387" i="1"/>
  <c r="N387" i="1"/>
  <c r="G387" i="1"/>
  <c r="O166" i="1"/>
  <c r="N166" i="1"/>
  <c r="G166" i="1"/>
  <c r="O925" i="1"/>
  <c r="N925" i="1"/>
  <c r="G925" i="1"/>
  <c r="O489" i="1"/>
  <c r="N489" i="1"/>
  <c r="G489" i="1"/>
  <c r="O410" i="1"/>
  <c r="N410" i="1"/>
  <c r="G410" i="1"/>
  <c r="O367" i="1"/>
  <c r="N367" i="1"/>
  <c r="G367" i="1"/>
  <c r="O785" i="1"/>
  <c r="N785" i="1"/>
  <c r="G785" i="1"/>
  <c r="O476" i="1"/>
  <c r="N476" i="1"/>
  <c r="G476" i="1"/>
  <c r="O360" i="1"/>
  <c r="N360" i="1"/>
  <c r="G360" i="1"/>
  <c r="O359" i="1"/>
  <c r="N359" i="1"/>
  <c r="G359" i="1"/>
  <c r="O335" i="1"/>
  <c r="N335" i="1"/>
  <c r="G335" i="1"/>
  <c r="O330" i="1"/>
  <c r="N330" i="1"/>
  <c r="G330" i="1"/>
  <c r="O321" i="1"/>
  <c r="N321" i="1"/>
  <c r="G321" i="1"/>
  <c r="O763" i="1"/>
  <c r="N763" i="1"/>
  <c r="G763" i="1"/>
  <c r="O762" i="1"/>
  <c r="N762" i="1"/>
  <c r="G762" i="1"/>
  <c r="O550" i="1"/>
  <c r="N550" i="1"/>
  <c r="G550" i="1"/>
  <c r="O296" i="1"/>
  <c r="N296" i="1"/>
  <c r="G296" i="1"/>
  <c r="O247" i="1"/>
  <c r="N247" i="1"/>
  <c r="G247" i="1"/>
  <c r="O246" i="1"/>
  <c r="N246" i="1"/>
  <c r="G246" i="1"/>
  <c r="O72" i="1"/>
  <c r="N72" i="1"/>
  <c r="G72" i="1"/>
  <c r="O871" i="1"/>
  <c r="N871" i="1"/>
  <c r="G871" i="1"/>
  <c r="O599" i="1"/>
  <c r="N599" i="1"/>
  <c r="G599" i="1"/>
  <c r="O962" i="1"/>
  <c r="N962" i="1"/>
  <c r="G962" i="1"/>
  <c r="O961" i="1"/>
  <c r="N961" i="1"/>
  <c r="G961" i="1"/>
  <c r="O960" i="1"/>
  <c r="N960" i="1"/>
  <c r="G960" i="1"/>
  <c r="O823" i="1"/>
  <c r="N823" i="1"/>
  <c r="G823" i="1"/>
  <c r="O822" i="1"/>
  <c r="N822" i="1"/>
  <c r="G822" i="1"/>
  <c r="O803" i="1"/>
  <c r="N803" i="1"/>
  <c r="G803" i="1"/>
  <c r="O775" i="1"/>
  <c r="N775" i="1"/>
  <c r="G775" i="1"/>
  <c r="O774" i="1"/>
  <c r="N774" i="1"/>
  <c r="G774" i="1"/>
  <c r="O745" i="1"/>
  <c r="N745" i="1"/>
  <c r="G745" i="1"/>
  <c r="O966" i="1"/>
  <c r="N966" i="1"/>
  <c r="G966" i="1"/>
  <c r="O965" i="1"/>
  <c r="N965" i="1"/>
  <c r="G965" i="1"/>
  <c r="O964" i="1"/>
  <c r="N964" i="1"/>
  <c r="G964" i="1"/>
  <c r="O963" i="1"/>
  <c r="N963" i="1"/>
  <c r="G963" i="1"/>
  <c r="O744" i="1"/>
  <c r="N744" i="1"/>
  <c r="G744" i="1"/>
  <c r="O362" i="1"/>
  <c r="N362" i="1"/>
  <c r="G362" i="1"/>
  <c r="O341" i="1"/>
  <c r="N341" i="1"/>
  <c r="G341" i="1"/>
  <c r="O917" i="1"/>
  <c r="N917" i="1"/>
  <c r="G917" i="1"/>
  <c r="O916" i="1"/>
  <c r="N916" i="1"/>
  <c r="G916" i="1"/>
  <c r="O747" i="1"/>
  <c r="N747" i="1"/>
  <c r="G747" i="1"/>
  <c r="O746" i="1"/>
  <c r="N746" i="1"/>
  <c r="G746" i="1"/>
  <c r="O684" i="1"/>
  <c r="N684" i="1"/>
  <c r="G684" i="1"/>
  <c r="O683" i="1"/>
  <c r="N683" i="1"/>
  <c r="G683" i="1"/>
  <c r="O447" i="1"/>
  <c r="N447" i="1"/>
  <c r="G447" i="1"/>
  <c r="O334" i="1"/>
  <c r="N334" i="1"/>
  <c r="G334" i="1"/>
  <c r="O317" i="1"/>
  <c r="N317" i="1"/>
  <c r="G317" i="1"/>
  <c r="O893" i="1"/>
  <c r="N893" i="1"/>
  <c r="G893" i="1"/>
  <c r="O524" i="1"/>
  <c r="N524" i="1"/>
  <c r="G524" i="1"/>
  <c r="O378" i="1"/>
  <c r="N378" i="1"/>
  <c r="G378" i="1"/>
  <c r="O343" i="1"/>
  <c r="N343" i="1"/>
  <c r="G343" i="1"/>
  <c r="O342" i="1"/>
  <c r="N342" i="1"/>
  <c r="G342" i="1"/>
  <c r="O257" i="1"/>
  <c r="N257" i="1"/>
  <c r="G257" i="1"/>
  <c r="O523" i="1"/>
  <c r="N523" i="1"/>
  <c r="G523" i="1"/>
  <c r="O191" i="1"/>
  <c r="N191" i="1"/>
  <c r="G191" i="1"/>
  <c r="O127" i="1"/>
  <c r="N127" i="1"/>
  <c r="G127" i="1"/>
  <c r="O98" i="1"/>
  <c r="N98" i="1"/>
  <c r="G98" i="1"/>
  <c r="O97" i="1"/>
  <c r="N97" i="1"/>
  <c r="G97" i="1"/>
  <c r="O1007" i="1"/>
  <c r="N1007" i="1"/>
  <c r="G1007" i="1"/>
  <c r="O905" i="1"/>
  <c r="N905" i="1"/>
  <c r="G905" i="1"/>
  <c r="O667" i="1"/>
  <c r="N667" i="1"/>
  <c r="G667" i="1"/>
  <c r="O264" i="1"/>
  <c r="N264" i="1"/>
  <c r="G264" i="1"/>
  <c r="O220" i="1"/>
  <c r="N220" i="1"/>
  <c r="G220" i="1"/>
  <c r="O106" i="1"/>
  <c r="N106" i="1"/>
  <c r="G106" i="1"/>
  <c r="O85" i="1"/>
  <c r="N85" i="1"/>
  <c r="G85" i="1"/>
  <c r="O1009" i="1"/>
  <c r="N1009" i="1"/>
  <c r="G1009" i="1"/>
  <c r="O428" i="1"/>
  <c r="N428" i="1"/>
  <c r="G428" i="1"/>
  <c r="O427" i="1"/>
  <c r="N427" i="1"/>
  <c r="G427" i="1"/>
  <c r="O778" i="1"/>
  <c r="N778" i="1"/>
  <c r="G778" i="1"/>
  <c r="O777" i="1"/>
  <c r="N777" i="1"/>
  <c r="G777" i="1"/>
  <c r="O149" i="1"/>
  <c r="N149" i="1"/>
  <c r="G149" i="1"/>
  <c r="O516" i="1"/>
  <c r="N516" i="1"/>
  <c r="G516" i="1"/>
  <c r="O515" i="1"/>
  <c r="N515" i="1"/>
  <c r="G515" i="1"/>
  <c r="O332" i="1"/>
  <c r="N332" i="1"/>
  <c r="G332" i="1"/>
  <c r="O102" i="1"/>
  <c r="N102" i="1"/>
  <c r="G102" i="1"/>
  <c r="O101" i="1"/>
  <c r="N101" i="1"/>
  <c r="G101" i="1"/>
  <c r="O617" i="1"/>
  <c r="N617" i="1"/>
  <c r="G617" i="1"/>
  <c r="O297" i="1"/>
  <c r="N297" i="1"/>
  <c r="G297" i="1"/>
  <c r="O290" i="1"/>
  <c r="N290" i="1"/>
  <c r="G290" i="1"/>
  <c r="O235" i="1"/>
  <c r="N235" i="1"/>
  <c r="G235" i="1"/>
  <c r="O165" i="1"/>
  <c r="N165" i="1"/>
  <c r="G165" i="1"/>
  <c r="O807" i="1"/>
  <c r="N807" i="1"/>
  <c r="G807" i="1"/>
  <c r="O870" i="1"/>
  <c r="N870" i="1"/>
  <c r="G870" i="1"/>
  <c r="O258" i="1"/>
  <c r="N258" i="1"/>
  <c r="G258" i="1"/>
  <c r="O131" i="1"/>
  <c r="N131" i="1"/>
  <c r="G131" i="1"/>
  <c r="O122" i="1"/>
  <c r="N122" i="1"/>
  <c r="G122" i="1"/>
  <c r="O39" i="1"/>
  <c r="N39" i="1"/>
  <c r="G39" i="1"/>
  <c r="O958" i="1"/>
  <c r="N958" i="1"/>
  <c r="G958" i="1"/>
  <c r="O957" i="1"/>
  <c r="N957" i="1"/>
  <c r="G957" i="1"/>
  <c r="O693" i="1"/>
  <c r="N693" i="1"/>
  <c r="G693" i="1"/>
  <c r="O682" i="1"/>
  <c r="N682" i="1"/>
  <c r="G682" i="1"/>
  <c r="O681" i="1"/>
  <c r="N681" i="1"/>
  <c r="G681" i="1"/>
  <c r="O680" i="1"/>
  <c r="N680" i="1"/>
  <c r="G680" i="1"/>
  <c r="O679" i="1"/>
  <c r="N679" i="1"/>
  <c r="G679" i="1"/>
  <c r="O837" i="1"/>
  <c r="N837" i="1"/>
  <c r="G837" i="1"/>
  <c r="O902" i="1"/>
  <c r="N902" i="1"/>
  <c r="G902" i="1"/>
  <c r="O501" i="1"/>
  <c r="N501" i="1"/>
  <c r="G501" i="1"/>
  <c r="O500" i="1"/>
  <c r="N500" i="1"/>
  <c r="G500" i="1"/>
  <c r="O11" i="1"/>
  <c r="N11" i="1"/>
  <c r="G11" i="1"/>
  <c r="O9" i="1"/>
  <c r="N9" i="1"/>
  <c r="G9" i="1"/>
  <c r="O12" i="1"/>
  <c r="N12" i="1"/>
  <c r="G12" i="1"/>
  <c r="O6" i="1"/>
  <c r="N6" i="1"/>
  <c r="G6" i="1"/>
  <c r="O875" i="1"/>
  <c r="N875" i="1"/>
  <c r="G875" i="1"/>
  <c r="O780" i="1"/>
  <c r="N780" i="1"/>
  <c r="G780" i="1"/>
  <c r="O642" i="1"/>
  <c r="N642" i="1"/>
  <c r="G642" i="1"/>
  <c r="O314" i="1"/>
  <c r="N314" i="1"/>
  <c r="G314" i="1"/>
  <c r="O604" i="1"/>
  <c r="N604" i="1"/>
  <c r="G604" i="1"/>
  <c r="O603" i="1"/>
  <c r="N603" i="1"/>
  <c r="G603" i="1"/>
  <c r="O602" i="1"/>
  <c r="N602" i="1"/>
  <c r="G602" i="1"/>
  <c r="O391" i="1"/>
  <c r="N391" i="1"/>
  <c r="G391" i="1"/>
  <c r="O27" i="1"/>
  <c r="N27" i="1"/>
  <c r="G27" i="1"/>
  <c r="O5" i="1"/>
  <c r="N5" i="1"/>
  <c r="G5" i="1"/>
  <c r="O178" i="1"/>
  <c r="N178" i="1"/>
  <c r="G178" i="1"/>
  <c r="O898" i="1"/>
  <c r="N898" i="1"/>
  <c r="G898" i="1"/>
  <c r="O869" i="1"/>
  <c r="N869" i="1"/>
  <c r="G869" i="1"/>
  <c r="O569" i="1"/>
  <c r="N569" i="1"/>
  <c r="G569" i="1"/>
  <c r="O568" i="1"/>
  <c r="N568" i="1"/>
  <c r="G568" i="1"/>
  <c r="O567" i="1"/>
  <c r="N567" i="1"/>
  <c r="G567" i="1"/>
  <c r="O424" i="1"/>
  <c r="N424" i="1"/>
  <c r="G424" i="1"/>
  <c r="O388" i="1"/>
  <c r="N388" i="1"/>
  <c r="G388" i="1"/>
  <c r="O948" i="1"/>
  <c r="N948" i="1"/>
  <c r="G948" i="1"/>
  <c r="O947" i="1"/>
  <c r="N947" i="1"/>
  <c r="G947" i="1"/>
  <c r="O946" i="1"/>
  <c r="N946" i="1"/>
  <c r="G946" i="1"/>
  <c r="O945" i="1"/>
  <c r="N945" i="1"/>
  <c r="G945" i="1"/>
  <c r="O944" i="1"/>
  <c r="N944" i="1"/>
  <c r="G944" i="1"/>
  <c r="O943" i="1"/>
  <c r="N943" i="1"/>
  <c r="G943" i="1"/>
  <c r="O942" i="1"/>
  <c r="N942" i="1"/>
  <c r="G942" i="1"/>
  <c r="O941" i="1"/>
  <c r="N941" i="1"/>
  <c r="G941" i="1"/>
  <c r="O328" i="1"/>
  <c r="N328" i="1"/>
  <c r="G328" i="1"/>
  <c r="O292" i="1"/>
  <c r="N292" i="1"/>
  <c r="G292" i="1"/>
  <c r="O282" i="1"/>
  <c r="N282" i="1"/>
  <c r="G282" i="1"/>
  <c r="O227" i="1"/>
  <c r="N227" i="1"/>
  <c r="G227" i="1"/>
  <c r="O226" i="1"/>
  <c r="N226" i="1"/>
  <c r="G226" i="1"/>
  <c r="O225" i="1"/>
  <c r="N225" i="1"/>
  <c r="G225" i="1"/>
  <c r="O223" i="1"/>
  <c r="N223" i="1"/>
  <c r="G223" i="1"/>
  <c r="O222" i="1"/>
  <c r="N222" i="1"/>
  <c r="G222" i="1"/>
  <c r="O29" i="1"/>
  <c r="N29" i="1"/>
  <c r="G29" i="1"/>
  <c r="O28" i="1"/>
  <c r="N28" i="1"/>
  <c r="G28" i="1"/>
  <c r="O928" i="1"/>
  <c r="N928" i="1"/>
  <c r="G928" i="1"/>
  <c r="O816" i="1"/>
  <c r="N816" i="1"/>
  <c r="G816" i="1"/>
  <c r="O446" i="1"/>
  <c r="N446" i="1"/>
  <c r="G446" i="1"/>
  <c r="O291" i="1"/>
  <c r="N291" i="1"/>
  <c r="G291" i="1"/>
  <c r="O281" i="1"/>
  <c r="N281" i="1"/>
  <c r="G281" i="1"/>
  <c r="O280" i="1"/>
  <c r="N280" i="1"/>
  <c r="G280" i="1"/>
  <c r="O279" i="1"/>
  <c r="N279" i="1"/>
  <c r="G279" i="1"/>
  <c r="O278" i="1"/>
  <c r="N278" i="1"/>
  <c r="G278" i="1"/>
  <c r="O277" i="1"/>
  <c r="N277" i="1"/>
  <c r="G277" i="1"/>
  <c r="O181" i="1"/>
  <c r="N181" i="1"/>
  <c r="G181" i="1"/>
  <c r="O180" i="1"/>
  <c r="N180" i="1"/>
  <c r="G180" i="1"/>
  <c r="O179" i="1"/>
  <c r="N179" i="1"/>
  <c r="G179" i="1"/>
  <c r="O904" i="1"/>
  <c r="N904" i="1"/>
  <c r="G904" i="1"/>
  <c r="O903" i="1"/>
  <c r="N903" i="1"/>
  <c r="G903" i="1"/>
  <c r="O434" i="1"/>
  <c r="N434" i="1"/>
  <c r="G434" i="1"/>
  <c r="O666" i="1"/>
  <c r="N666" i="1"/>
  <c r="G666" i="1"/>
  <c r="O566" i="1"/>
  <c r="N566" i="1"/>
  <c r="G566" i="1"/>
  <c r="O949" i="1"/>
  <c r="N949" i="1"/>
  <c r="G949" i="1"/>
  <c r="O582" i="1"/>
  <c r="N582" i="1"/>
  <c r="G582" i="1"/>
  <c r="O581" i="1"/>
  <c r="N581" i="1"/>
  <c r="G581" i="1"/>
  <c r="O580" i="1"/>
  <c r="N580" i="1"/>
  <c r="G580" i="1"/>
  <c r="O579" i="1"/>
  <c r="N579" i="1"/>
  <c r="G579" i="1"/>
  <c r="O578" i="1"/>
  <c r="N578" i="1"/>
  <c r="G578" i="1"/>
  <c r="O576" i="1"/>
  <c r="N576" i="1"/>
  <c r="G576" i="1"/>
  <c r="O575" i="1"/>
  <c r="N575" i="1"/>
  <c r="G575" i="1"/>
  <c r="O574" i="1"/>
  <c r="N574" i="1"/>
  <c r="G574" i="1"/>
  <c r="O573" i="1"/>
  <c r="N573" i="1"/>
  <c r="G573" i="1"/>
  <c r="O572" i="1"/>
  <c r="N572" i="1"/>
  <c r="G572" i="1"/>
  <c r="O571" i="1"/>
  <c r="N571" i="1"/>
  <c r="G571" i="1"/>
  <c r="O389" i="1"/>
  <c r="N389" i="1"/>
  <c r="G389" i="1"/>
  <c r="O256" i="1"/>
  <c r="N256" i="1"/>
  <c r="G256" i="1"/>
  <c r="O255" i="1"/>
  <c r="N255" i="1"/>
  <c r="G255" i="1"/>
  <c r="O254" i="1"/>
  <c r="N254" i="1"/>
  <c r="G254" i="1"/>
  <c r="O253" i="1"/>
  <c r="N253" i="1"/>
  <c r="G253" i="1"/>
  <c r="O242" i="1"/>
  <c r="N242" i="1"/>
  <c r="G242" i="1"/>
  <c r="O237" i="1"/>
  <c r="N237" i="1"/>
  <c r="G237" i="1"/>
  <c r="O236" i="1"/>
  <c r="N236" i="1"/>
  <c r="G236" i="1"/>
  <c r="O231" i="1"/>
  <c r="N231" i="1"/>
  <c r="G231" i="1"/>
  <c r="O230" i="1"/>
  <c r="N230" i="1"/>
  <c r="G230" i="1"/>
  <c r="O229" i="1"/>
  <c r="N229" i="1"/>
  <c r="G229" i="1"/>
  <c r="O228" i="1"/>
  <c r="N228" i="1"/>
  <c r="G228" i="1"/>
  <c r="O184" i="1"/>
  <c r="N184" i="1"/>
  <c r="G184" i="1"/>
  <c r="O323" i="1"/>
  <c r="N323" i="1"/>
  <c r="G323" i="1"/>
  <c r="O993" i="1"/>
  <c r="N993" i="1"/>
  <c r="G993" i="1"/>
  <c r="O171" i="1"/>
  <c r="N171" i="1"/>
  <c r="G171" i="1"/>
  <c r="O690" i="1"/>
  <c r="N690" i="1"/>
  <c r="G690" i="1"/>
  <c r="O497" i="1"/>
  <c r="N497" i="1"/>
  <c r="G497" i="1"/>
  <c r="O496" i="1"/>
  <c r="N496" i="1"/>
  <c r="G496" i="1"/>
  <c r="O485" i="1"/>
  <c r="N485" i="1"/>
  <c r="G485" i="1"/>
  <c r="O484" i="1"/>
  <c r="N484" i="1"/>
  <c r="G484" i="1"/>
  <c r="O483" i="1"/>
  <c r="N483" i="1"/>
  <c r="G483" i="1"/>
  <c r="O482" i="1"/>
  <c r="N482" i="1"/>
  <c r="G482" i="1"/>
  <c r="O776" i="1"/>
  <c r="N776" i="1"/>
  <c r="G776" i="1"/>
  <c r="O561" i="1"/>
  <c r="N561" i="1"/>
  <c r="G561" i="1"/>
  <c r="O169" i="1"/>
  <c r="N169" i="1"/>
  <c r="G169" i="1"/>
  <c r="O109" i="1"/>
  <c r="N109" i="1"/>
  <c r="G109" i="1"/>
  <c r="O952" i="1"/>
  <c r="N952" i="1"/>
  <c r="G952" i="1"/>
  <c r="O936" i="1"/>
  <c r="N936" i="1"/>
  <c r="G936" i="1"/>
  <c r="O935" i="1"/>
  <c r="N935" i="1"/>
  <c r="G935" i="1"/>
  <c r="O934" i="1"/>
  <c r="N934" i="1"/>
  <c r="G934" i="1"/>
  <c r="O897" i="1"/>
  <c r="N897" i="1"/>
  <c r="G897" i="1"/>
  <c r="O327" i="1"/>
  <c r="N327" i="1"/>
  <c r="G327" i="1"/>
  <c r="O1008" i="1"/>
  <c r="N1008" i="1"/>
  <c r="G1008" i="1"/>
  <c r="O913" i="1"/>
  <c r="N913" i="1"/>
  <c r="G913" i="1"/>
  <c r="O901" i="1"/>
  <c r="N901" i="1"/>
  <c r="G901" i="1"/>
  <c r="O900" i="1"/>
  <c r="N900" i="1"/>
  <c r="G900" i="1"/>
  <c r="O896" i="1"/>
  <c r="N896" i="1"/>
  <c r="G896" i="1"/>
  <c r="O895" i="1"/>
  <c r="N895" i="1"/>
  <c r="G895" i="1"/>
  <c r="O894" i="1"/>
  <c r="N894" i="1"/>
  <c r="G894" i="1"/>
  <c r="O83" i="1"/>
  <c r="N83" i="1"/>
  <c r="G83" i="1"/>
  <c r="O10" i="1"/>
  <c r="N10" i="1"/>
  <c r="G10" i="1"/>
  <c r="O999" i="1"/>
  <c r="N999" i="1"/>
  <c r="G999" i="1"/>
  <c r="O357" i="1"/>
  <c r="N357" i="1"/>
  <c r="G357" i="1"/>
  <c r="O338" i="1"/>
  <c r="N338" i="1"/>
  <c r="G338" i="1"/>
  <c r="O276" i="1"/>
  <c r="N276" i="1"/>
  <c r="G276" i="1"/>
  <c r="O177" i="1"/>
  <c r="N177" i="1"/>
  <c r="G177" i="1"/>
  <c r="O176" i="1"/>
  <c r="N176" i="1"/>
  <c r="G176" i="1"/>
  <c r="O175" i="1"/>
  <c r="N175" i="1"/>
  <c r="G175" i="1"/>
  <c r="O17" i="1"/>
  <c r="N17" i="1"/>
  <c r="G17" i="1"/>
  <c r="O16" i="1"/>
  <c r="N16" i="1"/>
  <c r="G16" i="1"/>
  <c r="O15" i="1"/>
  <c r="N15" i="1"/>
  <c r="G15" i="1"/>
  <c r="O14" i="1"/>
  <c r="N14" i="1"/>
  <c r="G14" i="1"/>
  <c r="O13" i="1"/>
  <c r="N13" i="1"/>
  <c r="G13" i="1"/>
  <c r="O950" i="1"/>
  <c r="N950" i="1"/>
  <c r="G950" i="1"/>
  <c r="O933" i="1"/>
  <c r="N933" i="1"/>
  <c r="G933" i="1"/>
  <c r="O932" i="1"/>
  <c r="N932" i="1"/>
  <c r="G932" i="1"/>
  <c r="O931" i="1"/>
  <c r="N931" i="1"/>
  <c r="G931" i="1"/>
  <c r="O930" i="1"/>
  <c r="N930" i="1"/>
  <c r="G930" i="1"/>
  <c r="O927" i="1"/>
  <c r="N927" i="1"/>
  <c r="G927" i="1"/>
  <c r="O926" i="1"/>
  <c r="N926" i="1"/>
  <c r="G926" i="1"/>
  <c r="O707" i="1"/>
  <c r="N707" i="1"/>
  <c r="G707" i="1"/>
  <c r="O520" i="1"/>
  <c r="N520" i="1"/>
  <c r="G520" i="1"/>
  <c r="O517" i="1"/>
  <c r="N517" i="1"/>
  <c r="G517" i="1"/>
  <c r="O488" i="1"/>
  <c r="N488" i="1"/>
  <c r="G488" i="1"/>
  <c r="O487" i="1"/>
  <c r="N487" i="1"/>
  <c r="G487" i="1"/>
  <c r="O421" i="1"/>
  <c r="N421" i="1"/>
  <c r="G421" i="1"/>
  <c r="O373" i="1"/>
  <c r="N373" i="1"/>
  <c r="G373" i="1"/>
  <c r="O219" i="1"/>
  <c r="N219" i="1"/>
  <c r="G219" i="1"/>
  <c r="O118" i="1"/>
  <c r="N118" i="1"/>
  <c r="G118" i="1"/>
  <c r="O117" i="1"/>
  <c r="N117" i="1"/>
  <c r="G117" i="1"/>
  <c r="O25" i="1"/>
  <c r="N25" i="1"/>
  <c r="G25" i="1"/>
  <c r="O24" i="1"/>
  <c r="N24" i="1"/>
  <c r="G24" i="1"/>
  <c r="O23" i="1"/>
  <c r="N23" i="1"/>
  <c r="G23" i="1"/>
  <c r="O22" i="1"/>
  <c r="N22" i="1"/>
  <c r="G22" i="1"/>
  <c r="O955" i="1"/>
  <c r="N955" i="1"/>
  <c r="G955" i="1"/>
  <c r="O954" i="1"/>
  <c r="N954" i="1"/>
  <c r="G954" i="1"/>
  <c r="O915" i="1"/>
  <c r="N915" i="1"/>
  <c r="G915" i="1"/>
  <c r="O914" i="1"/>
  <c r="N914" i="1"/>
  <c r="G914" i="1"/>
  <c r="O912" i="1"/>
  <c r="N912" i="1"/>
  <c r="G912" i="1"/>
  <c r="O911" i="1"/>
  <c r="N911" i="1"/>
  <c r="G911" i="1"/>
  <c r="O910" i="1"/>
  <c r="N910" i="1"/>
  <c r="G910" i="1"/>
  <c r="O463" i="1"/>
  <c r="N463" i="1"/>
  <c r="G463" i="1"/>
  <c r="O21" i="1"/>
  <c r="N21" i="1"/>
  <c r="G21" i="1"/>
  <c r="O20" i="1"/>
  <c r="N20" i="1"/>
  <c r="G20" i="1"/>
  <c r="O18" i="1"/>
  <c r="N18" i="1"/>
  <c r="G18" i="1"/>
  <c r="O8" i="1"/>
  <c r="N8" i="1"/>
  <c r="G8" i="1"/>
  <c r="O998" i="1"/>
  <c r="N998" i="1"/>
  <c r="G998" i="1"/>
  <c r="O997" i="1"/>
  <c r="N997" i="1"/>
  <c r="G997" i="1"/>
  <c r="O996" i="1"/>
  <c r="N996" i="1"/>
  <c r="G996" i="1"/>
  <c r="O988" i="1"/>
  <c r="N988" i="1"/>
  <c r="G988" i="1"/>
  <c r="O953" i="1"/>
  <c r="N953" i="1"/>
  <c r="G953" i="1"/>
  <c r="O951" i="1"/>
  <c r="N951" i="1"/>
  <c r="G951" i="1"/>
  <c r="O937" i="1"/>
  <c r="N937" i="1"/>
  <c r="G937" i="1"/>
  <c r="O929" i="1"/>
  <c r="N929" i="1"/>
  <c r="G929" i="1"/>
  <c r="O899" i="1"/>
  <c r="N899" i="1"/>
  <c r="G899" i="1"/>
  <c r="O889" i="1"/>
  <c r="N889" i="1"/>
  <c r="G889" i="1"/>
  <c r="O888" i="1"/>
  <c r="N888" i="1"/>
  <c r="G888" i="1"/>
  <c r="O887" i="1"/>
  <c r="N887" i="1"/>
  <c r="G887" i="1"/>
  <c r="O886" i="1"/>
  <c r="N886" i="1"/>
  <c r="G886" i="1"/>
  <c r="O885" i="1"/>
  <c r="N885" i="1"/>
  <c r="G885" i="1"/>
  <c r="O884" i="1"/>
  <c r="N884" i="1"/>
  <c r="G884" i="1"/>
  <c r="O883" i="1"/>
  <c r="N883" i="1"/>
  <c r="G883" i="1"/>
  <c r="O882" i="1"/>
  <c r="N882" i="1"/>
  <c r="G882" i="1"/>
  <c r="O881" i="1"/>
  <c r="N881" i="1"/>
  <c r="G881" i="1"/>
  <c r="O880" i="1"/>
  <c r="N880" i="1"/>
  <c r="G880" i="1"/>
  <c r="O879" i="1"/>
  <c r="N879" i="1"/>
  <c r="G879" i="1"/>
  <c r="O329" i="1"/>
  <c r="N329" i="1"/>
  <c r="G329" i="1"/>
  <c r="O19" i="1"/>
  <c r="N19" i="1"/>
  <c r="G19" i="1"/>
  <c r="O783" i="1"/>
  <c r="N783" i="1"/>
  <c r="G783" i="1"/>
  <c r="O3" i="1"/>
  <c r="N3" i="1"/>
  <c r="G3" i="1"/>
  <c r="O234" i="1"/>
  <c r="N234" i="1"/>
  <c r="G234" i="1"/>
  <c r="O210" i="1"/>
  <c r="N210" i="1"/>
  <c r="G210" i="1"/>
  <c r="O174" i="1"/>
  <c r="N174" i="1"/>
  <c r="G174" i="1"/>
  <c r="O651" i="1"/>
  <c r="N651" i="1"/>
  <c r="G651" i="1"/>
  <c r="O251" i="1"/>
  <c r="N251" i="1"/>
  <c r="G251" i="1"/>
  <c r="O250" i="1"/>
  <c r="N250" i="1"/>
  <c r="G250" i="1"/>
  <c r="O249" i="1"/>
  <c r="N249" i="1"/>
  <c r="G249" i="1"/>
  <c r="O248" i="1"/>
  <c r="N248" i="1"/>
  <c r="G248" i="1"/>
  <c r="O979" i="1"/>
  <c r="N979" i="1"/>
  <c r="G979" i="1"/>
  <c r="O831" i="1"/>
  <c r="N831" i="1"/>
  <c r="G831" i="1"/>
  <c r="O695" i="1"/>
  <c r="N695" i="1"/>
  <c r="G695" i="1"/>
  <c r="O472" i="1"/>
  <c r="N472" i="1"/>
  <c r="G472" i="1"/>
  <c r="O471" i="1"/>
  <c r="N471" i="1"/>
  <c r="G471" i="1"/>
  <c r="O358" i="1"/>
  <c r="N358" i="1"/>
  <c r="G358" i="1"/>
  <c r="O386" i="1"/>
  <c r="N386" i="1"/>
  <c r="G386" i="1"/>
  <c r="O784" i="1"/>
  <c r="N784" i="1"/>
  <c r="G784" i="1"/>
  <c r="O637" i="1"/>
  <c r="N637" i="1"/>
  <c r="G637" i="1"/>
  <c r="O119" i="1"/>
  <c r="N119" i="1"/>
  <c r="G119" i="1"/>
  <c r="O36" i="1"/>
  <c r="N36" i="1"/>
  <c r="G36" i="1"/>
  <c r="O711" i="1"/>
  <c r="N711" i="1"/>
  <c r="G711" i="1"/>
  <c r="O562" i="1"/>
  <c r="N562" i="1"/>
  <c r="G562" i="1"/>
  <c r="O419" i="1"/>
  <c r="N419" i="1"/>
  <c r="G419" i="1"/>
  <c r="O130" i="1"/>
  <c r="N130" i="1"/>
  <c r="G130" i="1"/>
  <c r="O37" i="1"/>
  <c r="N37" i="1"/>
  <c r="G37" i="1"/>
  <c r="O26" i="1"/>
  <c r="N26" i="1"/>
  <c r="G26" i="1"/>
  <c r="O835" i="1"/>
  <c r="N835" i="1"/>
  <c r="G835" i="1"/>
  <c r="O727" i="1"/>
  <c r="N727" i="1"/>
  <c r="G727" i="1"/>
  <c r="O641" i="1"/>
  <c r="N641" i="1"/>
  <c r="G641" i="1"/>
  <c r="O473" i="1"/>
  <c r="N473" i="1"/>
  <c r="G473" i="1"/>
  <c r="O920" i="1"/>
  <c r="N920" i="1"/>
  <c r="G920" i="1"/>
  <c r="O525" i="1"/>
  <c r="N525" i="1"/>
  <c r="G525" i="1"/>
  <c r="O331" i="1"/>
  <c r="N331" i="1"/>
  <c r="G331" i="1"/>
  <c r="O272" i="1"/>
  <c r="N272" i="1"/>
  <c r="G272" i="1"/>
  <c r="O33" i="1"/>
  <c r="N33" i="1"/>
  <c r="G33" i="1"/>
  <c r="O921" i="1"/>
  <c r="N921" i="1"/>
  <c r="G921" i="1"/>
  <c r="O498" i="1"/>
  <c r="N498" i="1"/>
  <c r="G498" i="1"/>
  <c r="O470" i="1"/>
  <c r="N470" i="1"/>
  <c r="G470" i="1"/>
  <c r="O457" i="1"/>
  <c r="N457" i="1"/>
  <c r="G457" i="1"/>
  <c r="O435" i="1"/>
  <c r="N435" i="1"/>
  <c r="G435" i="1"/>
  <c r="O432" i="1"/>
  <c r="N432" i="1"/>
  <c r="G432" i="1"/>
  <c r="O369" i="1"/>
  <c r="N369" i="1"/>
  <c r="G369" i="1"/>
  <c r="O129" i="1"/>
  <c r="N129" i="1"/>
  <c r="G129" i="1"/>
  <c r="O128" i="1"/>
  <c r="N128" i="1"/>
  <c r="G128" i="1"/>
  <c r="O121" i="1"/>
  <c r="N121" i="1"/>
  <c r="G121" i="1"/>
  <c r="O120" i="1"/>
  <c r="N120" i="1"/>
  <c r="G120" i="1"/>
  <c r="O38" i="1"/>
  <c r="N38" i="1"/>
  <c r="G38" i="1"/>
  <c r="O4" i="1"/>
  <c r="N4" i="1"/>
  <c r="G4" i="1"/>
  <c r="O877" i="1"/>
  <c r="N877" i="1"/>
  <c r="G877" i="1"/>
  <c r="O564" i="1"/>
  <c r="N564" i="1"/>
  <c r="G564" i="1"/>
  <c r="O563" i="1"/>
  <c r="N563" i="1"/>
  <c r="G563" i="1"/>
  <c r="O528" i="1"/>
  <c r="N528" i="1"/>
  <c r="G528" i="1"/>
  <c r="O527" i="1"/>
  <c r="N527" i="1"/>
  <c r="G527" i="1"/>
  <c r="O468" i="1"/>
  <c r="N468" i="1"/>
  <c r="G468" i="1"/>
  <c r="O467" i="1"/>
  <c r="N467" i="1"/>
  <c r="G467" i="1"/>
  <c r="O285" i="1"/>
  <c r="N285" i="1"/>
  <c r="G285" i="1"/>
  <c r="O35" i="1"/>
  <c r="N35" i="1"/>
  <c r="G35" i="1"/>
  <c r="O34" i="1"/>
  <c r="N34" i="1"/>
  <c r="G34" i="1"/>
  <c r="O872" i="1"/>
  <c r="N872" i="1"/>
  <c r="G872" i="1"/>
  <c r="O825" i="1"/>
  <c r="N825" i="1"/>
  <c r="G825" i="1"/>
  <c r="O787" i="1"/>
  <c r="N787" i="1"/>
  <c r="G787" i="1"/>
  <c r="O748" i="1"/>
  <c r="N748" i="1"/>
  <c r="G748" i="1"/>
  <c r="O657" i="1"/>
  <c r="N657" i="1"/>
  <c r="G657" i="1"/>
  <c r="O197" i="1"/>
  <c r="N197" i="1"/>
  <c r="G197" i="1"/>
  <c r="O798" i="1"/>
  <c r="N798" i="1"/>
  <c r="G798" i="1"/>
  <c r="O252" i="1"/>
  <c r="N252" i="1"/>
  <c r="G252" i="1"/>
  <c r="O834" i="1"/>
  <c r="N834" i="1"/>
  <c r="G834" i="1"/>
  <c r="O833" i="1"/>
  <c r="N833" i="1"/>
  <c r="G833" i="1"/>
  <c r="O672" i="1"/>
  <c r="N672" i="1"/>
  <c r="G672" i="1"/>
  <c r="O659" i="1"/>
  <c r="N659" i="1"/>
  <c r="G659" i="1"/>
  <c r="O658" i="1"/>
  <c r="N658" i="1"/>
  <c r="G658" i="1"/>
  <c r="O656" i="1"/>
  <c r="N656" i="1"/>
  <c r="G656" i="1"/>
  <c r="O655" i="1"/>
  <c r="N655" i="1"/>
  <c r="G655" i="1"/>
  <c r="O654" i="1"/>
  <c r="N654" i="1"/>
  <c r="G654" i="1"/>
  <c r="O590" i="1"/>
  <c r="N590" i="1"/>
  <c r="G590" i="1"/>
  <c r="O589" i="1"/>
  <c r="N589" i="1"/>
  <c r="G589" i="1"/>
  <c r="O588" i="1"/>
  <c r="N588" i="1"/>
  <c r="G588" i="1"/>
  <c r="O587" i="1"/>
  <c r="N587" i="1"/>
  <c r="G587" i="1"/>
  <c r="O665" i="1"/>
  <c r="N665" i="1"/>
  <c r="G665" i="1"/>
  <c r="O664" i="1"/>
  <c r="N664" i="1"/>
  <c r="G664" i="1"/>
  <c r="O663" i="1"/>
  <c r="N663" i="1"/>
  <c r="G663" i="1"/>
  <c r="O662" i="1"/>
  <c r="N662" i="1"/>
  <c r="G662" i="1"/>
  <c r="O661" i="1"/>
  <c r="N661" i="1"/>
  <c r="G661" i="1"/>
  <c r="O956" i="1"/>
  <c r="N956" i="1"/>
  <c r="G956" i="1"/>
  <c r="O336" i="1"/>
  <c r="N336" i="1"/>
  <c r="G336" i="1"/>
  <c r="O741" i="1"/>
  <c r="N741" i="1"/>
  <c r="G741" i="1"/>
  <c r="O650" i="1"/>
  <c r="N650" i="1"/>
  <c r="G650" i="1"/>
  <c r="O593" i="1"/>
  <c r="N593" i="1"/>
  <c r="G593" i="1"/>
  <c r="O510" i="1"/>
  <c r="N510" i="1"/>
  <c r="G510" i="1"/>
  <c r="O509" i="1"/>
  <c r="N509" i="1"/>
  <c r="G509" i="1"/>
  <c r="O508" i="1"/>
  <c r="N508" i="1"/>
  <c r="G508" i="1"/>
  <c r="O507" i="1"/>
  <c r="N507" i="1"/>
  <c r="G507" i="1"/>
  <c r="O506" i="1"/>
  <c r="N506" i="1"/>
  <c r="G506" i="1"/>
  <c r="O505" i="1"/>
  <c r="N505" i="1"/>
  <c r="G505" i="1"/>
  <c r="O494" i="1"/>
  <c r="N494" i="1"/>
  <c r="G494" i="1"/>
  <c r="O492" i="1"/>
  <c r="N492" i="1"/>
  <c r="G492" i="1"/>
  <c r="O415" i="1"/>
  <c r="N415" i="1"/>
  <c r="G415" i="1"/>
  <c r="O344" i="1"/>
  <c r="N344" i="1"/>
  <c r="G344" i="1"/>
  <c r="O298" i="1"/>
  <c r="N298" i="1"/>
  <c r="G298" i="1"/>
  <c r="O284" i="1"/>
  <c r="N284" i="1"/>
  <c r="G284" i="1"/>
  <c r="O261" i="1"/>
  <c r="N261" i="1"/>
  <c r="G261" i="1"/>
  <c r="O260" i="1"/>
  <c r="N260" i="1"/>
  <c r="G260" i="1"/>
  <c r="O244" i="1"/>
  <c r="N244" i="1"/>
  <c r="G244" i="1"/>
  <c r="O243" i="1"/>
  <c r="N243" i="1"/>
  <c r="G243" i="1"/>
  <c r="O143" i="1"/>
  <c r="N143" i="1"/>
  <c r="G143" i="1"/>
  <c r="O142" i="1"/>
  <c r="N142" i="1"/>
  <c r="G142" i="1"/>
  <c r="O116" i="1"/>
  <c r="N116" i="1"/>
  <c r="G116" i="1"/>
  <c r="O92" i="1"/>
  <c r="N92" i="1"/>
  <c r="G92" i="1"/>
  <c r="O91" i="1"/>
  <c r="N91" i="1"/>
  <c r="G91" i="1"/>
  <c r="O90" i="1"/>
  <c r="N90" i="1"/>
  <c r="G90" i="1"/>
  <c r="O995" i="1"/>
  <c r="N995" i="1"/>
  <c r="G995" i="1"/>
  <c r="O981" i="1"/>
  <c r="N981" i="1"/>
  <c r="G981" i="1"/>
  <c r="O980" i="1"/>
  <c r="N980" i="1"/>
  <c r="G980" i="1"/>
  <c r="O723" i="1"/>
  <c r="N723" i="1"/>
  <c r="G723" i="1"/>
  <c r="O238" i="1"/>
  <c r="N238" i="1"/>
  <c r="G238" i="1"/>
  <c r="O95" i="1"/>
  <c r="N95" i="1"/>
  <c r="G95" i="1"/>
  <c r="O94" i="1"/>
  <c r="N94" i="1"/>
  <c r="G94" i="1"/>
  <c r="O93" i="1"/>
  <c r="N93" i="1"/>
  <c r="G93" i="1"/>
  <c r="O638" i="1"/>
  <c r="N638" i="1"/>
  <c r="G638" i="1"/>
  <c r="O940" i="1"/>
  <c r="N940" i="1"/>
  <c r="G940" i="1"/>
  <c r="O623" i="1"/>
  <c r="N623" i="1"/>
  <c r="G623" i="1"/>
  <c r="O385" i="1"/>
  <c r="N385" i="1"/>
  <c r="G385" i="1"/>
  <c r="O183" i="1"/>
  <c r="N183" i="1"/>
  <c r="G183" i="1"/>
  <c r="O182" i="1"/>
  <c r="N182" i="1"/>
  <c r="G182" i="1"/>
  <c r="O141" i="1"/>
  <c r="N141" i="1"/>
  <c r="G141" i="1"/>
  <c r="O84" i="1"/>
  <c r="N84" i="1"/>
  <c r="G84" i="1"/>
  <c r="O815" i="1"/>
  <c r="N815" i="1"/>
  <c r="G815" i="1"/>
  <c r="O702" i="1"/>
  <c r="N702" i="1"/>
  <c r="G702" i="1"/>
  <c r="O140" i="1"/>
  <c r="N140" i="1"/>
  <c r="G140" i="1"/>
  <c r="O610" i="1"/>
  <c r="N610" i="1"/>
  <c r="G610" i="1"/>
  <c r="O77" i="1"/>
  <c r="N77" i="1"/>
  <c r="G77" i="1"/>
  <c r="O76" i="1"/>
  <c r="N76" i="1"/>
  <c r="G76" i="1"/>
  <c r="O994" i="1"/>
  <c r="N994" i="1"/>
  <c r="G994" i="1"/>
  <c r="O992" i="1"/>
  <c r="N992" i="1"/>
  <c r="G992" i="1"/>
  <c r="O991" i="1"/>
  <c r="N991" i="1"/>
  <c r="G991" i="1"/>
  <c r="O990" i="1"/>
  <c r="N990" i="1"/>
  <c r="G990" i="1"/>
  <c r="O989" i="1"/>
  <c r="N989" i="1"/>
  <c r="G989" i="1"/>
  <c r="O862" i="1"/>
  <c r="N862" i="1"/>
  <c r="G862" i="1"/>
  <c r="O839" i="1"/>
  <c r="N839" i="1"/>
  <c r="G839" i="1"/>
  <c r="O820" i="1"/>
  <c r="N820" i="1"/>
  <c r="G820" i="1"/>
  <c r="O752" i="1"/>
  <c r="N752" i="1"/>
  <c r="G752" i="1"/>
  <c r="O691" i="1"/>
  <c r="N691" i="1"/>
  <c r="G691" i="1"/>
  <c r="O631" i="1"/>
  <c r="N631" i="1"/>
  <c r="G631" i="1"/>
  <c r="O618" i="1"/>
  <c r="N618" i="1"/>
  <c r="G618" i="1"/>
  <c r="O607" i="1"/>
  <c r="N607" i="1"/>
  <c r="G607" i="1"/>
  <c r="O592" i="1"/>
  <c r="N592" i="1"/>
  <c r="G592" i="1"/>
  <c r="O512" i="1"/>
  <c r="N512" i="1"/>
  <c r="G512" i="1"/>
  <c r="O456" i="1"/>
  <c r="N456" i="1"/>
  <c r="G456" i="1"/>
  <c r="O455" i="1"/>
  <c r="N455" i="1"/>
  <c r="G455" i="1"/>
  <c r="O442" i="1"/>
  <c r="N442" i="1"/>
  <c r="G442" i="1"/>
  <c r="O441" i="1"/>
  <c r="N441" i="1"/>
  <c r="G441" i="1"/>
  <c r="O408" i="1"/>
  <c r="N408" i="1"/>
  <c r="G408" i="1"/>
  <c r="O407" i="1"/>
  <c r="N407" i="1"/>
  <c r="G407" i="1"/>
  <c r="O406" i="1"/>
  <c r="N406" i="1"/>
  <c r="G406" i="1"/>
  <c r="O405" i="1"/>
  <c r="N405" i="1"/>
  <c r="G405" i="1"/>
  <c r="O384" i="1"/>
  <c r="N384" i="1"/>
  <c r="G384" i="1"/>
  <c r="O383" i="1"/>
  <c r="N383" i="1"/>
  <c r="G383" i="1"/>
  <c r="O379" i="1"/>
  <c r="N379" i="1"/>
  <c r="G379" i="1"/>
  <c r="O374" i="1"/>
  <c r="N374" i="1"/>
  <c r="G374" i="1"/>
  <c r="O372" i="1"/>
  <c r="N372" i="1"/>
  <c r="G372" i="1"/>
  <c r="O351" i="1"/>
  <c r="N351" i="1"/>
  <c r="G351" i="1"/>
  <c r="O347" i="1"/>
  <c r="N347" i="1"/>
  <c r="G347" i="1"/>
  <c r="O346" i="1"/>
  <c r="N346" i="1"/>
  <c r="G346" i="1"/>
  <c r="O345" i="1"/>
  <c r="N345" i="1"/>
  <c r="G345" i="1"/>
  <c r="O340" i="1"/>
  <c r="N340" i="1"/>
  <c r="G340" i="1"/>
  <c r="O325" i="1"/>
  <c r="N325" i="1"/>
  <c r="G325" i="1"/>
  <c r="O320" i="1"/>
  <c r="N320" i="1"/>
  <c r="G320" i="1"/>
  <c r="O313" i="1"/>
  <c r="N313" i="1"/>
  <c r="G313" i="1"/>
  <c r="O299" i="1"/>
  <c r="N299" i="1"/>
  <c r="G299" i="1"/>
  <c r="O274" i="1"/>
  <c r="N274" i="1"/>
  <c r="G274" i="1"/>
  <c r="O269" i="1"/>
  <c r="N269" i="1"/>
  <c r="G269" i="1"/>
  <c r="O268" i="1"/>
  <c r="N268" i="1"/>
  <c r="G268" i="1"/>
  <c r="O267" i="1"/>
  <c r="N267" i="1"/>
  <c r="G267" i="1"/>
  <c r="O266" i="1"/>
  <c r="N266" i="1"/>
  <c r="G266" i="1"/>
  <c r="O265" i="1"/>
  <c r="N265" i="1"/>
  <c r="G265" i="1"/>
  <c r="O241" i="1"/>
  <c r="N241" i="1"/>
  <c r="G241" i="1"/>
  <c r="O173" i="1"/>
  <c r="N173" i="1"/>
  <c r="G173" i="1"/>
  <c r="O172" i="1"/>
  <c r="N172" i="1"/>
  <c r="G172" i="1"/>
  <c r="O164" i="1"/>
  <c r="N164" i="1"/>
  <c r="G164" i="1"/>
  <c r="O108" i="1"/>
  <c r="N108" i="1"/>
  <c r="G108" i="1"/>
  <c r="O107" i="1"/>
  <c r="N107" i="1"/>
  <c r="G107" i="1"/>
  <c r="O88" i="1"/>
  <c r="N88" i="1"/>
  <c r="G88" i="1"/>
  <c r="O86" i="1"/>
  <c r="N86" i="1"/>
  <c r="G86" i="1"/>
  <c r="O80" i="1"/>
  <c r="N80" i="1"/>
  <c r="G80" i="1"/>
  <c r="O79" i="1"/>
  <c r="N79" i="1"/>
  <c r="G79" i="1"/>
  <c r="O66" i="1"/>
  <c r="N66" i="1"/>
  <c r="G66" i="1"/>
  <c r="O65" i="1"/>
  <c r="N65" i="1"/>
  <c r="G65" i="1"/>
  <c r="O64" i="1"/>
  <c r="N64" i="1"/>
  <c r="G64" i="1"/>
  <c r="O63" i="1"/>
  <c r="N63" i="1"/>
  <c r="G63" i="1"/>
  <c r="O62" i="1"/>
  <c r="N62" i="1"/>
  <c r="G62" i="1"/>
  <c r="O61" i="1"/>
  <c r="N61" i="1"/>
  <c r="G61" i="1"/>
  <c r="O60" i="1"/>
  <c r="N60" i="1"/>
  <c r="G60" i="1"/>
  <c r="O59" i="1"/>
  <c r="N59" i="1"/>
  <c r="G59" i="1"/>
  <c r="O58" i="1"/>
  <c r="N58" i="1"/>
  <c r="G58" i="1"/>
  <c r="O56" i="1"/>
  <c r="N56" i="1"/>
  <c r="G56" i="1"/>
  <c r="O50" i="1"/>
  <c r="N50" i="1"/>
  <c r="G50" i="1"/>
  <c r="O48" i="1"/>
  <c r="N48" i="1"/>
  <c r="G48" i="1"/>
  <c r="O46" i="1"/>
  <c r="N46" i="1"/>
  <c r="G46" i="1"/>
  <c r="O45" i="1"/>
  <c r="N45" i="1"/>
  <c r="G45" i="1"/>
  <c r="O42" i="1"/>
  <c r="N42" i="1"/>
  <c r="G42" i="1"/>
  <c r="O814" i="1"/>
  <c r="N814" i="1"/>
  <c r="G814" i="1"/>
  <c r="O796" i="1"/>
  <c r="N796" i="1"/>
  <c r="G796" i="1"/>
  <c r="O722" i="1"/>
  <c r="N722" i="1"/>
  <c r="G722" i="1"/>
  <c r="O622" i="1"/>
  <c r="N622" i="1"/>
  <c r="G622" i="1"/>
  <c r="O621" i="1"/>
  <c r="N621" i="1"/>
  <c r="G621" i="1"/>
  <c r="O620" i="1"/>
  <c r="N620" i="1"/>
  <c r="G620" i="1"/>
  <c r="O619" i="1"/>
  <c r="N619" i="1"/>
  <c r="G619" i="1"/>
  <c r="O613" i="1"/>
  <c r="N613" i="1"/>
  <c r="G613" i="1"/>
  <c r="O612" i="1"/>
  <c r="N612" i="1"/>
  <c r="G612" i="1"/>
  <c r="O425" i="1"/>
  <c r="N425" i="1"/>
  <c r="G425" i="1"/>
  <c r="O377" i="1"/>
  <c r="N377" i="1"/>
  <c r="G377" i="1"/>
  <c r="O353" i="1"/>
  <c r="N353" i="1"/>
  <c r="G353" i="1"/>
  <c r="O352" i="1"/>
  <c r="N352" i="1"/>
  <c r="G352" i="1"/>
  <c r="O324" i="1"/>
  <c r="N324" i="1"/>
  <c r="G324" i="1"/>
  <c r="O110" i="1"/>
  <c r="N110" i="1"/>
  <c r="G110" i="1"/>
  <c r="O355" i="1"/>
  <c r="N355" i="1"/>
  <c r="G355" i="1"/>
  <c r="O354" i="1"/>
  <c r="N354" i="1"/>
  <c r="G354" i="1"/>
  <c r="O270" i="1"/>
  <c r="N270" i="1"/>
  <c r="G270" i="1"/>
  <c r="O263" i="1"/>
  <c r="N263" i="1"/>
  <c r="G263" i="1"/>
  <c r="O262" i="1"/>
  <c r="N262" i="1"/>
  <c r="G262" i="1"/>
  <c r="O115" i="1"/>
  <c r="N115" i="1"/>
  <c r="G115" i="1"/>
  <c r="O114" i="1"/>
  <c r="N114" i="1"/>
  <c r="G114" i="1"/>
  <c r="O113" i="1"/>
  <c r="N113" i="1"/>
  <c r="G113" i="1"/>
  <c r="O112" i="1"/>
  <c r="N112" i="1"/>
  <c r="G112" i="1"/>
  <c r="O111" i="1"/>
  <c r="N111" i="1"/>
  <c r="G111" i="1"/>
  <c r="O824" i="1"/>
  <c r="N824" i="1"/>
  <c r="G824" i="1"/>
  <c r="O678" i="1"/>
  <c r="N678" i="1"/>
  <c r="G678" i="1"/>
  <c r="O627" i="1"/>
  <c r="N627" i="1"/>
  <c r="G627" i="1"/>
  <c r="O865" i="1"/>
  <c r="N865" i="1"/>
  <c r="G865" i="1"/>
  <c r="O849" i="1"/>
  <c r="N849" i="1"/>
  <c r="G849" i="1"/>
  <c r="O848" i="1"/>
  <c r="N848" i="1"/>
  <c r="G848" i="1"/>
  <c r="O469" i="1"/>
  <c r="N469" i="1"/>
  <c r="G469" i="1"/>
  <c r="O466" i="1"/>
  <c r="N466" i="1"/>
  <c r="G466" i="1"/>
  <c r="O864" i="1"/>
  <c r="N864" i="1"/>
  <c r="G864" i="1"/>
  <c r="O710" i="1"/>
  <c r="N710" i="1"/>
  <c r="G710" i="1"/>
  <c r="O31" i="1"/>
  <c r="N31" i="1"/>
  <c r="G31" i="1"/>
  <c r="O30" i="1"/>
  <c r="N30" i="1"/>
  <c r="G30" i="1"/>
</calcChain>
</file>

<file path=xl/comments1.xml><?xml version="1.0" encoding="utf-8"?>
<comments xmlns="http://schemas.openxmlformats.org/spreadsheetml/2006/main">
  <authors>
    <author>Administrador</author>
  </authors>
  <commentList>
    <comment ref="A2" authorId="0" shapeId="0">
      <text>
        <r>
          <rPr>
            <sz val="9"/>
            <color indexed="81"/>
            <rFont val="Segoe UI"/>
            <family val="2"/>
          </rPr>
          <t xml:space="preserve">Ordenado por: CÓDIGO_x000D_
_x000D_
          1ª Coluna  ==  CÓDIGO_x000D_
</t>
        </r>
      </text>
    </comment>
    <comment ref="C2" authorId="0" shapeId="0">
      <text>
        <r>
          <rPr>
            <b/>
            <sz val="9"/>
            <color indexed="81"/>
            <rFont val="Segoe UI"/>
            <family val="2"/>
          </rPr>
          <t>ESTRUTURA</t>
        </r>
        <r>
          <rPr>
            <sz val="9"/>
            <color indexed="81"/>
            <rFont val="Segoe UI"/>
            <family val="2"/>
          </rPr>
          <t xml:space="preserve">
</t>
        </r>
      </text>
    </comment>
    <comment ref="D2" authorId="0" shapeId="0">
      <text>
        <r>
          <rPr>
            <b/>
            <sz val="9"/>
            <color indexed="81"/>
            <rFont val="Segoe UI"/>
            <family val="2"/>
          </rPr>
          <t>GRUPO</t>
        </r>
        <r>
          <rPr>
            <sz val="9"/>
            <color indexed="81"/>
            <rFont val="Segoe UI"/>
            <family val="2"/>
          </rPr>
          <t xml:space="preserve">
</t>
        </r>
      </text>
    </comment>
    <comment ref="E2" authorId="0" shapeId="0">
      <text>
        <r>
          <rPr>
            <b/>
            <sz val="9"/>
            <color indexed="81"/>
            <rFont val="Segoe UI"/>
            <family val="2"/>
          </rPr>
          <t>SUBGRUPO</t>
        </r>
        <r>
          <rPr>
            <sz val="9"/>
            <color indexed="81"/>
            <rFont val="Segoe UI"/>
            <family val="2"/>
          </rPr>
          <t xml:space="preserve">
</t>
        </r>
      </text>
    </comment>
    <comment ref="G2" authorId="0" shapeId="0">
      <text>
        <r>
          <rPr>
            <b/>
            <sz val="9"/>
            <color indexed="81"/>
            <rFont val="Segoe UI"/>
            <family val="2"/>
          </rPr>
          <t xml:space="preserve">Tabela de Códigos:
</t>
        </r>
        <r>
          <rPr>
            <sz val="9"/>
            <color indexed="81"/>
            <rFont val="Segoe UI"/>
            <family val="2"/>
          </rPr>
          <t xml:space="preserve">
ADM Administrativo
EDU Educação
INF Informática
MAN Manutenção
MCO Manutenção - Construção e Alvenaria
MEL Manutenção - Elétrica
MFR Manutenção - Frota
MHI Manutenção - Hidráulica
MMA Manutenção - Marcenaria
MPI Manutenção - Pintura
MSE Manutenção - Serralheria
OUT Outros
SAU Saúde
</t>
        </r>
      </text>
    </comment>
    <comment ref="I2" authorId="0" shapeId="0">
      <text>
        <r>
          <rPr>
            <b/>
            <sz val="10"/>
            <color indexed="81"/>
            <rFont val="Segoe UI"/>
            <family val="2"/>
          </rPr>
          <t>Marcos:</t>
        </r>
        <r>
          <rPr>
            <sz val="10"/>
            <color indexed="81"/>
            <rFont val="Segoe UI"/>
            <family val="2"/>
          </rPr>
          <t xml:space="preserve">
Quantidade de mês para o ponto de pedido.
Este campo é preenchido de forma padrão por fórmula. Só altere quando for mesmo necessário para um item específico.
</t>
        </r>
      </text>
    </comment>
    <comment ref="M2" authorId="0" shapeId="0">
      <text>
        <r>
          <rPr>
            <b/>
            <sz val="9"/>
            <color indexed="81"/>
            <rFont val="Segoe UI"/>
            <family val="2"/>
          </rPr>
          <t xml:space="preserve">CÁLCULO:
</t>
        </r>
        <r>
          <rPr>
            <sz val="9"/>
            <color indexed="81"/>
            <rFont val="Segoe UI"/>
            <family val="2"/>
          </rPr>
          <t>Coluna reservada para apuração de novo ponto de pedido mensal.</t>
        </r>
      </text>
    </comment>
    <comment ref="D3" authorId="0" shapeId="0">
      <text>
        <r>
          <rPr>
            <b/>
            <sz val="9"/>
            <color indexed="81"/>
            <rFont val="Segoe UI"/>
            <family val="2"/>
          </rPr>
          <t>Administrador:</t>
        </r>
        <r>
          <rPr>
            <sz val="9"/>
            <color indexed="81"/>
            <rFont val="Segoe UI"/>
            <family val="2"/>
          </rPr>
          <t xml:space="preserve">
</t>
        </r>
      </text>
    </comment>
    <comment ref="E3" authorId="0" shapeId="0">
      <text>
        <r>
          <rPr>
            <b/>
            <sz val="9"/>
            <color indexed="81"/>
            <rFont val="Segoe UI"/>
            <family val="2"/>
          </rPr>
          <t>Administrador:</t>
        </r>
        <r>
          <rPr>
            <sz val="9"/>
            <color indexed="81"/>
            <rFont val="Segoe UI"/>
            <family val="2"/>
          </rPr>
          <t xml:space="preserve">
</t>
        </r>
      </text>
    </comment>
  </commentList>
</comments>
</file>

<file path=xl/comments2.xml><?xml version="1.0" encoding="utf-8"?>
<comments xmlns="http://schemas.openxmlformats.org/spreadsheetml/2006/main">
  <authors>
    <author>Administrador</author>
  </authors>
  <commentList>
    <comment ref="A3" authorId="0" shapeId="0">
      <text>
        <r>
          <rPr>
            <sz val="9"/>
            <color indexed="81"/>
            <rFont val="Segoe UI"/>
            <family val="2"/>
          </rPr>
          <t xml:space="preserve">Ordenado por: CÓDIGO_x000D_
_x000D_
          1ª Coluna  ==  CÓDIGO_x000D_
</t>
        </r>
      </text>
    </comment>
  </commentList>
</comments>
</file>

<file path=xl/comments3.xml><?xml version="1.0" encoding="utf-8"?>
<comments xmlns="http://schemas.openxmlformats.org/spreadsheetml/2006/main">
  <authors>
    <author>Administrador</author>
  </authors>
  <commentList>
    <comment ref="A2" authorId="0" shapeId="0">
      <text>
        <r>
          <rPr>
            <sz val="9"/>
            <color indexed="81"/>
            <rFont val="Segoe UI"/>
            <family val="2"/>
          </rPr>
          <t xml:space="preserve">Ordenado por: Referência, Valor_x000D_
_x000D_
          1ª Coluna  ==  Referência_x000D_
          2ª Coluna  ==  Valor_x000D_
</t>
        </r>
      </text>
    </comment>
  </commentList>
</comments>
</file>

<file path=xl/comments4.xml><?xml version="1.0" encoding="utf-8"?>
<comments xmlns="http://schemas.openxmlformats.org/spreadsheetml/2006/main">
  <authors>
    <author>Administrador</author>
  </authors>
  <commentList>
    <comment ref="A2" authorId="0" shapeId="0">
      <text>
        <r>
          <rPr>
            <sz val="9"/>
            <color indexed="81"/>
            <rFont val="Segoe UI"/>
            <family val="2"/>
          </rPr>
          <t xml:space="preserve">Ordenado por: DESCRIÇÃO, CÓDIGO_x000D_
_x000D_
          1ª Coluna  ==  DESCRIÇÃO_x000D_
          2ª Coluna  ==  CÓDIGO_x000D_
</t>
        </r>
      </text>
    </comment>
  </commentList>
</comments>
</file>

<file path=xl/sharedStrings.xml><?xml version="1.0" encoding="utf-8"?>
<sst xmlns="http://schemas.openxmlformats.org/spreadsheetml/2006/main" count="7193" uniqueCount="1430">
  <si>
    <t>CÓDIGO</t>
  </si>
  <si>
    <t>DESCRIÇÃO</t>
  </si>
  <si>
    <t>PONTOPED</t>
  </si>
  <si>
    <t>TINTA ESMALTE SINTETICO BRILHANTE - AZUL DEL REY - GALAO C/ 3.600 ML</t>
  </si>
  <si>
    <t>VERNIZ MARITIMO - GALAO C/ 3,6 LITROS</t>
  </si>
  <si>
    <t>CORANTE PARA COLORIR TINTA LATEX - VIOLETA - 50 ML</t>
  </si>
  <si>
    <t>CORANTE PARA COLORIR TINTA LATEX - VERDE - 50 ML</t>
  </si>
  <si>
    <t>CORANTE PARA COLORIR TINTA LATEX - AZUL ESCURO - 50 ML</t>
  </si>
  <si>
    <t>CORANTE PARA COLORIR TINTA LATEX - PRETO - 50 ML</t>
  </si>
  <si>
    <t>CORANTE PARA COLORIR TINTA LATEX - VERMELHO - 50 ML</t>
  </si>
  <si>
    <t>CORANTE PARA COLORIR TINTA LATEX - OCRE - 50 ML</t>
  </si>
  <si>
    <t>TINTA P/ PISO - VERDE ESCURO - LT C/ 18 L</t>
  </si>
  <si>
    <t>TINTA P/ PISO - AZUL MARINHO - LATA C/ 18 LITROS</t>
  </si>
  <si>
    <t>AGUARRAZ MINERAL/VEGETAL - 900 ML</t>
  </si>
  <si>
    <t>THINNER PARA PINTURA AUTOMOTIVA E MOVEIS LATA COM 05 LITROS</t>
  </si>
  <si>
    <t>RELE FOTOELETRICO COM BASE 220 V - 1000 W - TIPO NF</t>
  </si>
  <si>
    <t>PLUG MOVEL 2P 90° PADRAO NBR 14136 DE 20A/250V GIGANTE</t>
  </si>
  <si>
    <t>PLUG MOVEL 2P + T 90° PADRAO NBR 14136 DE 20A/250V GIGANTE</t>
  </si>
  <si>
    <t>PLUG MOVEL 2P + T 90° PADRAO NBR 14136 DE 10A/250V GIGANTE</t>
  </si>
  <si>
    <t xml:space="preserve">CHAVE DE NIVEL TIPO BOIA </t>
  </si>
  <si>
    <t>SOQUETE DE PORCELANA E-27 P/ LAMPADA INCANDESCENTE</t>
  </si>
  <si>
    <t>CAIXA DE PASSAGEM RETANGULAR 2 X 4 - EM PVC</t>
  </si>
  <si>
    <t>ELETRODUTO FLEXIVEL CORRUGADO DE 2"</t>
  </si>
  <si>
    <t xml:space="preserve">TAMPA P/ CONDULETE DE PVC 3/4" CEGA </t>
  </si>
  <si>
    <t>TAMPAO DE PVC PARA CONDULETE DE 3/4"</t>
  </si>
  <si>
    <t>TAMPAO DE PVC PARA CONDULETE DE 1.1/2"</t>
  </si>
  <si>
    <t>CONDULETE EM LIGA DE ALUMINIO FUNDIDO</t>
  </si>
  <si>
    <t xml:space="preserve">CONDULETE EM LIGA DE ALUMINIO </t>
  </si>
  <si>
    <t>CONECTOR DE ALUMINIO PARA CONDULETE MULTIPLO DE 3/4"</t>
  </si>
  <si>
    <t>CONECTOR DE ALUMINIO PARA CONDULETE MULTIPLO DE 1.1/2"</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</si>
  <si>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</si>
  <si>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</si>
  <si>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</si>
  <si>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</si>
  <si>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</si>
  <si>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ABRACADEIRA GALVANIZADA TIPO D DE 3/4"</t>
  </si>
  <si>
    <t>ABRACADEIRA GALVANIZADA TIPO D  - 1.1/2"</t>
  </si>
  <si>
    <t>ABRACADEIRA GALVANIZADA TIPO "D" 1 1/4"</t>
  </si>
  <si>
    <t>CHUVEIRO ELETRICO AUTOMATICO - CORPO EM PLASTICO 220V/5400W</t>
  </si>
  <si>
    <t>CORRETIVO LIQUIDO A BASE DE AGUA - FR C/ 18 ML</t>
  </si>
  <si>
    <t>ELASTICO - EMBALAGEM COM 100GR</t>
  </si>
  <si>
    <t>COLCHETE LATONADO N° 08 - CAIXA C/ 72 UNIDADES</t>
  </si>
  <si>
    <t>GRAMPO 26/6 P/ GRAMPEADOR CX C/ 5000 UNIDADES</t>
  </si>
  <si>
    <t>GRAMPEADOR GRANDE, TAMANHO 26/6</t>
  </si>
  <si>
    <t>PAPEL ESPELHO - 65 X 50 CM - ROSA</t>
  </si>
  <si>
    <t>PAPEL LAMINADO - 50 X 60 CM - PRATA</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</si>
  <si>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</si>
  <si>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</si>
  <si>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</si>
  <si>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</si>
  <si>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</si>
  <si>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PAPEL CREPOM - RL C/ 48 X 200 CM - AMARELO OURO</t>
  </si>
  <si>
    <t>PAPEL CREPOM - RL C/ 48 X 200 CM - LARANJA</t>
  </si>
  <si>
    <t>PAPEL CREPOM - RL C/ 48 X 200 CM - ROSA</t>
  </si>
  <si>
    <t>PAPEL CREPOM - RL C/ 48 X 200 CM - VERMELHO</t>
  </si>
  <si>
    <t>PAPEL CREPOM - RL C/ 48 X 200 CM - AZUL ESCURO</t>
  </si>
  <si>
    <t>PAPEL CREPOM - RL C/ 48 X 200 CM - VERDE ESCURO</t>
  </si>
  <si>
    <t>PAPEL LAMINADO - 50 X 60 CM - DOURADO - AS MEDIDAS PODERAO VARIAR +/- 5 CM</t>
  </si>
  <si>
    <t>PAPEL LAMINADO - 50 X 60 CM - VERDE</t>
  </si>
  <si>
    <t>PAPEL LAMINADO - 50 X 60 CM - AZUL</t>
  </si>
  <si>
    <t>PAPEL LAMINADO - 50 X 60 CM - VERMELHO</t>
  </si>
  <si>
    <t>PAPEL KRAFT 80G/M2 - 66 CM X 96 CM (PAPEL PARDO)</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</si>
  <si>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</si>
  <si>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</si>
  <si>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</si>
  <si>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</si>
  <si>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</si>
  <si>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</si>
  <si>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</si>
  <si>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SULFITE COATED HP 914 MM X 45 M GRAMATURA 90G/M² PARA PLOTER, HP DESIGNJET SERIE 4000</t>
  </si>
  <si>
    <t>PAPEL CAMURCA - 60 X 40 CM - BRANCO</t>
  </si>
  <si>
    <t>PAPEL CAMURCA - 60 X 40 CM - PRETO</t>
  </si>
  <si>
    <t>PAPEL CAMURCA - 60 X 40 CM - VERMELHO</t>
  </si>
  <si>
    <t>PAPEL CAMURCA - 60 X 40 CM - MARROM</t>
  </si>
  <si>
    <t>PAPEL CAMURCA - 60 X 40 - ROSA - AS MEDIDAS PODERAO VARIAR +/- 5 CM</t>
  </si>
  <si>
    <t>PAPEL CAMURCA - 60 X 40CM - AMARELO</t>
  </si>
  <si>
    <t>PAPEL CAMURCA - 60 X 40 CM - AZUL CLARO</t>
  </si>
  <si>
    <t>PAPEL MANILHA EM BOBINA, COR ROSA - 60 CM X 250 M (VARIACAO: DE +/- 5 CM NA LARGURA E 10 M NO COMPRIMENTO), 55G/M2 (+/- 05G) - BOBINA COM PESO MINIMO DE 8 KG</t>
  </si>
  <si>
    <t xml:space="preserve">CARTOLINA DUPLA FACE / COLOR SET AMARELA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</si>
  <si>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</si>
  <si>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</si>
  <si>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</si>
  <si>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</si>
  <si>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</si>
  <si>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CARTAO - 50 X 70 CM - VERMELHO (MEDIDAS PODERAO VARIAR +/- 5CM)</t>
  </si>
  <si>
    <t>PAPEL CARTAO - 50 X 70 CM - LARANJA (MEDIDAS PODERAO VARIAR +/- 5CM)</t>
  </si>
  <si>
    <t>CARTOLINA - BRANCA  - 50 X 66 CM - 180 G/M2</t>
  </si>
  <si>
    <t>CARTOLINA - AMARELA - 50 X 66 CM - 180 G/M2</t>
  </si>
  <si>
    <t>CARTOLINA - AZUL CLARO - 50 X 66 CM - 180 G/M2</t>
  </si>
  <si>
    <t>CARTOLINA - ROSA - 50 X 66 CM - 180 G/M2</t>
  </si>
  <si>
    <t>PAPEL CARTAO - 50 X 70 CM - AMARELO (MEDIDAS PODERAO VARIAR +/- 5CM)</t>
  </si>
  <si>
    <t>PAPEL CARTAO - 50 X 70 CM - AZUL ESCURO (MEDIDAS PODERAO VARIAR +/- 5CM)</t>
  </si>
  <si>
    <t>PAPEL CARTAO - 50 X 70 CM - VERDE ESCURO (MEDIDAS PODERAO VARIAR +/- 5CM)</t>
  </si>
  <si>
    <t>CARTOLINA - VERDE CLARO - 50 X 66 CM - GRAMATURA 180G/M2</t>
  </si>
  <si>
    <t xml:space="preserve">CARTOLINA DUPLA FACE / COLOR SET AZUL ESCURO - 48 X 66 CM </t>
  </si>
  <si>
    <t>CARTOLINA DUPLA FACE / COLOR SET VERDE ESCURO - 48 X 66 CM</t>
  </si>
  <si>
    <t>PAPEL SULFITE - 66 X 96 CM  120 G/M2 - BRANCO</t>
  </si>
  <si>
    <t>PAPEL CRIATIVO FLUORESCENTE, TIPO LUMIPAPER, 5 CORES</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</si>
  <si>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</si>
  <si>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MONOLUCIDO - 120 G/M2 660 X 960 MM  - PACOTE C/ 250</t>
  </si>
  <si>
    <t>PERFIL RODAFORRO PVC BRANCO LISO, BARRA COM 6 MT</t>
  </si>
  <si>
    <t>PERFIL TIPO EMENDA PVC BRANCO LISO, BARRA COM 6 MT</t>
  </si>
  <si>
    <t>ALCOOL GEL A 70%, FRASCO C/ 1.000 ML, VALVULA "TIPO PUMP", COM HIDRATANTE ALOE VERA</t>
  </si>
  <si>
    <t>INTERRUPTOR 10A X 250V INTERNO DE 03 TECLAS C/ PLACA</t>
  </si>
  <si>
    <t>INTERRUPTOR 10A X 250V INTERNO C/ 01 TECLA PARALELA COM PLACA 4 X 2.</t>
  </si>
  <si>
    <t>INTERRUPTOR 10A X 250V INTERNO C/ 03 TECLAS PARALELAS C/ PLACA 4 X 2.</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</si>
  <si>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</si>
  <si>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</si>
  <si>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CABO FLEXIVEL - 6 MM2 - PRETO</t>
  </si>
  <si>
    <t>CABO FLEXIVEL BITOLA 16,0 MM2, 750 VOLTS, ISOLACAO DE PVC 70° C, COR PRETA</t>
  </si>
  <si>
    <t>CABO FLEXIVEL BITOLA 4,0 MM2, 750 VOLTS, ISOLACAO DE PVC 70° C, COR VERDE</t>
  </si>
  <si>
    <t>CABO FLEXIVEL BITOLA 16,0 MM2, 1 KV, ISOLACAO DE PVC 70º,  ANTI-CHAMA. COR AZUL CLARA</t>
  </si>
  <si>
    <t>CABO DE COBRE FLEXIVEL BITOLA 35 MM²,  0,6/1 KV ISOLACAO DE PVC 70° C, COR PRETA</t>
  </si>
  <si>
    <t>CABO DE COBRE FLEXIVEL BITOLA 70 MM²,</t>
  </si>
  <si>
    <t>CABO DE COBRE FLEXIVEL BITOLA 95 MM2 , ISOLACAO 0,6/1 KV, COR AZUL - ANTICHAMA</t>
  </si>
  <si>
    <t>CABO DE COBRE FLEXIVEL, BITOLA 35,0MM2, 1KV,  ISOLACAO DE PVC 70ºC, COR AZUL CLARO- ANTI-CHAMA</t>
  </si>
  <si>
    <t>CABO DE COBRE FLEXIVEL BITOLA 120MM², 750 V, ISOLACAO DE PVC - 70°C - COR VERDE</t>
  </si>
  <si>
    <t>CABO DE COBRE FLEXIVEL BITOLA 25 MM², 0,6/1 KV ISOLACAO DE PVC 70° C, ANTICHAMA, COR AZUL-CLARO</t>
  </si>
  <si>
    <t>CABO DE COBRE FLEXIVEL, BITOLA 10,0MM2, 1KV,  ISOLACAO DE PVC 70ºC, COR PRETA</t>
  </si>
  <si>
    <t>CABO DE COBRE FLEXIVEL BITOLA 10MM², 6,6/1 KV, ISOLACAO DE PVC 70ºC, COR VERDE - ANTICHAMA - ROLO COM 100 METROS</t>
  </si>
  <si>
    <t>CABO FLEXIVEL - 2,5 MM2 - PRETO</t>
  </si>
  <si>
    <t>CABO FLEXIVEL - 6 MM2 - VERDE</t>
  </si>
  <si>
    <t>CABO FLEXIVEL - 2,5 MM2 - VERDE</t>
  </si>
  <si>
    <t>CABO FLEXIVEL - 1,5MM - PRETO</t>
  </si>
  <si>
    <t>CABO FLEXIVEL BITOLA 4,0 MM2, 750 VOLTS, ISOLACAO DE PVC 70° C, COR PRETA</t>
  </si>
  <si>
    <t>CABO FLEXIVEL BITOLA 16,0 MM2, 750 VOLTS, ISOLACAO DE PVC 70° C, COR VERDE</t>
  </si>
  <si>
    <t>CABO DE COBRE, ISOLACAO PVS 750V COM COBERTURA DE PVC - 3 X 2,5 MM</t>
  </si>
  <si>
    <t>CABO FLEXIVEL 25MM, 1KV - COR PRETO</t>
  </si>
  <si>
    <t>CABO FLEXIVEL BITOLA 50 MM², ISOLACAO DE PVC 70° C, 1KV, 750V, ANTICHAMA, COR PRETA</t>
  </si>
  <si>
    <t>CABO DE COBRE FLEXIVEL, BITOLA 10,0 MM2, 1KV, ISOLACAO DE PVC 70º, COR AZUL CLARO</t>
  </si>
  <si>
    <t>CABO DE COBRE FLEXIVEL, BITOLA 35,0MM2, 1KV,  ISOLACAO DE PVC 70ºC, COR VERDE</t>
  </si>
  <si>
    <t>CABO DE COBRE FLEXIVEL BITOLA 240 MM2 ISOLACAO 0,6/1KV , TEMPERATURA 70° C, COR PRETA - ANTICHAMA</t>
  </si>
  <si>
    <t>CABO DE COBRE FLEXIVEL BITOLA 25 MM², 0.6/1 KV, ISOLACAO DE PVC 70ºC, COR VERDE - ANTICHAMA - ROLO COM 100 METROS</t>
  </si>
  <si>
    <t xml:space="preserve">CABO DE COBRE FLEXIVEL BITOLA 120 MM2 , ISOLACAO 0,6/1 KV, COR PRETA - ANTICHAMA </t>
  </si>
  <si>
    <t xml:space="preserve">CABO DE COBRE FLEXIVEL BITOLA 95 MM2 , ISOLACAO 0,6/1 KV, COR PRETA - ANTICHAMA </t>
  </si>
  <si>
    <t>CABO DE COBRE FLEXIVEL BITOLA 240MM², 750 V, ISOLACAO DE PVC - 70°C - COR AZUL-CLARO</t>
  </si>
  <si>
    <t>CABO DE COBRE FLEXIVEL, BITOLA 50MM2, 750 V, ISOLACAO DE PVC 70° C, COR VERDE - ANTI-CHAMA</t>
  </si>
  <si>
    <t>ELETRODUTO FLEXIVEL CORRUGADO DE 1.1/2"</t>
  </si>
  <si>
    <t>ELETRODUTO CORRUGADO EM PEAD (POLIETILENO DE ALTA DENSIDADE) PARA PROTECAO DE CABOS SUBTERRANEOS - DIAMETRO 110MM (4")</t>
  </si>
  <si>
    <t>TOMADA 2P+T DE 20A/250V DE EMBUTIR COM ESPELHO PARA CAIXA 4X2, PADRAO NBR 14136</t>
  </si>
  <si>
    <t>TOMADA COM 2 TOMADAS 2P+T DE 20A/250V DE EMBUTIR COM ESPELHO PARA CAIXA 4X2, PADRAO NBR 14136</t>
  </si>
  <si>
    <t xml:space="preserve">TOMADA 2P+T DE 20A/250V DE SOBREPOR COM CAIXA, PADRAO NBR 14136 </t>
  </si>
  <si>
    <t>TOMADA 2P + T DE 10/250V DE EMBUTIR COM ESPELHO PARA CAIXA 4X2, PADRAO NBR 14136</t>
  </si>
  <si>
    <t xml:space="preserve">INTERRUPTOR 10A/250V COM 2 TECLAS PARALELAS </t>
  </si>
  <si>
    <t xml:space="preserve">TOMADA PADRAO  DE SOBREPOR </t>
  </si>
  <si>
    <t>SAPATA INTERNA 38 X 38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</si>
  <si>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</si>
  <si>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DOBRADICA DE FERRO POLIDO 2.1/2"</t>
  </si>
  <si>
    <t>GONZO COM ABAS N. 3 (65MM)</t>
  </si>
  <si>
    <t>FECHADURA DE EMBUTIR C/ TAMBOR - EXTERNA</t>
  </si>
  <si>
    <t>FECHADURA DE SOBREPOR PARA GAVETA, COM CILINDRO, 31 MM</t>
  </si>
  <si>
    <t>DOBRADICA DE PRESSAO EM ACO, CURVA, COMPLETA, PARA ARMARIOS</t>
  </si>
  <si>
    <t>TRAVA DE SEGURANCA, CHAVE TETRA, P/ PORTAS</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</si>
  <si>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</si>
  <si>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</si>
  <si>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</si>
  <si>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</si>
  <si>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</si>
  <si>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</si>
  <si>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</si>
  <si>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</si>
  <si>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</si>
  <si>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D'AGUA EM FOLHA 225 X 275 MM GRAO 120</t>
  </si>
  <si>
    <t>LIXA P/ FERRO E METAIS EM FOLHA DE 225 X 275 MM - N.º 220</t>
  </si>
  <si>
    <t>LIXA P/ FERRO E METAIS EM FOLHA DE 200 X 275 MM - Nº 120</t>
  </si>
  <si>
    <t>LIXA DE PAPEL P/ MADEIRA EM FOLHA DE 225 X 275 MM - N° 80</t>
  </si>
  <si>
    <t>LIXA DE PAPEL P/ MADEIRA EM FOLHA DE 225 X 275 MM - N° 120</t>
  </si>
  <si>
    <t>LIXA PARA PAREDE - 120</t>
  </si>
  <si>
    <t>LIXA PARA PAREDE Nº 80</t>
  </si>
  <si>
    <t>DISCO DE CORTE 4 1/2" DE DIAMETRO EXTERNO, 01 MM DE ESPESSURA E 7/8" DE DIAMETRO DE FURO</t>
  </si>
  <si>
    <t>DISCO DE CORTE 9" X 1/8" X 7/8"</t>
  </si>
  <si>
    <t>DISCO DE DESBASTE DE 4 ¹/2  X 1/4 X 7/8 - CONFORME NORMAS DA ABNT</t>
  </si>
  <si>
    <t>PRIMER ANTICORROSIVO, SECAGEM RAPIDA, COR CINZA, GL C/ 3,6ML</t>
  </si>
  <si>
    <t>TINTA P/ PISO - VERMELHO - LT C/ 18 L</t>
  </si>
  <si>
    <t>TINTA P/ PISO - BRANCA - C/ 18 LT</t>
  </si>
  <si>
    <t>TINTA ACRILICA LAVAVEL - AZUL CLARO - 18 LITROS</t>
  </si>
  <si>
    <t>TINTA LATEX PVA BRANCO, LATA COM 18 LITROS</t>
  </si>
  <si>
    <t>SELADOR ACRILICO - LATA COM 18 LITROS</t>
  </si>
  <si>
    <t xml:space="preserve">LEITE EM PO INTEGRAL INSTANTANEO ENRIQUECIDO </t>
  </si>
  <si>
    <t>TINTA ACRILICA P/ DEMARCACAO DE SOLO - BALDE C/ 18 L - PRETA - PADRAO DER 3.09</t>
  </si>
  <si>
    <t>TINTA ACRILICA P/ DEMARCACAO DE SOLO - BALDE C/ 18 LITROS -</t>
  </si>
  <si>
    <t>TINTA ACRILICA P/ DEMARCACAO DO SOLO - BALDE COM 18 LITROS - AMARELA</t>
  </si>
  <si>
    <t>TINTA ACRILICA P/ DEMARCACAO DE SOLO - BALDE C/ 18 L - VERMELHA - PADRAO DER 3.09</t>
  </si>
  <si>
    <t>SOLVENTE P/ TINTA DE DEMARCACAO VIARIA -BALDE C/ 18 LITROS - TIPO DER 3.09</t>
  </si>
  <si>
    <t>PLASTICO OLEADO, TIPO FLANELADO - NAS CORES AZUL CLARO E BR</t>
  </si>
  <si>
    <t>PROTETOR SOLAR FPS 30 - LOCAO CREMOSA, COM REPELENTE DE INSETOS (PERNILONGOS, CARAPANAS, BORRACHUDOS, MOSQUITOS, MURICOCAS E OUTROS TIPOS)</t>
  </si>
  <si>
    <t>TOUCA DE PROTECAO PARA CABELOS, TIPO COZINHEIRA, EM MATERIAL DESCARTAVEL (TNT) SANFONADA</t>
  </si>
  <si>
    <t>PAPEL HIGIENICO BRANCO, ROLO COM 300 METROS, FOLHA SIMPLES, MASSA UNIFORME, SEM CONTER FUROS, EXTRA LUXO, FIBRA 100% CELULOSICAS, ROLO MEDINDO 10 CM X 300 M. EMBALADOS EM FARDOS COM PLASTICO RESISTENTE CONTENDO 8 ROLOS</t>
  </si>
  <si>
    <t>PA DE LIXO, CORPO EM POLIPROPILENO, CABO LONGO</t>
  </si>
  <si>
    <t>LAVATINA DE NYLON P/ VASO SANITARIO (VASSOURINHA)</t>
  </si>
  <si>
    <t>DESENTUPIDOR DE BACIA SANITARIA, CABO LONGO</t>
  </si>
  <si>
    <t xml:space="preserve">VASSOURA DE PIACAVA N° 05 </t>
  </si>
  <si>
    <t>LA DE ACO - EMBALAGEM C/ 08 ESPONJAS.</t>
  </si>
  <si>
    <t>CESTO DE PLASTICO P/ LIXO, 6 LITROS - FECHADO</t>
  </si>
  <si>
    <t>ESPONJA DE NYLON DUPLA FACE, LISO E ABRASIVA - MED: 110 X 75 X 20 MM</t>
  </si>
  <si>
    <t xml:space="preserve">PALHA DE ACO Nº 01 - PACOTE COM 25  A 30 GRAMAS  </t>
  </si>
  <si>
    <t>BALDE PLASTICO - 20 L.</t>
  </si>
  <si>
    <t>LIXEIRA BASCULANTE, COM TAMPA E ALCA, 59 LITROS</t>
  </si>
  <si>
    <t>ESTOPA BRANCA - PACOTE C/ 500 GR, NA EMBALAGEM DEVERA CONTER MARCA DO FABRICANTE</t>
  </si>
  <si>
    <t>FOSFORO P/ ACENDIMENTO, PEQUENO, PACOTE C/ 10 CX DE 40 UN C</t>
  </si>
  <si>
    <t>PAPEL CELOFANE - 90 X 100 CM - AMARELO</t>
  </si>
  <si>
    <t>PAPEL CELOFANE - 90 X 100 CM - VERDE</t>
  </si>
  <si>
    <t>PAPEL CELOFANE - 90 X 100 CM - VERMELHO</t>
  </si>
  <si>
    <t>PAPEL CELOFANE - 90 X 100 CM - AZUL</t>
  </si>
  <si>
    <t>PORTA PAPEL HIGIENICO - ROLO INDUSTRIAL</t>
  </si>
  <si>
    <t>DISPENSADOR PARA PAPEL TOALHA INTERFOLHA. DIMENSOES: 320X250X130MM (AXLXP)</t>
  </si>
  <si>
    <t>PAPEL HIGIENICO 30 M X 10 CM, CLASSE 01, FOLHA DUPLA, GOFRADO, COR BRANCA, NEUTRO, MATERIA PRIMA 100% FIBRAS NATURAIS</t>
  </si>
  <si>
    <t>LAMPADA LED TUBULAR T8.</t>
  </si>
  <si>
    <t>CONECTOR RJ-45 MACHO, PARA CABO UTP CATEGORIA 5E</t>
  </si>
  <si>
    <t>SACO PLASTICO P/ LIXO  CAP. 100 LITROS, COR PRETA - 75 X 105 CM X 0,14 MM OU 140 MICRAS DE ESPESSURA (0,07 MM POR PAREDE)</t>
  </si>
  <si>
    <t>COPO PLASTICO DESCARTAVEL - 50 ML - PT C/ 100 UNID (CAFE)</t>
  </si>
  <si>
    <t>COPO PLASTICO DESCARTAVEL - 180 ML - PT C/ 100 UN (AGUA)</t>
  </si>
  <si>
    <t>COADOR DE PAPEL P/ CAFE N° 103 - CAIXA COM 30 UNIDADES</t>
  </si>
  <si>
    <t>PANO P/ COPA ATOALHADO</t>
  </si>
  <si>
    <t>GUARDANAPO DE PAPEL 23 X 22 CM</t>
  </si>
  <si>
    <t>TELA DE ARAME GALVANIZADO, FIO 10, MALHA C/ 2 1/2", COM 04</t>
  </si>
  <si>
    <t>TELA ONDULADA FIO 14, MALHA 3/4 - MED. 10 X 2,00 M</t>
  </si>
  <si>
    <t>CANECA PLASTICA (POLIPROPILENO), CAPACIDADE P/ 330 ML</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</si>
  <si>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</si>
  <si>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</si>
  <si>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</si>
  <si>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</si>
  <si>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</si>
  <si>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- 60MM X 160MM X 6,50 M COMPRIMENTO</t>
  </si>
  <si>
    <t>VIGA DE GARAPEIRA BRUTA - 60MM X 160MM X 7,00 M COMPRIMENTO</t>
  </si>
  <si>
    <t>PONTALETE DE CEDRINHO 3" X 3" - COM 03 METROS DE COMPRIMENT</t>
  </si>
  <si>
    <t>CHAPA DE MADEIRA RESINADA C/ 2,20 X 1,10 M ESP. 10,0 MM</t>
  </si>
  <si>
    <t>CHAPA DE MADEIRA RESINADA C/ 2,20 X 1,10 M ESP. 15,0 MM</t>
  </si>
  <si>
    <t>BATENTE DE GARAPEIRA 0,92 X 2,10 M</t>
  </si>
  <si>
    <t>TINTA ESMALTE SINTETICO BRILHANTE, PADRAO PREMIUM, COR AZUL ROYAL, GALAO COM 3.600 ML.</t>
  </si>
  <si>
    <t>TINTA ESMALTE SINTETICO BRILHANTE, PADRAO PREMIUM, COR BRANCA, GALAO COM 3.600 ML.</t>
  </si>
  <si>
    <t>TINTA ESMALTE SINTETICO BRILHANTE, PADRAO PREMIUM, COR AZUL DEL REY, GALAO COM 3.600 ML.</t>
  </si>
  <si>
    <t>CORANTE PARA COLORIR TINTA LATEX - AMARELO - 50 ML</t>
  </si>
  <si>
    <t>TINTA ACRILICA LAVAVEL - VERDE CLARO - 18 LITROS</t>
  </si>
  <si>
    <t>TINTA P/ PISO - PRETO - GL C/3.600 ML</t>
  </si>
  <si>
    <t>TINTA P/ PISO - AMARELO - LATA COM 18 LITROS</t>
  </si>
  <si>
    <t>TINTA LATEX ACRILICA SEMIBRILHO, PADRAO PREMIUM, COR AZUL BIONICO OU SIMILAR, LATA COM 18 LITROS.</t>
  </si>
  <si>
    <t>TINTA LATEX ACRILICA SEMIBRILHO, PADRAO PREMIUM, COR AMARELO MELAO MADURO OU SIMILAR, LATA COM 18 LITROS.</t>
  </si>
  <si>
    <t>TINTA LATEX ACRILICA SEMIBRILHO, PADRAO PREMIUM, COR BRANCO, LATA COM 18 LITROS.</t>
  </si>
  <si>
    <t>ROLO DE ESPUMA PARA PINTURA - 4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</si>
  <si>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</si>
  <si>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</si>
  <si>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</si>
  <si>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</si>
  <si>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</si>
  <si>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</si>
  <si>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</si>
  <si>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PISO HIDRAULICO, ANTIDERRAPANTE</t>
  </si>
  <si>
    <t>PISO HIDRAULICO, ANTIDERRAPANTE, COR CINZA.</t>
  </si>
  <si>
    <t>BLOCO DE CONCRETO - 15 X 20 X 40 CM</t>
  </si>
  <si>
    <t>BLOCO DE CONCRETO - 10 X 20 X 40 CM</t>
  </si>
  <si>
    <t xml:space="preserve">TUBO DE PVC RIGIDO SOLDAVEL 2" X 06 M (P/ESGOTO) </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</si>
  <si>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</si>
  <si>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</si>
  <si>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</si>
  <si>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</si>
  <si>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CANTONEIRA EM ALUMINIO - 10 MM DE VAO - BR C/ 3 METROS  (P/</t>
  </si>
  <si>
    <t>CANTONEIRA DE FERRO - 1.1/2" X 1/8" BARRA COM 06 MET</t>
  </si>
  <si>
    <t>CANTONEIRA DE FERRO 2" X 1/8" - BARRA COM 06 METROS</t>
  </si>
  <si>
    <t>CANTONEIRA DE FERRO - BARRA COM 6 M - 1" X 1/8"</t>
  </si>
  <si>
    <t>CANTONEIRA DE FERRO - BARRA COM 6 M - 3/4" X 1/8"</t>
  </si>
  <si>
    <t>CANTONEIRA EM ACO PARA FIXACAO DE BALS MEDINDO 47 MM X 20 MM X 25 MM COM 3 FUROS</t>
  </si>
  <si>
    <t>BARRA/FIO REDONDO DE ACO CA 50 P/CONSTRUCAO NBR 7480 - 5/16</t>
  </si>
  <si>
    <t>BARRA/FIO REDONDO PARA CONSTRUCAO, DE ACO CA50 - 1/4"</t>
  </si>
  <si>
    <t>BARRA/FIO REDONDO PARA CONSTRUCAO, DE ACO CA50 - 3/16" - BARRA COM 12 METROS</t>
  </si>
  <si>
    <t>FERRO CHATO - 1" X 1/4" - BARRA COM 06 METROS</t>
  </si>
  <si>
    <t>FERRO REDONDO - 1/2" - MECANICO - BARRA COM 06 METROS</t>
  </si>
  <si>
    <t>FERRO REDONDO 3/8" MECANICO, BARRA C/ 06 METROS</t>
  </si>
  <si>
    <t>FERRO CHATO 1 1/2" X 1/8" BARRA C/ 06 METROS</t>
  </si>
  <si>
    <t>FERRO CHATO 3/4" X 1/8" BARRA C/ 06 METROS</t>
  </si>
  <si>
    <t>PAPEL P/ REPROGRAFIA - 210 X 297 MM - A4 - GRAMATURA 75</t>
  </si>
  <si>
    <t xml:space="preserve">MARGARINA VEGETAL COM SAL - LIPIDEOS TOTAIS: MINIMO 75% E MAXIMO 85% </t>
  </si>
  <si>
    <t>CHA DE ERVA MATE TOSTADO - CAIXA COM 250 GR</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</si>
  <si>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</si>
  <si>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REJUNTE BRANCO - SACO COM 01 KG</t>
  </si>
  <si>
    <t>REJUNTE CINZA CLARO - SC C/ 01 KG</t>
  </si>
  <si>
    <t>REJUNTE BEGE - SACO COM 01 KG</t>
  </si>
  <si>
    <t>LAVATORIO DE LOUCA C/ COLUNA - 52 X 42 CM</t>
  </si>
  <si>
    <t>COTOVELO 90 GRAUS EM PVC - RIGIDO SOLDAVEL - 6"- (150 MM) -</t>
  </si>
  <si>
    <t>COTOVELO 45 GRAUS EM PVC - RIGIDO SOLDAVEL - 6"- (150 MM) -</t>
  </si>
  <si>
    <t>TUBO DESCARGA PONTA AZUL - 18</t>
  </si>
  <si>
    <t>CANO DE ALUMINIO P/ CHUVEIRO - 40 CM</t>
  </si>
  <si>
    <t>LUVA DE REDUCAO EM PVC RIGIDO SOLDAVEL DE 32 X 25 MM - 1" X</t>
  </si>
  <si>
    <t>ADAPTADOR DE PVC RIGIDO SOLDAVEL C/ FLANGE SEXTAVADA FIXO P/ CAIXA D'AGUA - 32 MM X 1"</t>
  </si>
  <si>
    <t>ADAPTADOR DE PVC RIGIDO SOLDAVEL C/ FLANGE SEXTAVADA FIXO - 50 MM X 1 1/2"</t>
  </si>
  <si>
    <t>ADAPTADOR DE PVC RIGIDO SOLDAVEL C/ FLANGE SEXTAVADA FIXO - 25 MM X 3/4"</t>
  </si>
  <si>
    <t>COTOVELO 90 GRAUS EM PVC RIGIDO SOLDAVEL DE 4" (ESGOTO)</t>
  </si>
  <si>
    <t>COTOVELO 45 GRAUS EM PVC RIGIDO SOLDAVEL 2"</t>
  </si>
  <si>
    <t>COTOVELO EM PVC AZUL-COLA E ROSCA DE 3/4"</t>
  </si>
  <si>
    <t xml:space="preserve">LUVA DE PVC, 1", RIGIDO SOLDAVEL </t>
  </si>
  <si>
    <t>TE DE REDUCAO EM PVC SOLDAVEL, ROSCA, DE 25 MM - 1/2" - AZU</t>
  </si>
  <si>
    <t>TUBO DE PVC BRANCO PARA ESGOTO, DE 150 MM - 6" X 06 M</t>
  </si>
  <si>
    <t>TE EM PVC RIGIDO SOLDAVEL ROSCA AZUL - 3/4"</t>
  </si>
  <si>
    <t>TE DE REDUCAO EM PVC RIGIDO - SOLDAVEL - 150 X 100 MM - 6"</t>
  </si>
  <si>
    <t>COTOVELO 45°, EM PVC SOLDAVEL PARA AGUA, MARROM, 2" (50 MM), DE ACORDO COM A NBR 5648. TODAS AS INFORMACOES DEVERAO ESTAR LITOGRAFADAS NA PECA.</t>
  </si>
  <si>
    <t>NIPLE DUPLO DE REDUCAO ROSQUEAVEL 3/4 X 1/2 EM LATAO</t>
  </si>
  <si>
    <t>COTOVELO 90 GRAUS EM PVC RIGIDO SOLDAVEL DE 32 MM (1")</t>
  </si>
  <si>
    <t>ADAPTADOR EM PVC RIGIDO SOLDAVEL DE 1"</t>
  </si>
  <si>
    <t>LUVA DE REDUCAO EM PVC RIGIDO - MARROM - SOLDAVEL - 1.1/2"</t>
  </si>
  <si>
    <t>LUVA DESLIZANTE EM PVC COM ANEL - MARROM - 1 1/2"</t>
  </si>
  <si>
    <t>BUCHA DE REDUCAO EM PVC RIGIDO SOLDAVEL DE 4" X 2" - ESGOTO".</t>
  </si>
  <si>
    <t>LUVA DE REDUCAO DE ESGOTO 2" X 1.1/2</t>
  </si>
  <si>
    <t>COTOVELO 45° DE PVC - 1" PARA AGUA, DE ACORDO COM A NORMA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</si>
  <si>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</si>
  <si>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</si>
  <si>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ELEMENTO FILTRANTE DE MICRO-FIBRA DE PP</t>
  </si>
  <si>
    <t>ENGATE DE PVC BRANCO FLEXIVEL DE 1/2"- COMP. 40 CM P/</t>
  </si>
  <si>
    <t>ANEL DE VEDACAO EM BORRACHA PARA BACIA SANITARIA - MEDIDA 100MM.</t>
  </si>
  <si>
    <t>CAIXA SIFONADA REDONDA EM PVC RIGIDO DE 100 X 150 X 50 MM (4" X 6" X 2")</t>
  </si>
  <si>
    <t>CAIXA DE DESCARGA COM CORPO PLASTICO (ACOMPANHA ENGATE E</t>
  </si>
  <si>
    <t>GRELHA P/RALO EM INOX, 100MM (4")</t>
  </si>
  <si>
    <t>ESPUDE BRANCO DE BORRACHA DE 1.1/2" PARA BACIAS CONVENCIONAIS DE 2"</t>
  </si>
  <si>
    <t>CAIXA SIFONADA REDONDA EM PVC RIGIDO DE 100 X 100 X 50 MM - 4" X 4"X 2"</t>
  </si>
  <si>
    <t>CAIXA D'AGUA EM POLIETILENO, COM TAMPA - CAPACIDADE 1.000 LITROS</t>
  </si>
  <si>
    <t>CANOPLA COMPLETA P/ VALVULA DE DESCARGA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</si>
  <si>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</si>
  <si>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</si>
  <si>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VALVULA EM PVC PARA LAVATORIO 1" SEM LADRAO</t>
  </si>
  <si>
    <t>REGISTRO DE PRESSAO 3/4" COM CANOPLA</t>
  </si>
  <si>
    <t>REPARO P/ VALVULA DE DESCARGA 1 1/2" (MARCA DOCOL)</t>
  </si>
  <si>
    <t>VALVULA P/ PIA AMERICANA EM PVC CROMADO - 1.1/2"</t>
  </si>
  <si>
    <t>REPARO P/ VALVULA DE DESCARGA 1 1/4" (MARCA DOCOL)</t>
  </si>
  <si>
    <t>CONJUNTO DE CRUZETA, MOLA E PARAFUSO PARA VALVULA DE DESCARGA</t>
  </si>
  <si>
    <t>REPARO P/ VALVULA DE DESCARGA - MARCA HYDRA-MAX</t>
  </si>
  <si>
    <t>REPARO ACIONADOR PARA VALVULA DE DESCARGA HYDRA LUXO - REF. 4336004</t>
  </si>
  <si>
    <t>REGISTRO TIPO ESFERA, MATERIAL PVC, DIAMETRO 3/4"</t>
  </si>
  <si>
    <t>REGISTRO DE GAVETA EM LIGA DE COBRE DE 3/4" C/ CANOPLA</t>
  </si>
  <si>
    <t>REGISTRO DE GAVETA EM LIGA DE COBRE DE 1.1/2" C/ CANOPLA</t>
  </si>
  <si>
    <t>VALVULA AMERICANA 3 1/2" X 1 1/2" EM INOX</t>
  </si>
  <si>
    <t>REPARO PARA VALVULA HYDRA LUXO - REF. 4686924</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</si>
  <si>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</si>
  <si>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FIO DE NYLON DE 3,0MM, QUADRADO, USO EM ROCADEIRA LATERAL STIHL FS 220 - PESO APROXIMADO: ROLO C/2 KG</t>
  </si>
  <si>
    <t>ENCOSTO EM MADEIRA  EM LAMINADO MELAMINICO 10MM LISO 30 X 16CM - VERDE CLARO</t>
  </si>
  <si>
    <t>ASSENTO EM MADEIRA  REVESTIDO C/ LAMINADO MELAMINICO 10 MM</t>
  </si>
  <si>
    <t>INSETICIDA AEROSOL A BASE DE AGUA FR C/ 300 ML</t>
  </si>
  <si>
    <t>ACUCAR REFINADO AMORFO/MICROCRISTALINO PT C/ 1KG</t>
  </si>
  <si>
    <t>TUBO DE FERRO GALVANIZADO DN (DIAMETRO NOMINAL) 3/4" - DIAMETRO EXTERNO BASICO 26,9MM ESPESSURA DA PAREDE DE 3,00MM, CLASSE P - ABNT NBR 5580/02 - BARRA C/6 MT</t>
  </si>
  <si>
    <t>TUBO DE FERRO TIPO METALON, 40 X 20 X 1,5 MM, BARRA COM 6 M</t>
  </si>
  <si>
    <t>TUBO DE FERRO METALON - 50 X 50 X 1,5MM - BARRA COM 6 METRO</t>
  </si>
  <si>
    <t>TUBO DE FERRO GALVANIZADO DN (DIAMETRO NOMINAL) 2" - DIAMETRO EXTERNO BASICO 59,6 MM ESPESSURA DA PAREDE DE 3,75MM, CLASSE M - ABNT NBR 5580/02 - BARRA C/6 MT</t>
  </si>
  <si>
    <t>TUBO DE FERRO GALVANIZADO DN (DIAMETRO NOMINAL) 1.1/2" - DIAMETRO EXTERNO BASICO 48,3MM</t>
  </si>
  <si>
    <t>TUBO DE FERRO GALVANIZADO DN (DIAMETRO NOMINAL) 1.1/4"</t>
  </si>
  <si>
    <t>TUBO QUADRADO DE METALON 20MM X 20MM X 1,5MM - BARRA COM 06</t>
  </si>
  <si>
    <t xml:space="preserve">CONTATOR LC1 D18M7  </t>
  </si>
  <si>
    <t>DISJUNTOR NORMA DIN CURVA B PADRAO, BIPOLAR, 10 AMPERES</t>
  </si>
  <si>
    <t>DISJUNTOR NORMA DIN CURVA B PADRAO, BIPOLAR, 20 AMPERES</t>
  </si>
  <si>
    <t>DISJUNTOR NORMA DIN CURVA C PADRAO, BIPOLAR, 63 AMPERES</t>
  </si>
  <si>
    <t>DISJUNTOR NORMA DIN CURVA C PADRAO, BIPOLAR, 32 AMPERES</t>
  </si>
  <si>
    <t>DISJUNTOR NORMA DIN CURVA C PADRAO, BIPOLAR, 50 AMPERES</t>
  </si>
  <si>
    <t>DISJUNTOR NORMA DIN CURVA C PADRAO, TRIPOLAR, 50 AMPERES</t>
  </si>
  <si>
    <t>DISJUNTOR NORMA DIN CURVA C PADRAO, TRIPOLAR, 63 AMPERES</t>
  </si>
  <si>
    <t>DISJUNTOR NORMA DIN CURVA C PADRAO, TRIPOLAR, 80 AMPERES</t>
  </si>
  <si>
    <t>DISJUNTOR NORMA DIN CURVA C PADRAO, TRIPOLAR, 100 AMPERES</t>
  </si>
  <si>
    <t>DISJUNTOR NORMA DIN CURVA C PADRAO, TRIPOLAR, 125 AMPERES</t>
  </si>
  <si>
    <t>DISJUNTOR TRIPOLAR IN = 150A, TENSAO MINIMA DE OPERACAO 240V, CURVA C, NBR 60947-2 - CATEGORIA "A"</t>
  </si>
  <si>
    <t>DISJUNTOR TRIPOLAR IN = 125A, TENSAO MINIMA DE OPERACAO 240V, CURVA C, NBR 60947-2 - CATEGORIA "A"</t>
  </si>
  <si>
    <t>DISJUNTOR TRIPOLAR IN = 225 A, TENSAO MINIMA DE OPERACAO 240V</t>
  </si>
  <si>
    <t>DISJUNTOR TRIPOLAR IN 350 A, TENSAO MINIMA DE OPERACAO 220 V, CURVA C, NBR 60947-2, CATEGORIA A</t>
  </si>
  <si>
    <t>DISJUNTOR NORMA DIN CURVA C PADRAO, BIPOLAR, 10 AMPERES</t>
  </si>
  <si>
    <t>DISJUNTOR NORMA DIN CURVA C PADRAO, BIPOLAR, 20 AMPERES</t>
  </si>
  <si>
    <t>DISJUNTOR NORMA DIN CURVA C PADRAO, BIPOLAR, 40 AMPERES</t>
  </si>
  <si>
    <t>DISJUNTOR NORMA DIN CURVA C PADRAO, TRIPOLAR, 20 AMPERES</t>
  </si>
  <si>
    <t>DISJUNTOR NORMA DIN CURVA C PADRAO, TRIPOLAR, 32 AMPERES</t>
  </si>
  <si>
    <t>DISJUNTOR NORMA DIN CURVA C PADRAO, TRIPOLAR, 40 AMPERES</t>
  </si>
  <si>
    <t>DISJUNTOR NORMA DIN, CURVA C PADRAO, BIPOLAR - 25 AMPERES</t>
  </si>
  <si>
    <t>DISTRIBUIDOR GERAL PARA TELEFONIA, COM VENEZIANAS, DE EMBUTIR</t>
  </si>
  <si>
    <t>LUMINARIA FECHADA TIPO CALHA P/ LAMPADA FLUORESCENTE 2 X 40</t>
  </si>
  <si>
    <t xml:space="preserve">LUMINARIA AUTONOMA DE EMERGENCIA COM LEDS, ALIMENTACAO 110/220V </t>
  </si>
  <si>
    <t>LAMPADA LUZ MISTA 250W X 230V- BASE E27</t>
  </si>
  <si>
    <t>LAMPADA LUZ MISTA 250W X 230V- BASE E40</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</si>
  <si>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</si>
  <si>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</si>
  <si>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</si>
  <si>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</si>
  <si>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</si>
  <si>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LAMPADA FLUORESCENTE LUZ DO DIA 20W - BASE G13 - 230V</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</si>
  <si>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</si>
  <si>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A VAPOR METALICO TUBULAR 400W, BASE E-40, 220V, MAXIMA TEMPERATURA NA BASE 250ºC, MAXIMA TEMPERATURA NO BULBO 600ºC</t>
  </si>
  <si>
    <t>REATOR INTERNO A VAPOR METALICO - 70W, 220 V</t>
  </si>
  <si>
    <t>REATOR PARA LAMPADA DE VAPOR METALICO</t>
  </si>
  <si>
    <t>PASTA PARA LIMPEZA DE ALUMINIO, POTE COM 500 GRAMAS</t>
  </si>
  <si>
    <t>ALCOOL ETILICO HIDRATADO EM GEL 70° INPM - PARA USO DOMESTICO- FRASCO COM NO MINIMO 480 GR</t>
  </si>
  <si>
    <t>SABAO EM PEDRA C/ 200 GR - COMUM, A BASE DE GLICERINA,SAIS</t>
  </si>
  <si>
    <t>SABONETE LIQUIDO PEROLADO - BOMBONA C/ 05 LITROS</t>
  </si>
  <si>
    <t>SABAO DE COCO, PEDACO C/ 200 GR</t>
  </si>
  <si>
    <t xml:space="preserve">SAPONACEO EM PO, 300G </t>
  </si>
  <si>
    <t>SABAO EM PO - EMBALAGEM C/ 01 KG</t>
  </si>
  <si>
    <t>LIMPADOR GERAL DE MULTIPLO USO - LIMPEZA INSTANTANEA</t>
  </si>
  <si>
    <t>DETERGENTE LIQUIDO,  NEUTRO - INCOLOR - FRASCO C/500ML</t>
  </si>
  <si>
    <t>AREIA MEDIA LAVADA(GRANULAMETRIA 0,6 A 2,4 MM), CONFORME ABNT. O MATERIAL ENTREGUE DEVERA ESTAR APTO A ENSAIOS DE PENEIRAMENTO, CONFORME TABELA 2 - LIMITES DA DISTRIBUICAO GRANULOMETRICA DO AGREGADO MIUDO (ABNT 7211/2005).EQUIVALENCIA APROXIMADA EM TONELADAS: 1,30 A 1,50</t>
  </si>
  <si>
    <t>FOLHA DE PORTA EM IMBUIA - MED: 0,72 X 2,10 M</t>
  </si>
  <si>
    <t>FOLHA DE PORTA TIPO MEXICANA - MED.: 0,82 X 2,10 M</t>
  </si>
  <si>
    <t>FITA DE BORDA CARVALHO MALVA OU SIMILAR, MEDINDO: 22 MM X 0,45 MM X 20 M.</t>
  </si>
  <si>
    <t>SARRAFO DE CEDRINHO DE 1ª, 25 X 100 M/M, BRUTO DE 4,00 M COMPRIMENTO</t>
  </si>
  <si>
    <t>TABUA DE CAMBARA DE 1ª, 25 X 300 MM, BRUTA</t>
  </si>
  <si>
    <t>CHAPA DE MADEIRA COMPENSADA NAVAL C/ 2,20 X 1,60 M ESP.</t>
  </si>
  <si>
    <t>CHAPA DE MADEIRA COMPENSADO LAMINADO DE VIROLA - MEDIDAS: 2,20 M X 1,60 M X 15 MM</t>
  </si>
  <si>
    <t>FOLHA DE PORTA EM IMBUIA - MED: 0,82 X 2,10 M</t>
  </si>
  <si>
    <t>FOLHA DE PORTA TIPO MEXICANA - MED.: 0,92 X 2,10 M</t>
  </si>
  <si>
    <t>FITA DE BORDA EM PVC TEXTURIZADA, 22MM - ROLO COM 300 MTS</t>
  </si>
  <si>
    <t>CHAPA DE LAMINADO MELAMINICO  PARA LOUSA LISA QUADRICULADA (5X5CM) DE FUNDO BRANCO ACABAMENTO BRILHANTE C/ 3,08 X 1,25 M ESP =1,0MM. COR PADRAO: BRANCOLINE</t>
  </si>
  <si>
    <t>GARRAFA TERMICA - 1 LITRO, TAMPA EM FORMATO DE ROSCA</t>
  </si>
  <si>
    <t>LENCOL DESCARTAVEL 70 CM X 50 MT</t>
  </si>
  <si>
    <t xml:space="preserve">TINTA A BASE DE AGUA PARA USO EM CARIMBO AUTO ENTINTADO - FRASCO COM  30 ML -  COR PRETA </t>
  </si>
  <si>
    <t xml:space="preserve">PASTA MOLHA DEDO </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</si>
  <si>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</si>
  <si>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</si>
  <si>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</si>
  <si>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</si>
  <si>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GIZAO DE CERA REDONDO, ATOXICO, COM 6 CORES</t>
  </si>
  <si>
    <t>PASTA PLASTICA COM ELASTICO, SEM LOMBADA, MEDINDO 235MM X 350MM</t>
  </si>
  <si>
    <t>PASTA EM PLASTICO PP CORRUGADO, COM ABAS E ELASTICO REVESTIDO DE TECIDO COM TERMINAIS DE PLASTICO MEDINDO 180MM X 245MM X 20MM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</si>
  <si>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</si>
  <si>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</si>
  <si>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</si>
  <si>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</si>
  <si>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PINCEL PARA PINTURA, CABO EM MADEIRA CURTO, FORMATO CHATO, CERDA BRANCA, TAMANHO 20</t>
  </si>
  <si>
    <t>APONTADOR PARA LAPIS Nº 02, COM DEPOSITO.</t>
  </si>
  <si>
    <t>BORRACHA BRANCA COMUM (SEM CINTA), MEDIDA: 40MM X 30MM X 10MM.</t>
  </si>
  <si>
    <t xml:space="preserve">REGUA DE 30CM EM POLIESTIRENO. COR: TRANSPARENTE, CRISTAL. </t>
  </si>
  <si>
    <t>CANETA HIDROGRAFICA PONTA FINA/MEDIA, CONJUNTO COM 12  CORES</t>
  </si>
  <si>
    <t>LAPIS DE COR, SEXTAVADO, COM 24 CORES</t>
  </si>
  <si>
    <t>LAPIS DE COR JUMBO, MODELO TRIANGULAR, EM 12 CORES.</t>
  </si>
  <si>
    <t>LAPIS GRAFITE Nº 2, SEXTAVADO, CORPO FEITO EM MADEIRA.</t>
  </si>
  <si>
    <t>CANETA MARCA TEXTO - AMARELA</t>
  </si>
  <si>
    <t>CANETA P/ RETROPROJETOR - PRETA, PONTA 2 MM</t>
  </si>
  <si>
    <t>CANETA P/ RETROPROJETOR - VERMELHA, PONTA 2 MM</t>
  </si>
  <si>
    <t>PINCEL ATOMICO PONTA RETANGULAR, COR VERMELHA</t>
  </si>
  <si>
    <t>PINCEL ATOMICO PONTA RETANGULAR 5 X 8 MM, CHANFRADA - COR PRETA</t>
  </si>
  <si>
    <t>CANETA HIDROGRAFICA JUMBO COM 12 CORES, PONTA GROSSA, TINTA LAVAVEL</t>
  </si>
  <si>
    <t>CANETA HIDROGRAFICA JUMBO PRETA, PONTA GROSSA, TINTA LAVAVEL.</t>
  </si>
  <si>
    <t xml:space="preserve">CANETA HIDROGRAFICA PRETA PONTA DE 2MM. </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</si>
  <si>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</si>
  <si>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</si>
  <si>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CANETA ESFEROGRAFICA AZUL, CORPO SEXTAVADO.</t>
  </si>
  <si>
    <t>CANETA ESFEROGRAFICA VERMELHA, CORPO SEXTAVADO.</t>
  </si>
  <si>
    <t>ENVELOPE PARDO TIPO SACO - 162 X 229MM - GRAMATURA MINIMA 80 G/M²</t>
  </si>
  <si>
    <t>ENVELOPE BRANCO - CARTA - 114 X 162 MM- GRAMATURA MINIMA 56 G/M²</t>
  </si>
  <si>
    <t>LIVRO P/ REGISTRO DE CORRESPONDENCIA - 100 FOLHAS - CAPA DURA - MED. 160 X 220 MM</t>
  </si>
  <si>
    <t>ENVELOPE PARDO TIPO SACO 240 X 340MM- GRAMATURA MINIMA 80 G/M²</t>
  </si>
  <si>
    <t>ENVELOPE PARDO TIPO SACO 310  X 410 MM- GRAMATURA MINIMA 80 G/M²</t>
  </si>
  <si>
    <t>PASTA DE CARTOLINA PLASTIFICADA MOD. C/ FERRAGEM - PRETA -</t>
  </si>
  <si>
    <t>CAIXA PARA ARQUIVO MORTO EM POLIONDA</t>
  </si>
  <si>
    <t>ENVELOPE BRANCO - OFICIO - 114 X 229 MM- GRAMATURA MINIMA 63 G/M²</t>
  </si>
  <si>
    <t>BLOCO P/ RECADOS AUTO COLANTE - MED 76 X 102 MM</t>
  </si>
  <si>
    <t>BLOCO P/ RECADOS AUTO COLANTE - MED. 38 X 51</t>
  </si>
  <si>
    <t>CAPA EM POLIPROPILENO, TAMANHO A4, 0,30 MM DE ESPESSURA, TRANSPARENTE</t>
  </si>
  <si>
    <t>CAPA EM POLIPROPILENO, TAMANHO A4, 0,30 MM DE ESPESSURA, PRETO</t>
  </si>
  <si>
    <t>SACO PLASTICO - GROSSO - 4 FUROS - TAMANHO OFICIO</t>
  </si>
  <si>
    <t>ENVELOPE OURO TIPO SACO 80 X 115 MM- GRAMATURA MINIMA 80 G/M²</t>
  </si>
  <si>
    <t xml:space="preserve">PASTA SUSPENSA, DE POLIPROPILENO(PP-LINE), </t>
  </si>
  <si>
    <t>LIVRO DE ATA, CAPA DURA, COM 50 FOLHAS - MEDIDA: 206 X 300 MM (VARIACAO +/- 6 MM)</t>
  </si>
  <si>
    <t>LIVRO DE ATA, CAPA DURA, COM 100 FOLHAS - MEDIDA: 206 X 300 MM (VARIACAO +/- 6 MM)</t>
  </si>
  <si>
    <t>CADERNO BROCHURA, 96 FOLHAS, CAPA DURA.</t>
  </si>
  <si>
    <t>CADERNO ESPIRAL CAPA DURA 1/4 96 FLS, CAPA DURA.</t>
  </si>
  <si>
    <t>CADERNO ESPIRAL UNIVERSITARIO, 200 FOLHAS, CAPA DURA.</t>
  </si>
  <si>
    <t>CADERNO ESPIRAL UNIVERSITARIO, 96 FOLHAS, CAPA DURA.</t>
  </si>
  <si>
    <t>CADERNO DE DESENHO ESPIRAL, 96 FOLHAS, CAPA DURA.</t>
  </si>
  <si>
    <t>EXTRATOR DE GRAMPOS - TIPO ESPATULA</t>
  </si>
  <si>
    <t>CLIPS 30 MM DE COMPRIMENTO - CX C/ 100 UN</t>
  </si>
  <si>
    <t>GRAMPO P/ PAPEL N°1 TIPO TRANCADO - CX COM 12 UNID</t>
  </si>
  <si>
    <t>PERFURADOR P/ PAPEL - 2 FUROS - MEDIO</t>
  </si>
  <si>
    <t>GRAMPO TRILHO P/ PASTA 80 MM</t>
  </si>
  <si>
    <t>TESOURA EM ACO INOXIDAVEL, COM CABO EM POLIPROPILENO, 18 CM (VARIAÇÃO +/- 3 CM)</t>
  </si>
  <si>
    <t>BARBANTE DE ALGODAO 4 FIOS - ROLO COM 250 GR</t>
  </si>
  <si>
    <t>FITA ADESIVA CREPADA  - 19 MM X 50 M</t>
  </si>
  <si>
    <t>ETIQUETA ADESIVA - 36 X 102 MM - FOLHA C/ 24 UNIDADES - TIPO FORMULARIO CONTINUO</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</si>
  <si>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</si>
  <si>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</si>
  <si>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</si>
  <si>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</si>
  <si>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</si>
  <si>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COLA BRANCA , FRASCO COM 1 KG - COMPOSICAO RESINA DE PVA, LAVAVEL, CERTIFICADA PELO INMETRO</t>
  </si>
  <si>
    <t>ESTILETE DE METAL C/ LAMINA ESTREITA</t>
  </si>
  <si>
    <t>LAPIS DE COR AQUARELAVEL, CAIXA COM 12 CORES, TINTAS ATOXICAS, SOLUVEIS EM AGUA. DIMENSAO DA CAIXA: 215MM X 95MM X 13MM (VARIACAO +/- 10MM). PRODUTO COM CERTIFICACAO DO INMETRO</t>
  </si>
  <si>
    <t>ESQUADRO DE 45° - COR: TRANSPARENTE.</t>
  </si>
  <si>
    <t>ESQUADRO DE 60° - COR: TRANSPARENTE.</t>
  </si>
  <si>
    <t>TRANSFERIDOR DE 180° - COR: TRANSPARENTE</t>
  </si>
  <si>
    <t>GIZ DE CERA JUMBO, COM NO MINIMO 12 CORES, ATOXICO.</t>
  </si>
  <si>
    <t>APAGADOR PARA QUADRO BRANCO - NAO MAGNETICO</t>
  </si>
  <si>
    <t>GIZ DE CORES DIVERSAS, ANTIALERGICO, CAIXA COM 50 UNIDADES</t>
  </si>
  <si>
    <t>PLASTICO BOLHA - MEDIDA 1,20 M LARGURA</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</si>
  <si>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</si>
  <si>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</si>
  <si>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</si>
  <si>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</si>
  <si>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</si>
  <si>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POTE COM 250 ML, LARANJA</t>
  </si>
  <si>
    <t>TINTA GUACHE, POTE COM 250 ML, AZUL CLARO</t>
  </si>
  <si>
    <t>TINTA GUACHE,  ATOXICA, COR AMARELO-OURO, CONTENDO 250 ML</t>
  </si>
  <si>
    <t>FILTRO COM TAMPA E COPO EM POLIPROPILENO, VAZAO 1200 L/H, SAIDA 1/2", BRANCO COM ROSCA EXTERNA NO COPO E INTERNA NA TAMPA E COM REDUCAO DE 3/4" PARA 1/2" EM LATAO.</t>
  </si>
  <si>
    <t>VELA(REFIL), PARA FILTRO MOD. AP 055</t>
  </si>
  <si>
    <t>RELE TERMICO 5.5 A 8A LRD12 ( SCH )</t>
  </si>
  <si>
    <t>RELE TERMICO 7 A 10A LRD14 ( SCH )</t>
  </si>
  <si>
    <t>RELE TERMICO 12 A 18A LRD21 ( SCH )</t>
  </si>
  <si>
    <t xml:space="preserve">CONTROLADOR ROTATIVO DE VELOCIDADE COM CHAVE PARA VENTILADORES </t>
  </si>
  <si>
    <t>CAL HIDRATADA - SACO COM 20 KG</t>
  </si>
  <si>
    <t>MASSA CORRIDA PVA - LATA C/ 18 LITROS</t>
  </si>
  <si>
    <t>CIMENTO COMUM CPII-32 - SACO C/ 50KG - O MATERIAL DEVERA SER ENTREGUE EM LOTE PALETIZADO PROTEGIDO COM FILME PLASTICO.</t>
  </si>
  <si>
    <t>GESSO ESTUQUE, EMBALAGEM C/ 01 KG</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</si>
  <si>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</si>
  <si>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CIMENTO COLANTE - SACO COM 20 KG (PARA USO INTERNO E EXTERNO)</t>
  </si>
  <si>
    <t>TIJOLO COMUM DE BARRO MEDINDO 20 X 9 X 4 CM</t>
  </si>
  <si>
    <t>PISO DE CONCRETO, TIPO INTERTRAVADO RETANGULAR, COR NATURAL, DIMENSOES: 200 X 100MM, ESPESSURA: 60MM, RESISTENCIA DE 35MPA</t>
  </si>
  <si>
    <t>DOBRADICA DE FERRO POLIDO 1.1/2"</t>
  </si>
  <si>
    <t>MACANETA ALAVANCA CROMADA P/ PORTA DE MADEIRA</t>
  </si>
  <si>
    <t>GONZO COM CHUMBADOR N. 3 (65MM)</t>
  </si>
  <si>
    <t>TARJETA CROMADA 3"</t>
  </si>
  <si>
    <t>TRINCO FECHO CHATO 4"</t>
  </si>
  <si>
    <t>TARJETA CROMADA 2"</t>
  </si>
  <si>
    <t>PUXADOR EXTERNO PARA ARMARIO, COM 2 PARAFUSOS - TIPO ALCA - MEDIDA: 14,5 CM X 2,5 CM</t>
  </si>
  <si>
    <t>FECHO CHATO COM PORTA CADEADO ZINCADO 5" REFORCADO, COM PARAFUSOS, MATERIAL DO FECHO:  ACO CARBONO, MEDIDA: 127MM.</t>
  </si>
  <si>
    <t>PORTA CADEADO DE FERRO ZINCADO DE 1 1/2"</t>
  </si>
  <si>
    <t>CADEADO DE LATAO - 30 MM</t>
  </si>
  <si>
    <t>CADEADO DE LATAO - 50 MM</t>
  </si>
  <si>
    <t>PORTA CADEADO DE FERRO ZINCADO DE 3 1/2"</t>
  </si>
  <si>
    <t>CADEADO DE LATAO - 40 MM</t>
  </si>
  <si>
    <t>PORTA CADEADO DE FERRO ZINCADO 2"</t>
  </si>
  <si>
    <t>FERRO CHATO 1 X 1/ 8" BARRA C/ 06 METROS</t>
  </si>
  <si>
    <t>FERRO TIPO U DE 2" X 1/8</t>
  </si>
  <si>
    <t>FERRO TIPO U DE 3" X 1/8" - BARRA COM 06 METROS</t>
  </si>
  <si>
    <t>FERRO REDONDO DE 5/8" - BARRA COM 06 METROS (FERRO MECANICO</t>
  </si>
  <si>
    <t>FERRO CHATO 1/2" X 1/4" - BARRA C/ 06 METROS</t>
  </si>
  <si>
    <t>FERRO TIPO U DE 6" X 1/8" - BARRA COM 06 METROS</t>
  </si>
  <si>
    <t>TELHA DE BARRO COZIDO - TIPO ROMANA</t>
  </si>
  <si>
    <t>CUMEEIRA DE BARRO COZIDO</t>
  </si>
  <si>
    <t>TELHA DE FIBROCIMENTO - 0,90 X 8,20 M - TIPO CANALETE</t>
  </si>
  <si>
    <t>TELHA EM CIMENTO REFORCADO</t>
  </si>
  <si>
    <t>TELHA EM CIMENTO REFORCADO COM FIO SINTETICO(CRFS)</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</si>
  <si>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</si>
  <si>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</si>
  <si>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CUMEEIRA ARTICULADA FIBRA SINTETICA CRFS, 1,10 X 06 MM - SUPERIOR</t>
  </si>
  <si>
    <t>CUMEEIRA ARTICULADA FIBRA SINTETICA CRFS, 1,10 X 06 MM - INFERIOR</t>
  </si>
  <si>
    <t>PISO DE BORRACHA MODELO S, ISENTO DE SUBSTANCIAS TOXICAS COM ABSORCAO DE IMPACTOS ANTI DERRAPANTES, NA MEDIDA 270X180X60MM</t>
  </si>
  <si>
    <t>PISO DE BORRACHA MODELO I, ISENTO DE SUBSTANCIAS TOXICAS COM ABSORCAO DE IMPACTOS ANTI DERRAPANTES, NA MEDIDA 335 X255 X20 MM</t>
  </si>
  <si>
    <t>PISO DE BORRACHA MODELO S, COR : TERRACOTA NA MEDIDA: 270 X 180 X 60 MM.</t>
  </si>
  <si>
    <t>PISO DE BORRACHA MODELO I, COR: AMARELO, NA MEDIDA 335 X 255 X 20 MM.</t>
  </si>
  <si>
    <t>FORRO EM PVC BRANCO LISO, REGUA DE 6M DE COMPRIMENTO, 20CM DE LARGURA - 10MM DE ESPESSURA (ESPESSURA COM TOLERANCIA DE +/- 2MM)</t>
  </si>
  <si>
    <t>ISOPOR PARA FORRO, COM APLICACAO DE MASSA ACRILICA (IMPERMEAVEL), COR BRANCO, DIMENSAO: 625 X 1250 X 20 MM - VARIACAO: +/- 10 MM</t>
  </si>
  <si>
    <t>CAIXILHO DE FERRO PERFILADO BASCULANTE - MEDIDAS: 0,80 X 0,</t>
  </si>
  <si>
    <t>CAIXILHO DE FERRO PERFILADO - DE CORRER - 1,20 X 2,00 M</t>
  </si>
  <si>
    <t>CAIXILHO DE FERRO PERFILADO BASCULANTE - MEDIDAS: 1,00 X 1,</t>
  </si>
  <si>
    <t>CAIXILHO DE FERRO PERFILADO DE CORRER, S/ GRADE - MEDIDAS:</t>
  </si>
  <si>
    <t>ALAVANCA EM FERRO  PARA VITRO, TAMANHO PADRAO</t>
  </si>
  <si>
    <t>VITRO DE CORRER EM ALUMINIO COM VIDROS E GRADE EM ALUMINIO FOSCO MEDINDO: 2,00 X 1,20M</t>
  </si>
  <si>
    <t>VITRO DE CORRER EM ALUMINIO COM VIDROS E GRADE EM ALUMINIO FOSCO MEDINDO: 1,50 X 1,20M</t>
  </si>
  <si>
    <t>FOLHA DE PORTA - EM IMBUIA - 0,92 X 2,10 M</t>
  </si>
  <si>
    <t>FOLHA DE PORTA DE IMBUIA - MED. 1,02 X 2,10 M</t>
  </si>
  <si>
    <t>GUARNICAO ADESIVA, EM EPDM PRETA, MEDIDA: 11 X 6,4 MM (VARIACAO: +/- 1 MM)</t>
  </si>
  <si>
    <t>TELA DE ARAME GALVANIZADO - FIO 10 - MALHA 2.1/2" X 2 METROS DE ALTURA</t>
  </si>
  <si>
    <t>TELA EM ACO INOX 304, MALHA 14, DIAMETRO DO FIO 0,25 MM, LARGURA 1.200 MM (PODENDO VARIAR +/- 50 MM) - ROLO COM 30 METROS.</t>
  </si>
  <si>
    <t>ADESIVO P/ CHAPISCO, CONCRETO E ARGAMASSA - BALDE C/18 LITROS</t>
  </si>
  <si>
    <t>MASSA PARA CALAFETAR A BASE DE POLIBUTENO EM FILETES - CAIX</t>
  </si>
  <si>
    <t>MANTA ASFALTICA, AUTO ADESIVA - MEDIDAS: 10CM DE LARGURA X 10 M DE COMPRIMENTO</t>
  </si>
  <si>
    <t>ADESIVO SELANTE PARA VEDACAO/CALAFETACAO  DE CALHAS RUFOS E AFINS,  A BASE DE POLIURETANO - TUBO DE 350 A 400 GRAMAS</t>
  </si>
  <si>
    <t>VASO SANITARIO SIFONADO CONVENCIONAL DE LOUÇA PADRAO POPULAR NA COR BRANCA</t>
  </si>
  <si>
    <t>VASO SANITARIO INFANTIL, NA COR BRANCA, MATERIAL EM LOUCA NAS DIMENSOE: 30 X 31 X 41,5 CM (ALTURA/LARGURA/COMPRIMENTO)  MEDIDAS PODENDO VARIAR EM + / - 03 CM</t>
  </si>
  <si>
    <t>PIA DE ACO INOX, 1 CUBA - 2,00 X 0,53M</t>
  </si>
  <si>
    <t>PIA DE ACO INOX COM 01 CUBA, MEDINDO 1,50 M DE COMP. E LARGURA MINIMA DE 53 CM</t>
  </si>
  <si>
    <t>PIA DE ACO INOX COM 02 CUBAS, MEDINDO 2,00 M DE COMP. E LARGURA MINIMA DE 53 CM</t>
  </si>
  <si>
    <t>TANQUE DE CONCRETO PRE-MOLDADO P/ LAVAGEM DE ROUPAS DE 0,70 X 0,70M</t>
  </si>
  <si>
    <t>LAVATORIO SUSPENSO INFANTIL, NA COR BRANCA, MATERAL EM LOUCA NAS DIMENSOES: 38 X 28 CM (COMPRIMENTO/LARGURA). MEDIDAS PODENDO VARIAR EM + / - 03 CM.</t>
  </si>
  <si>
    <t>TAMPO E ASSENTO P/ VASO SANITARIO ( INFANTIL )</t>
  </si>
  <si>
    <t xml:space="preserve">RESERVATORIO INTERNO PARA SABONETEIRA EM PLASTICO - CAPACIDADE 800 ML </t>
  </si>
  <si>
    <t>SABONETEIRA EM ABS NA COR BRANCA</t>
  </si>
  <si>
    <t>ASSENTO PARA VASO SANITARIO EM POLIURETANO EXPANDIDO COM TAMPA EM POLIPROPILENO, FIXACAO COM ELEMENTOS DE PLASTICO COM POSSIBILIDADE DE AJUSTE EM TODAS AS DIRECOES</t>
  </si>
  <si>
    <t>COLA ADESIVO DE MONTAGEM PARA USO INTERNO</t>
  </si>
  <si>
    <t>GRELHA COM PORTA GRELHA, REDONDA EM ALUMINIO 4"</t>
  </si>
  <si>
    <t>GRELHA REDONDA PARA RALO EM INOX, 6" COM DISPOSITIVO DE VEDACAO PARA INSETO</t>
  </si>
  <si>
    <t>BOBINA DE SACO PLASTICO PICOTADO PARA EMBALAGEM - MED. 35 X 45 CM</t>
  </si>
  <si>
    <t>PAPEL DE SEDA BRANCO CALANDRADO 14 X 14 CM (GUARDANAPO TIPO TV), 100% FIBRAS CELULOSICAS, EM PACOTES COM 500 UNIDADES</t>
  </si>
  <si>
    <t>FILTRO DE LUZ RETANGULAR P/ MASCARA DE PROTECAO, TONALIDADE</t>
  </si>
  <si>
    <t>LUVA DE RASPA  - CANO MEDIO</t>
  </si>
  <si>
    <t>PERNEIRA DE RASPA DE COURO   ****** USAR O CODIGO 93346 ******</t>
  </si>
  <si>
    <t>FILTRO DE LUZ REDONDO P/ MASCARA DE PROTECAO - ESPESS 2MM,</t>
  </si>
  <si>
    <t>RESPIRADOR SEMI-FACIAL, COM ENCAIXE TIPO ROSCA PARA 02 CARTUCHOS DE FILTROS</t>
  </si>
  <si>
    <t>LUVA DE LATEX PARA PROCEDIMENTO, TAM. M.</t>
  </si>
  <si>
    <t>LUVA DE LATEX PARA PROCEDIMENTO, TAM. G.</t>
  </si>
  <si>
    <t xml:space="preserve">BOTINA DE COURO N° 38, C/BICO DE ACO, SOLADO PU  </t>
  </si>
  <si>
    <t>BOTINA DE COURO N° 41, C/BICO DE ACO, SOLADO PU</t>
  </si>
  <si>
    <t>BOTINA DE COURO N° 42, C/BICO DE ACO, SOLADO PU</t>
  </si>
  <si>
    <t xml:space="preserve">LUVA DE RASPA DE COURO, CANO CURTO.  </t>
  </si>
  <si>
    <t xml:space="preserve">MANGOTE DE RASPA </t>
  </si>
  <si>
    <t>LUVA DE LATEX - TAMANHO M.</t>
  </si>
  <si>
    <t>LUVA DE VAQUETA - COMPRIMENTO DE 28 CM</t>
  </si>
  <si>
    <t>BOTINA DE COURO N° 45, C/BICO DE ACO, SOLADO DE BORRACHA</t>
  </si>
  <si>
    <t>SAPATO DE SEGURANCA N° 37,  MOD. FEMININO.</t>
  </si>
  <si>
    <t>SAPATO DE COURO N° 38, MOD. FEMININO.</t>
  </si>
  <si>
    <t>LUVA DE RASPA DE COURO, CANO LONGO</t>
  </si>
  <si>
    <t>BOTA DE PVC N° 38 - CANO CURTO</t>
  </si>
  <si>
    <t>BOTA DE PVC N° 40 - CANO CURTO</t>
  </si>
  <si>
    <t>BOTA DE PVC N° 41 - CANO CURTO</t>
  </si>
  <si>
    <t>BOTA DE PVC N° 42 - CANO CURTO</t>
  </si>
  <si>
    <t>CAPA DE CHUVA NA COR AMARELA, CONFECCIONADA EM PVC LAMINADO COM FORRO DE POLIESTER - TAM. G</t>
  </si>
  <si>
    <t>RESPIRADOR PURIFICADOR DE AR TIPO PECA SEMIFACIAL FILTRANTE PARA PARTICULAS - PFF2, FORMATO TIPO CONCHA</t>
  </si>
  <si>
    <t>OCULOS DE PROTECAO CONTRA IMPACTOS</t>
  </si>
  <si>
    <t xml:space="preserve">FITA PLASTICA P/ ISOLAMENTO DE TRAFEGO PRETA/AMARELA - ROLO COM 100 M </t>
  </si>
  <si>
    <t xml:space="preserve">FILTRO QUIMICO PARA  VAPORES ORGANICOS </t>
  </si>
  <si>
    <t>ARTICULADOR PARA INFRAVERMELHO COM PARAFUSO</t>
  </si>
  <si>
    <t>PROTETOR DE LINHA, PARA ALARME, TIPO LD</t>
  </si>
  <si>
    <t>TECLADO PARA ALARMES- COMPATIBILIDADE COM PLACA CENTRAL DE ALARME ADEMCO VISTA 48, VISOR DE CRISTAL LIQUIDO ALFANUMERICO, TECLAS ILUMINADAS.</t>
  </si>
  <si>
    <t>BATERIA DE 12 V E 7 A DO TIPO GELATINOSA</t>
  </si>
  <si>
    <t>SIRENE- POTENCIA SONORA DE 120 DB, ALIMENTACAO 12V, SUPORTE PARA FIXACAO.</t>
  </si>
  <si>
    <t>BOTAO ALARME PANICO BLOQUEADOR</t>
  </si>
  <si>
    <t>PROTETOR DE LINHA TELEFONICA</t>
  </si>
  <si>
    <t>DISPOSITIVO DE PROTECAO CONTRA SOBRETENSOES TRANSITORIAS, TENSAO NOMINAL MINIMA 220V, CORRENTE MINIMA DE SURTO 40KA (8/20US) PADRAO IEC (CONF. NORMA ABNT 5410)</t>
  </si>
  <si>
    <t xml:space="preserve">AVENTAL DE RASPA,  EM COURO. </t>
  </si>
  <si>
    <t>LUVA DE LATEX - TAMANHO G</t>
  </si>
  <si>
    <t xml:space="preserve">MASCARA MOD DOBRAVEL </t>
  </si>
  <si>
    <t>CALCADO SEM COMPONENTES METALICOS Nº 36</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</si>
  <si>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</si>
  <si>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</si>
  <si>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</si>
  <si>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</si>
  <si>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</si>
  <si>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CONFECCAO DE CAMISA DE BRIM, N° 7</t>
  </si>
  <si>
    <t>CONFECCAO DE CALCA DE BRIM, N° 46</t>
  </si>
  <si>
    <t>SENSOR DE MICROONDAS DE ALARME PARA AREA SEMI ABERTA</t>
  </si>
  <si>
    <t>PROTETOR REDE ELETRICA - PROTECAO CONTRA DESCARGAS ELETRICAS, COMPOSICAO VARISTORES E CENTELHADOR DE GAS, BORNE PARA CONEXAO FIO TERRA, BIVOLT, MONOFASICO 110V OU 220V.</t>
  </si>
  <si>
    <t>INTERRUPTOR 10A X 250V INTERNO C/ 02 TECLAS C/ PLACA</t>
  </si>
  <si>
    <t>INTERRUPTOR 10A X 250V INTERNO C/PLACA-  01 TECLA</t>
  </si>
  <si>
    <t>CHAVE BOIA INFERIOR 15 A (CONTROLE DE NIVEL AUTOMATICO)</t>
  </si>
  <si>
    <t>PILHA PALITO AAA - ALCALINA</t>
  </si>
  <si>
    <t>CABO DE COBRE, ISOLACAO PVS 750V COM COBERTURA DE PVC - 2 X 1,5 MM</t>
  </si>
  <si>
    <t>CABO DE COBRE FLEXIVEL BITOLA 150 MM²,  0,6/1 KV ISOLACAO DE PVC 70° C, COR PRETA - ANTI-CHAMA</t>
  </si>
  <si>
    <t>CABO DE COBRE FLEXIVEL BITOLA  95 MM²,  750 V ISOLACAO DE PVC 70° C, COR VERDE - ANTI-CHAMA.</t>
  </si>
  <si>
    <t>CABO DE COBRE FLEXIVEL BITOLA 70 MM²,  0,6/1 KV ISOLACAO DE PVC 70° COR AZUL CLARO - ANTI-CHAMA.</t>
  </si>
  <si>
    <t>CABO 04 VIAS DE CORES DIFERENTES (4 X 60)</t>
  </si>
  <si>
    <t xml:space="preserve">CABO DE COBRE FLEXIVEL BITOLA 185 MM2 , ISOLACAO 0,6/1 KV, COR PRETA - ANTICHAMA </t>
  </si>
  <si>
    <t>CABO DE COBRE FLEXIVEL, BITOLA 50MM2, 0,6/1 KV, ISOLACAO DE PVC 70° C, COR AZUL CLARO - ANTI-CHAMA</t>
  </si>
  <si>
    <t>DISJUNTOR NORMA DIN CURVA C PADRAO, TRIPOLAR, 10 AMPERES</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</si>
  <si>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</si>
  <si>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</si>
  <si>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</si>
  <si>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TRILHO PARA DISJUNTOR TIPO DIN</t>
  </si>
  <si>
    <t>INTERRUPTOR DIFERENCIAL RESIDUAL BIPOLAR</t>
  </si>
  <si>
    <t>DISJUNTOR TRIPOLAR IN 300 A, TENSAO MINIMA DE OPERACAO 220V, CURVA C, NBR 60947-2 - CATEGORIA A</t>
  </si>
  <si>
    <t>ROLDANA PLASTICA P/ FIXACAO DE FIOS ELETRICOS - 30 X 30 - C</t>
  </si>
  <si>
    <t>ROLDANA PLASTICA P/ FIXACAO DE FIOS ELETRICOS - 24 X 24 - C</t>
  </si>
  <si>
    <t>KIT BARRAMENTO</t>
  </si>
  <si>
    <t xml:space="preserve">KIT BARRAMENTO CONTENDO: BARRAMENTO TRIFASICO DE COBRE CHATO ELETROLITICO 250 A  </t>
  </si>
  <si>
    <t>SOQUETE PARA BASE G13</t>
  </si>
  <si>
    <t>QUADRO DE DISTRIBUICAO DE EMBUTIR PARA 56 DISJUNTORES</t>
  </si>
  <si>
    <t>QUADRO DE DISTRIBUICAO DE SOBREPOR TRIFASICO 225 AMPERES PARA 70 DISJUNTORES TIPO DIN</t>
  </si>
  <si>
    <t>QUADRO DE DISTRIBUICAO PARA 36 DISJUNTORES TIPO DIN DE PVC, DE EMBUTIR</t>
  </si>
  <si>
    <t>CAIXA DE PASSAGEM EM CHAPA METALICA DE SOBREPOR</t>
  </si>
  <si>
    <t>DISTRIBUIDOR GERAL PARA TELEFONIA</t>
  </si>
  <si>
    <t>CAIXA PLASTICA DE SOBREPOR COM TAMPA - MEDIDAS: 23 X 17 X 90 CM</t>
  </si>
  <si>
    <t>ELETRODUTO FLEXIVEL CORRUGADO DE 3/4" - COR AMARELA</t>
  </si>
  <si>
    <t>CURVA 90 GRAUS DE ACO CARBONO GALVANIZADO P/ ELETRODUTO</t>
  </si>
  <si>
    <t>LUVA EM ACO CARBONO GALVANIZADO P/ ELETRODUTO 2" - ROSQUEAV</t>
  </si>
  <si>
    <t>VERGALHAO ROSQUEADO DE 1/4" X 3 METROS</t>
  </si>
  <si>
    <t>ARRUELA LISA 5/16</t>
  </si>
  <si>
    <t>ARRUELA LISA 1/4"</t>
  </si>
  <si>
    <t>ELETRODUTO DE FERRO GALVANIZADO - 3/4"</t>
  </si>
  <si>
    <t>BUCHA C/ARRUELA EM ZAMAK P/ELETRODUTO - DIAMETRO 1 1/2"</t>
  </si>
  <si>
    <t xml:space="preserve">ELETRODUTO GALVANIZADO A FOGO - LEVE  1" </t>
  </si>
  <si>
    <t>ELETRODUTO CORRUGADO 1" - COR: AMARELA</t>
  </si>
  <si>
    <t>TAMPA CEGA DE ALUMINIO PARA CONDULETE DE 1.1/2"</t>
  </si>
  <si>
    <t>CONECTOR TIPO SPLIT BOLT-SIMPLES/SIMPLES P/ 2 CABOS DE COBRE DE 10MM2</t>
  </si>
  <si>
    <t>CONECTOR A PRESSAO TIPO SPLIT BOLT-SIMPLES/SIMPLES P/ 2</t>
  </si>
  <si>
    <t>CONECTOR TIPO SPLIT BOLT-SIMPLES/SIMPLES P/ 2 CABOS DE COBRE DE 16MM2</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</si>
  <si>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</si>
  <si>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</si>
  <si>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</si>
  <si>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</si>
  <si>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</si>
  <si>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</si>
  <si>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CONECTOR TIPO SPLIT BOLT-SIMPLES/SIMPLES P/ 2 CABOS DE COBRE DE 120 MM2</t>
  </si>
  <si>
    <t>CAIXA PARA TELEFONIA TIPO TPF-10 COM TAMPA, PARA USO EXTERNO EM POSTE, COM BLOCO BER 10 PARES, PADRAO ANATEL.</t>
  </si>
  <si>
    <t>TERMINAL A PRESSAO REFORCADO P/ 1 CABO DE COBRE 50MM2 C/ 1</t>
  </si>
  <si>
    <t>TERMINAL A PRESSAO REFORCADO P/ 1 CABO DE COBRE 95MM2 C/ 1</t>
  </si>
  <si>
    <t>TERMINAL A PRESSAO POR ALICATE BITOLA 16,0MM - TIPO ANEL</t>
  </si>
  <si>
    <t>TERMINAL A COMPRESSAO REFORCADO P/ 1 CABO DE COBRE 150MM2 C/ 1 FURO DE FIXACAO</t>
  </si>
  <si>
    <t>TERMINAL A COMPRESSAO REFORCADO P/ 1 CABO DE COBRE 95 MM2 C/ 1 FURO DE FIXACAO</t>
  </si>
  <si>
    <t>TERMINAL A COMPRESSAO PARA 1 CABO DE COBRE 25 MM2 COM 1 FURO DE FIXACAO</t>
  </si>
  <si>
    <t>TERMINAL A COMPRESSAO PARA 1 CABO DE COBRE 50 MM2 TIPO ANEL</t>
  </si>
  <si>
    <t>TOMADA MOVEL 2P+T NBR 14136 DE 20A/250V</t>
  </si>
  <si>
    <t>TOMADA MOVEL PADRAO NBR 14136 2 +T  DE 10A/250V</t>
  </si>
  <si>
    <t>TOMADA PADRAO NBR 14136 COM 2 TOMADAS 2P + T DE 10A/250V DE EMBUTIR COM ESPELHO COR BRANCA PARA CAIXA 4X2.</t>
  </si>
  <si>
    <t>TOMADA PADRAO NBR 14136 2P + T DE 10A/250V DE SOBREPOR COM CAIXA COR BRANCA.</t>
  </si>
  <si>
    <t>TRANSFORMADOR (TRAFO/FONTE) - ENTRADA 110/220 VOLTS, SAIDA DE 16 VOLTS, AMPERAGEM 1,5 A.</t>
  </si>
  <si>
    <t>FITA ISOLANTE 19 MM X 10 M DE AUTO FUSAO (ALTA TENSAO) -</t>
  </si>
  <si>
    <t>FITA ISOLANTE 19 MM X 20 M</t>
  </si>
  <si>
    <t>HASTE DE ATERRAMENTO DE COBRE - 5/8" X 3,00 METROS</t>
  </si>
  <si>
    <t>FITA PET VIRGEM (ALTA RESISTENCIA) 16MM X 0,80MM, UTILIZADA EM SELADOR ELETRICO, ROLO COM 20KG  - APROXIMADO. 1180 MTS</t>
  </si>
  <si>
    <t>ABRACADEIRA GALVANIZADA TIPO U DE 3/4"</t>
  </si>
  <si>
    <t>ABRACADEIRA REGULAVEL ROSCA SEM FIM DE 3/4"</t>
  </si>
  <si>
    <t>LUMINARIA TIPO ARANDELA,</t>
  </si>
  <si>
    <t>LUMINARIA FECHADA TIPO CALHA - P/ LAMPADA FLUORESCENTE - 2 X 20 W, CALHA COM SOQUETE DE PRESSAO E SUPORTE PARA FIXACAO TIPO PE DE GALINHA</t>
  </si>
  <si>
    <t>HOLOFOTE RETANGULAR, COM BASE 27 EM ALUMINIO ESTAMPADO MEDINDO 280 X 300 X 160 MM COM GRADE PROTETORA</t>
  </si>
  <si>
    <t xml:space="preserve">HOLOFOTE RETANGULAR COM BASE E-40 EM ALUMINIO </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</si>
  <si>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</si>
  <si>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REATOR ELETRONICO SERIE 2 X 40 W - 127V / 220 V - ALTO FATO</t>
  </si>
  <si>
    <t>REATOR ELETROMAGNETICO DE ALTA PRESSAO PARA LAMPADA A VAPOR DE SODIO E METALICA, 400W, 220V/60HZ</t>
  </si>
  <si>
    <t>LAMPADA HALOGENA 300W, 220 VOLTS</t>
  </si>
  <si>
    <t>MODULO DE EXPANSAO DE 8 ZONAS COM FIO + 2 SAIDAS DE RELES PROGRAMAVEIS DISPONIVEIS PARA CONTROLE DE LUZES, PORTAS, FECHADURAS E PORTOES (COMPATIVEIS COM CENTRAIS ADEMCO VISTA 48 LA.MODELO: 4229)</t>
  </si>
  <si>
    <t xml:space="preserve">PLACA CENTRAL PARA ALARMES ADEMCO VISTA 48 PLACA DE MONITORAMENTO LOCAL DO TIPO MICRO-PROCESSADA, COM NO MINIMO 08 PERIMETROS, CARREGADOR DE BATERIA, FORMATO DE COMUNICACAO CONTACT ID. </t>
  </si>
  <si>
    <t>LAMPADA LED BULBO 10W - LAMPADA LED BULBO, BASE E27, POTENCIA 10W, TENSAO 100-240V</t>
  </si>
  <si>
    <t>LAMPADA LED BULBO 20W - LAMPADA LED BULBO, BASE E27, POTENCIA 20W, TENSAO 100-240V</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</si>
  <si>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</si>
  <si>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</si>
  <si>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CABO PARA ALARME (4 VIAS AWG24) - METROS DE CABO COM QUATRO VIAS DE CORES COM NO MINIMO 4X0,50 MM DE DIAMETRO POR FIO (AWG24) SOLIDO.</t>
  </si>
  <si>
    <t xml:space="preserve">PAPEL ADESIVO P/ ENCADERNACAO (TIPO CONTACT) - 0,50 M DE LARGURA (VARIACAO +/- 0,05M) - TRANSPARENTE - ROLO COM 25 M </t>
  </si>
  <si>
    <t>ESPIRAL N. 12 (12 MM) DE PVC - PACOTE COM 100 UNIDADES</t>
  </si>
  <si>
    <t>ESPIRAL 9 MM DE PVC - PACOTE COM 100 UNIDADES.</t>
  </si>
  <si>
    <t>ESPIRAL 25 MM DE PVC - PACOTE COM NO MINIMO 45 UNIDADES.</t>
  </si>
  <si>
    <t>PAPEL SULFITE, GRAMATURA 75G/M2, FORMATO A3, MEDINDO (297X420)MM, COR BRANCA</t>
  </si>
  <si>
    <t>PAPEL SULFITE A4, 210 X 297, 75G, NA COR VERDE - PACOTE COM 500 FOLHAS</t>
  </si>
  <si>
    <t>PAPEL SULFITE A4, 210 X 297, 75G, NA COR ROSA - PACOTE COM 500 FOLHAS</t>
  </si>
  <si>
    <t>PAPEL SULFITE A4, 210 X 297, 75G, NA COR AZUL - PACOTE COM 500 FOLHAS</t>
  </si>
  <si>
    <t>PAPEL P/ REPROGRAFIA 210 X 297 MM - AMARELO GR 75GR</t>
  </si>
  <si>
    <t>BALDINHO DE PRAIA EM PLASTICO - COLORIDO, ATOXICO, COM ACES</t>
  </si>
  <si>
    <t>BANDEIRA DO BRASIL - 1,12 X 1,60 M, MODELO BORDADO, CONFECCIONADA EM TECIDO 100% POLIESTER</t>
  </si>
  <si>
    <t>BANDEIRA DO ESTADO DE SAO PAULO - 1,12 X 1,60 M, MODELO BORDADO, CONFECCIONADA EM TECIDO 100% POLIESTER</t>
  </si>
  <si>
    <t>BANDEIRA DE SAO JOSE DOS CAMPOS - 1,12 X 1,60 M, , MODELO BORDADO, CONFECCIONADA EM TECIDO 100% POLIESTER</t>
  </si>
  <si>
    <t>CABO CTP-APL - SN - 50/10 PARES</t>
  </si>
  <si>
    <t>FIO TELEFONICO EXTERNO FE - AA - 80</t>
  </si>
  <si>
    <t>TOMADA TELEFONICA PADRAO TELEBRAS DE EMBUTIR, COM SUPORTE E COM CONECTOR RJ-11 E PLACA 4X2", COM PARAFUSOS</t>
  </si>
  <si>
    <t>CHAPA DE POLICARBONATO COMPACTO CRISTAL, ESPESSURA DE 5 MM, TAMANHO: 2000 X 1000 MM - VARIACAO DE +/- 20 MM</t>
  </si>
  <si>
    <t>CABO UTP 24 AWG X 4 PARES CATEGORIA 6, CM</t>
  </si>
  <si>
    <t>CONECTOR RJ-45 FEMEA, PARA CABO UTP CATEGORIA 6</t>
  </si>
  <si>
    <t>TUBO DE PVC RIGIDO SOLDAVEL DE 40 MM - 1.1/2" X 06 M</t>
  </si>
  <si>
    <t>TUBO DE POLIETILENO DE 1" - (PONTA VERMELHA)</t>
  </si>
  <si>
    <t>TUBO DE POLIETILENO DE 3/4" -  (PONTA VERMELHA)</t>
  </si>
  <si>
    <t>TUBO DE FERRO GALVANIZADO 4" BR C/ 6 M</t>
  </si>
  <si>
    <t>TUBO DE FERRO METALON - 40 X 40 X 1,5MM - BARRA COM 6 METRO</t>
  </si>
  <si>
    <t xml:space="preserve">TUBO DE FERRO GALVANIZADO DN (DIAMETRO NOMINAL) 1" </t>
  </si>
  <si>
    <t>TUBO DE FERRO GALVANIZADO DN (DIAMETRO NOMINAL) 1/2"</t>
  </si>
  <si>
    <t>TUBO QUADRADO DE METALON 100 X 100 X 2 MM - BARRA COM 06 METROS</t>
  </si>
  <si>
    <t>TUBO DE FERRO GALVANIZADO DN (DIAMETRO NOMINAL) 3´´ - DIAMETRO EXTERNO BASICO MINIMO 87,9MM E MAXIMO 89,4MM, ESPESSURA DA PAREDE DE 4MM, CLASSE M - ABNT NBR 5580/02 - BARRA COM 6 METROS.</t>
  </si>
  <si>
    <t>MANGUEIRA EM PVC TRANCADA, REFORCADA, CRISTAL , ROLO DE 50 M, 1/2 X 1,5 MM, CAMADA INTERNA E EXTERNA EM PVC E CAMADA INTERMEDIARIA DE FIO POLIESTER TRANCADO, COM TERMINAL DE FERRO 3/4" E BICO REGULAVEL DE PRESSAO EM FERRO</t>
  </si>
  <si>
    <t>ADAPTADOR DE PVC SOLDAVEL 1.1/2"</t>
  </si>
  <si>
    <t>ADAPTADOR DE PVC SOLDAVEL 3/4"</t>
  </si>
  <si>
    <t>COTOVELO DE REDUCAO EM PVC SOLDAVEL DE 1" X 3/4"</t>
  </si>
  <si>
    <t>COTOVELO 90° GRAUS EM PVC RIGIDO SOLDAVEL DE 2" (ESGOTO)</t>
  </si>
  <si>
    <t>COTOVELO 90 GRAUS EM PVC RIGIDO SOLDAVEL - 1.1/2"</t>
  </si>
  <si>
    <t>COTOVELO 90 GRAUS EM PVC RIGIDO SOLDAVEL DE 3/4"</t>
  </si>
  <si>
    <t>LUVA DE PVC RIGIDO SOLDAVEL DE 2"</t>
  </si>
  <si>
    <t>LUVA DE PVC RIGIDO SOLDAVEL DE 1.1/2"</t>
  </si>
  <si>
    <t>LUVA DE PVC RIGIDO SOLDAVEL DE 3/4"</t>
  </si>
  <si>
    <t>TE DE REDUCAO PVC RIGIDO SOLDAVEL 1.1/2 X 3/4"</t>
  </si>
  <si>
    <t>TE EM PVC RIGIDO SOLDAVEL 3/4"</t>
  </si>
  <si>
    <t>TE DE PVC SOLDAVEL - 1.1/2"</t>
  </si>
  <si>
    <t>TE DE REDUCAO EM PVC RIGIDO SOLDAVEL 1" X 3/4"</t>
  </si>
  <si>
    <t>TE DE PVC RIGIDO SOLDAVEL P/ ESGOTO DE 2"</t>
  </si>
  <si>
    <t>TE DE PVC RIGIDO SOLDAVEL P/ ESGOTO DE 4"</t>
  </si>
  <si>
    <t>PLUG EM PVC RIGIDO ROSCAVEL DE 3/4"</t>
  </si>
  <si>
    <t>PLUG EM PVC RIGIDO ROSCAVEL DE 1/2"</t>
  </si>
  <si>
    <t>ADAPTADOR DE PVC RIGIDO DE 2" SOLDAVEL</t>
  </si>
  <si>
    <t>UNIAO PVC COLA DE 1.1/2"</t>
  </si>
  <si>
    <t>UNIAO PVC COLA DE 1.1/4"</t>
  </si>
  <si>
    <t>UNIAO PVC COLA DE 1"</t>
  </si>
  <si>
    <t>COTOVELO GALVANIZADO DE 1, 1/2" X 90°, DE ACO ZINCADO A FOGO - NBR 6323</t>
  </si>
  <si>
    <t>COTOVELO 90 GRAUS EM PVC RIGIDO SOLDAVEL - 2"</t>
  </si>
  <si>
    <t>LUVA DE PVC RIGIDO SOLDAVEL DE 1.1/4"</t>
  </si>
  <si>
    <t>LUVA DE REDUCAO EM PVC RIGIDO SOLDAVEL DE 2" X 1 1/2"</t>
  </si>
  <si>
    <t>LUVA DE REDUCAO EM PVC DE 1.1/2" X 1.1/4"</t>
  </si>
  <si>
    <t>JUNCAO INTERNA "T" 38 X 38 MM</t>
  </si>
  <si>
    <t>JUNCAO INTERNA "L"  38 X 38 MM</t>
  </si>
  <si>
    <t>JUNCAO INTERNA "I" - 38 X 38 MM</t>
  </si>
  <si>
    <t>UNIAO PARA TUBO DE POLIETILENO - 3/4"</t>
  </si>
  <si>
    <t>LUVA DE PVC SOLDAVEL / ROSQUEAVEL AZUL - 3/4"</t>
  </si>
  <si>
    <t>LUVA DE REDUCAO EM PVC RIGIDO - BRANCA - 150 X 100 MM - 6"</t>
  </si>
  <si>
    <t>TE EM PVC RIGIDO - SOLDAVEL - 90 GRAUS - 150 MM - 6" - PARA</t>
  </si>
  <si>
    <t>LUVA DESLIZANTE EM PVC COM ANEL - MARROM - 3/4"</t>
  </si>
  <si>
    <t>CAP EM PVC DE 3/4 PARA AGUA MARROM</t>
  </si>
  <si>
    <t>CAP EM PVC DE 1 PARA AGUA MARROM</t>
  </si>
  <si>
    <t>BUCHA DE REDUCAO EM LATAO 3/4 X 1/2</t>
  </si>
  <si>
    <t>JOELHO 45° DE PVC SOLDAVEL PARA AGUA, MARROM, 25 MM</t>
  </si>
  <si>
    <t>CURVA LONGA DE ACO P/ELETRODUTO GALVANIZADO A FOGO - DIAMETRO 1 1/2"</t>
  </si>
  <si>
    <t>NIPLE DUPLO DE REDUCAO ROSQUEAVEL 3/4 X 1/2 EM METAL</t>
  </si>
  <si>
    <t>CURVA LONGA DE ACO P/ELETRODUTO GALVANIZADO A FOGO, 90º - DIAMETRO 2"</t>
  </si>
  <si>
    <t>TUBO DE PVC SOLDAVEL, 10" 250MM X 6M PARA ESGOTO NA COR BRANCA</t>
  </si>
  <si>
    <t>CAP DE PVC MARROM PARA AGUA DE 50 MM  X  1 1/2" - DE ACORDO COM NBR 5648 E A MARCA, MEDIDA E NBR DEVERAO VIR LITOGRAFADA NA PECA</t>
  </si>
  <si>
    <t>CONECTOR CABO-HASTE 5/8"</t>
  </si>
  <si>
    <t>COLA P/ TUBO PVC - BISNAGA C/ 75 GR</t>
  </si>
  <si>
    <t>FITA DE TEFLON P/ VEDACAO HIDRAULICA (VEDA ROSCA) - 18 MM X</t>
  </si>
  <si>
    <t>SILICONE PARA VEDACAO - TUBO COM NO MINIMO 280G</t>
  </si>
  <si>
    <t>RALO SIFONADO EM PVC DE 100 X 40 MM (1 1/2")</t>
  </si>
  <si>
    <t>SIFAO SANFONADO UNIVERSAL</t>
  </si>
  <si>
    <t>TORNEIRA DE PRESSAO EM LATAO CROMADO 1/2" P/ LAVATORIO</t>
  </si>
  <si>
    <t>TORNEIRA DE PRESSAO EM LATAO CROMADO 1/2" X 18 CM - P/ PIA - SEM ADAPTADOR</t>
  </si>
  <si>
    <t>TORNEIRA DE PRESSAO EM LATAO NATURAL CURTA 3/4"P/ TANQUE E</t>
  </si>
  <si>
    <t>TORNEIRA EM METAL CROMADO, PARA PIA DE COZINHA BICA MOVEL COM AREJADOR, TIPO PAREDE COM CANOPLA C50. MEDIDA DA ROSCA 1/2 POLEGADAS COM REDUCAO 3/4 POLEGADAS. EM FORMATO PESCOCO DE GANSO</t>
  </si>
  <si>
    <t>TORNEIRA BICO DE GANSO COM 18 CM DE COMPRIMENTO, TIPO MESA</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</si>
  <si>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</si>
  <si>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REGISTRO DE PRESSAO 3/4" SEM CANOPLA</t>
  </si>
  <si>
    <t>REGISTRO DE GAVETA EM LIGA DE COBRE DE 3/4" S/ CANOPLA</t>
  </si>
  <si>
    <t>PINO P/TORNEIRA DE 3/4"</t>
  </si>
  <si>
    <t>PINO P/ TORNEIRA - 1/2"</t>
  </si>
  <si>
    <t>REGISTRO DE GAVETA EM LIGA DE COBRE DE 1.1/4 - S/ CANOPLA</t>
  </si>
  <si>
    <t>REGISTRO DE GAVETA EM LIGA DE COBRE DE 1.1/2"- S/ CANOPLA</t>
  </si>
  <si>
    <t>REGISTRO DE GAVETA EM LIGA DE COBRE - 1" - S/ CANOPLA</t>
  </si>
  <si>
    <t>REPARO COMPLETO UNIVERSAL PARA DESCARGA -  CAIXA  ACOPLADA</t>
  </si>
  <si>
    <t>REPARO P/ VALVULA DE DESCARGA - MARCA LORENZETTI - P-20</t>
  </si>
  <si>
    <t>REPARO P/ VALVULA DE DESCARGA - MARCA LORENZETTI - P-21</t>
  </si>
  <si>
    <t>REPARO P/ VALVULA DE DESCARGA - MARCA LORENZETTI - P-41</t>
  </si>
  <si>
    <t>VALVULA DE DESCARGA, EM LATAO, COM DIAMETRO NOMINAL DE 40 MM (1 1/2")</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</si>
  <si>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</si>
  <si>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</si>
  <si>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</si>
  <si>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</si>
  <si>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</si>
  <si>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AVENTAL - TIPO JALECO, EM TECIDO MISTO DE POLIESTER E ALGODAO , C/MANGA CURTA - COR: AZUL CLARO - TAM: P</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</si>
  <si>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</si>
  <si>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</si>
  <si>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</si>
  <si>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</si>
  <si>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</si>
  <si>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</si>
  <si>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</si>
  <si>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</si>
  <si>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</si>
  <si>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</si>
  <si>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 xml:space="preserve">CALCA DE BRIM N° 50, CONFECCIONADA EM TECIDO MISTO 67% ALGODAO NA COR AZUL MARINHO.   </t>
  </si>
  <si>
    <t>SAPATILHA DESCARTAVEL (TIPO PRO PE) DE COR BRANCA, CONFECCIONADA EM TECIDO NAO TECIDO, 30 G DE GRAMATURA, COM ELASTICO A VOLTA, CONTENDO NA EMBALAGEM DADOS DE IDENTIFICACAO E PROCEDENCIA</t>
  </si>
  <si>
    <t>PROTETOR DE CABELO TIPO REDE EM NYLON PRETA</t>
  </si>
  <si>
    <t>PARAFUSO GALVANIZADO P/ FIXACAO DE TELHAS MODULADAS - 5/16 X 110 MM</t>
  </si>
  <si>
    <t>PARAFUSO GALVANIZADO P/ FIXACAO DE TELHAS MODULADAS - 8 X 1</t>
  </si>
  <si>
    <t>PARAFUSO CABECA REDONDA P/ FIXACAO DE VASO SANITARIO - 4,5</t>
  </si>
  <si>
    <t>HASTE GALVANIZADA - 1/4" X 350 MM - P/ FIXACAO DE TELHA DE</t>
  </si>
  <si>
    <t>PARAFUSO MAQUINA CABECA REDONDA 3/8" X 3/4"</t>
  </si>
  <si>
    <t>PARAFUSO ZINCO AMARELO, CABECA CHATA PH 4,0 X 25 - CAIXA COM 500 UNIDADES</t>
  </si>
  <si>
    <t>PARAFUSO ZINCO AMARELO, CABECA CHATA PH 4,0 X 30 - CAIXA COM 500 UNIDADES</t>
  </si>
  <si>
    <t>PARAFUSO  ZINCO AMARELO, CABECA CHATA - PH 4,0 X 50 - CAIXA COM 500 UNIDADES</t>
  </si>
  <si>
    <t>PARAFUSO ZINCO AMARELO, CABECA CHATA PH  6,0 X 70 - CAIXA COM  100 UNIDADES</t>
  </si>
  <si>
    <t>PARAFUSO ZINCO AMARELO, CABECA CHATA PH 4,5 X 40 -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</si>
  <si>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</si>
  <si>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</si>
  <si>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</si>
  <si>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</si>
  <si>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</si>
  <si>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CONJUNTO DE VEDACAO PLASTICA P/ TELHA 6 MM</t>
  </si>
  <si>
    <t>ARRUELA LISA DE ACO DE 3/8"</t>
  </si>
  <si>
    <t>ARRUELA LISA DE ACO DE 3/16"</t>
  </si>
  <si>
    <t>ELETRODUTO DE ACO CARBONO GALVANIZADO A FOGO - DIAMETRO 1 1/2" - BARRA COM 3 M</t>
  </si>
  <si>
    <t>GRAMPO ISOLANTE FIX-FIO 1,0 A 2,5 MM2  (TIPO MIGUELAO) - CX</t>
  </si>
  <si>
    <t>PREGO COMUM DE CABECA CHATA - 19 X 36</t>
  </si>
  <si>
    <t>PREGO COMUM DE CABECA CHATA - 15 X 15</t>
  </si>
  <si>
    <t>PREGO COMUM DE CABECA CHATA - 17 X 21</t>
  </si>
  <si>
    <t>PREGO COMUM DE CABECA CHATA - 18 X 27</t>
  </si>
  <si>
    <t>PREGO COMUM DE CABECA CHATA - 18 X 30</t>
  </si>
  <si>
    <t>PREGO COMUM DE CABECA CHATA - 22 X 48</t>
  </si>
  <si>
    <t>PREGO COMUM DE CABECA CHATA - 10 X 10</t>
  </si>
  <si>
    <t>PREGO DE ACO C/ CABECA - 15 X 15</t>
  </si>
  <si>
    <t>PREGO DE ACO C/ CABECA - 12 X 12</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</si>
  <si>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</si>
  <si>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</si>
  <si>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</si>
  <si>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</si>
  <si>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</si>
  <si>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PINO F30 - CAIXA COM 5.000 PINOS</t>
  </si>
  <si>
    <t>BUCHA DE FIXACAO - N° 06 DE PLASTICO</t>
  </si>
  <si>
    <t>BUCHA DE FIXACAO N° 8 DE PLASTICO</t>
  </si>
  <si>
    <t>BUCHA DE FIXACAO N° 10 - DE NYLON</t>
  </si>
  <si>
    <t xml:space="preserve">CHUMBADOR CBA  5/16" X 2.1/4" </t>
  </si>
  <si>
    <t xml:space="preserve">CHUMBADOR CBA   5/16"  X  3.1/4" </t>
  </si>
  <si>
    <t>BUCHA PARA GESSO ACARTONADO (DRYWALL)</t>
  </si>
  <si>
    <t xml:space="preserve">BUCHA DE FIXACAO UNIVERSAL Nº 8 DE NYLON PARA BASES OCAS E MACICAS </t>
  </si>
  <si>
    <t xml:space="preserve">BUCHA DE FIXACAO UNIVERSAL Nº 10 DE NYLON PARA BASES OCAS E MACICAS </t>
  </si>
  <si>
    <t>RODIZIO GIRATORIO DE 2" - P/CARRINHO COM PLACA</t>
  </si>
  <si>
    <t>ARAME DE ACO CARBONO GALVANIZADO - BWG N° 10 (3,40 MM)</t>
  </si>
  <si>
    <t>ARAME DE ACO CARBONO GALVANIZADO - BWG N° 16 (1,65 MM)</t>
  </si>
  <si>
    <t>ARAME DE ACO CARBONO RECOZIDO (LISO) - BWG N° 18 (1,24 MM)</t>
  </si>
  <si>
    <t>PARAFUSO EM ACO BICROMATIZADO, CABECA CHATA - 3,5 X 16 MM - CABECA COM ENCAIXE PARA CHAVE PHILLIPS</t>
  </si>
  <si>
    <t>PARAFUSO SEXTAVADO - 1/2" X 3.1/2" - COM PORCA</t>
  </si>
  <si>
    <t>PARAFUSO AUTOBROCANTE, 1/4" X 1", COM CABECA SEXTAVADA FLANGEADA E ARRUELA DE EPDM - CAIXA COM 500 UNIDADES</t>
  </si>
  <si>
    <t>PARAFUSO (FIXER) BICROMATIZADO.</t>
  </si>
  <si>
    <t>PARAFUSO FRANCES - 1/2" X 8" - COM PORCA E ARRUELA</t>
  </si>
  <si>
    <t>PARAFUSO CABECA FRANCESA 3/16 X 2" COM ARRUELA E PORCA</t>
  </si>
  <si>
    <t>PARAFUSO DE ZINCO AMARELO, CABECA CHATA PH 6,0 X 40</t>
  </si>
  <si>
    <t xml:space="preserve">PARAFUSO DE ZINCO AMARELO, CABECA CHATA PH 6,0 X 50 </t>
  </si>
  <si>
    <t>PARAFUSO FRANCES - 1.1/2" X 1/4" - COM PORCA E ARRUELA</t>
  </si>
  <si>
    <t>CHAPA DE ACO CARBONO GALVANIZADO ZINCADO N°22 ESP=0,80 MM -</t>
  </si>
  <si>
    <t>CHAPA DE ACO CARBONO GALVANIZADO ZINCADO N. 24 - ESP = 0,64</t>
  </si>
  <si>
    <t>CHAPA EM MDF, CRU - MED. 2,75 M X 1,83 M X 09 MM</t>
  </si>
  <si>
    <t>CHAPA EM MDF, BRANCO, 02 FACES - MED. 2,75 M X 1,83 M X 15 MM</t>
  </si>
  <si>
    <t>CHAPA EM MDF CARVALHO 2 FACES, MEDINDO 2,75 X 1,83 M X 15 MM DE ESPESSURA</t>
  </si>
  <si>
    <t xml:space="preserve">CHAPA EM MDF ULTRA TX, BRANCO, DUAS FACES COM PROTECAO CONTRA UMIDADE E CUPIM. MEDINDO: 2,75M X 1,83M X 18MM. </t>
  </si>
  <si>
    <t>ROLDANA 2.1/2" COM CAIXA EM "V"</t>
  </si>
  <si>
    <t>PERFILADO - 38 X 38 MM, PERFURADO,  C/ 6M DE COMPRIMENTO</t>
  </si>
  <si>
    <t>BARRA DE FERRO TEE 1 X 1/8 - BARRA COM 06 METROS</t>
  </si>
  <si>
    <t>PERFIL CADEIRA DE FERRO, MEDINDO 50 MM X 25 MM, BARRA COM 3 METROS.</t>
  </si>
  <si>
    <t>PERFIL TEE, CHAPA DOBRADA, 25 MM X 25 MM - BARRA COM 03 METROS</t>
  </si>
  <si>
    <t>PERFIL CADEIRA CHAPA DOBRADA 30 MM X 25 MM - BARRA COM 03 METROS</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</si>
  <si>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</si>
  <si>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</si>
  <si>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</si>
  <si>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BARRA CHATA DE ALUMINIO 3/4" X 1/8" - BARRA COM 06 METROS</t>
  </si>
  <si>
    <t>ELETROCALHA PERFURADA C/TAMPA C/FECHAMENTO POR PRESSAO, GALVANIZADA - LARGURA 200 X 50MM</t>
  </si>
  <si>
    <t>COTOVELO RETO PERFURADO, GALVANIZADO, P/ELETROCALHA - 200 X 50MM</t>
  </si>
  <si>
    <t>EMENDA INTERNA PERFURA, GALVANIZADA, P/ELETROCALHA - 200 X 50MM</t>
  </si>
  <si>
    <t>ELETROCALHA LISA C/TAMPA C/FECHAMENTO POR PARAFUSO, GALVANIZADA, P/ELETROCALHA -  100 X 50MM</t>
  </si>
  <si>
    <t>BARRA/FIO REDONDO DE ACO CA 50 P/CONSTRUCAO NBR 7480 - 3/8"</t>
  </si>
  <si>
    <t>FERRO CHATO - 1.1/2" X 1/4" - BARRA COM 06 METROS</t>
  </si>
  <si>
    <t>FERRO "U" PENDURAL, MED. 40 MM DE LARGURA X 7 MM DE ESPESSURA X 40 CM</t>
  </si>
  <si>
    <t>GANCHO CURTO PARA PERFILADO</t>
  </si>
  <si>
    <t>SUSPENSOR P/CABO DE ACO (P/PERFILADO)</t>
  </si>
  <si>
    <t>CHAPA DE ACO INOX, BLANQUE: 430, ESPESSURA: 1,5MM, COMPRIMENTO: 2,00M E LARGURA: 1,20M</t>
  </si>
  <si>
    <t>TUBO QUADRADO DE METALON - 1" X 1" X 1,5 MM - BARRA COM 06</t>
  </si>
  <si>
    <t>PONTEIRA PLASTICA INTERNA NA COR PRETA PARA TUBO QUADRADO DE 1"</t>
  </si>
  <si>
    <t>PONTEIRA PLASTICA NA COR PRETA PARA TUBO RETANGULAR 20 MM X 40 MM</t>
  </si>
  <si>
    <t>WIDIA PARA CORTAR PISOS E AZULEJOS</t>
  </si>
  <si>
    <t>DISCO DE CORTE PARA POLICORTE - MED. 10" DIAMETRO EXTERNO -</t>
  </si>
  <si>
    <t>LAMINA DE SERRA EM ACO RAPIDO BI-METAL 1/2" X 12", 18 DPP (DENTES POR POLEGADA), ESPESSURA DE NO MINIMO 0,6 MM</t>
  </si>
  <si>
    <t>BROCA DE WIDIA 1/4"</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</si>
  <si>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</si>
  <si>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</si>
  <si>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</si>
  <si>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</si>
  <si>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</si>
  <si>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</si>
  <si>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</si>
  <si>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</si>
  <si>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</si>
  <si>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ACO RAPIDO HELICOIDAL DE 1/4" C/ HASTE CILINDRICA</t>
  </si>
  <si>
    <t>PORTA ELETRODO DE 500 AMPERES</t>
  </si>
  <si>
    <t xml:space="preserve">ELETRODO REVESTIDO PARA SOLDA 2,5 MM - NORMA AWS E-6013 </t>
  </si>
  <si>
    <t>PNEU 325 X 8 COM 02 LONAS - PARA CARRINHO DE MAO, TIPO PERU</t>
  </si>
  <si>
    <t>CAMARA DE AR PARA PNEU 3,25 X 8 - PARA CARRINHO DE MAO, TIPO PERUZ</t>
  </si>
  <si>
    <t xml:space="preserve">CARRINHO DE MAO 150 KG ( 60 LITROS)  TOTALMENTE GALVANIZADO  </t>
  </si>
  <si>
    <t>ARAME PARA SOLDA MIG/MAG COM DIAMETRO DE 0,8 MM.</t>
  </si>
  <si>
    <t>FITA DE BORDO EM PVC, COR BRANCA FOSCA, MEDIDAS 35 X 0,45MM, ROLO COM 300 METROS</t>
  </si>
  <si>
    <t>ACUCAR REFINADO AMORFO/MICROCRISTALINO - 5 KG</t>
  </si>
  <si>
    <t>CAFE TORRADO E MOIDO - PT C/ 500 G - EMBALAGEM TIJOLINHO</t>
  </si>
  <si>
    <t>CORANTE LIQUIDO PARA FINS ALIMENTICIOS - COR VERMELHA - FRASCO COM 10ML</t>
  </si>
  <si>
    <t>CORANTE LIQUIDO PARA FINS ALIMENTICIOS - COR AMARELA - FRASCO COM 10ML</t>
  </si>
  <si>
    <t>CORANTE LIQUIDO PARA FINS ALIMENTICIOS - COR AZUL - FRASCO COM 10ML.</t>
  </si>
  <si>
    <t>VASSOURA DE PELO DE 40 CM, COM CABO EM MADEIRA, MEDINDO NO MINIMO: 1,15 M DE COMPRIMENTO X 2,5 CM DE DIAMETRO</t>
  </si>
  <si>
    <t>RODO DE ALUMINIO DE 40 CM C/ CABO DE ALUMINIO MED. 1,30 M - BORRACHA UNICA E SUBSTITUIVEL (VARIACAO +/-05 CM DO CABO)</t>
  </si>
  <si>
    <t>RODO DE ALUMINIO DE 60 CM C/ CABO DE ALUMINIO MEDINDO APROXIMADAMENTE 1,30 M  - BORRACHA UNICA E SUBSTITUIVEL</t>
  </si>
  <si>
    <t>REFIL DE BORRACHA PARA RODO DE ALUMINIO DE 60 CM</t>
  </si>
  <si>
    <t>REFIL DE BORRACHA PARA RODO DE ALUMINIO DE 40 CM</t>
  </si>
  <si>
    <t>VASSOURAO DE PIACAVA TIPO PREFEITURA - 40 CM</t>
  </si>
  <si>
    <t>SACO PLASTICO P/ LIXO - 50 L - 63 X 80 CM X 0,12 MM OU 120 MICRAS DE ESPESSURA (0,06 MM POR PAREDE)</t>
  </si>
  <si>
    <t>SACO PLASTICO P/ LIXO - 15 L, COR PRETA.</t>
  </si>
  <si>
    <t>PANO DE FLANELA 30 X 60CM - BRANCA</t>
  </si>
  <si>
    <t>PASTA PARA LIMPEZA - 1 KG</t>
  </si>
  <si>
    <t>SABONETE LIQUIDO PEROLADO, FRASCO COM 1 LITRO</t>
  </si>
  <si>
    <t>AGUA SANITARIA - FRASCO C/ 1 L.</t>
  </si>
  <si>
    <t>DESINFETANTE, MULTIUSO, ANTIBACTERICIDA, PERFUME LAVANDA, GALAO COM 5 LITROS</t>
  </si>
  <si>
    <t>OLEO DESENGRIPANTE - 300 ML</t>
  </si>
  <si>
    <t>SACO PLASTICO TRANSPARENTE, MEDINDO 15 X 30 CM - PACOTE COM 05 KG - AS MEDIDAS PODERAO VARIAR +/- 2 CM</t>
  </si>
  <si>
    <t>SACOLA PLASTICA P/ EMBALAGEM  - LEITOSA - 40 X 50 CM - ALÇA CAMISETA</t>
  </si>
  <si>
    <t>FILME DE POLIETILENO - MED. 500 MM LARGURA X 0,020 MM ESPESSURA X 140 METROS DE COMPRIMENTO</t>
  </si>
  <si>
    <t>FITA DE BORDA CARVALHO PRATA 35 X 0,45 X 20 M</t>
  </si>
  <si>
    <t>VIGA DE GARAPEIRA BRUTA - MEDIDAS: 06 CM X 16 CM X 5,50 M</t>
  </si>
  <si>
    <t>VIGA DE GARAPEIRA BRUTA - MEDIDAS: 06 CM X 16 CM X 4,00 M</t>
  </si>
  <si>
    <t>VIGA DE GARAPEIRA BRUTA - MEDIDAS: 06 CM X 16 CM X 4,50 M</t>
  </si>
  <si>
    <t>COLA P/ MADEIRA - 1 LITRO</t>
  </si>
  <si>
    <t>COLA DE CONTATO P/ LAMINADO MELAMINICO - 2,8 KG</t>
  </si>
  <si>
    <t>COLA HOTMELT, BRANCA, GRANULADA - PARA COLADEIRA DE FITA DE BORDO AM 753B - SACO COM 25 KG</t>
  </si>
  <si>
    <t>CHAPA EM MDF ALTO BRILHO - MEDIDAS: 2,75 X 1,86 M X 15 MM DE ESPESSURA</t>
  </si>
  <si>
    <t>CHAPA EM MDF ALTO BRILHO - MEDIDAS: 2,75 X 1,86 M X 06 MM DE ESPESSURA</t>
  </si>
  <si>
    <t>OLEO SOLUVEL BIODEGRADAVEL PARA CORTE DE METAIS - GALAO DE 5 LITROS</t>
  </si>
  <si>
    <t>OLEO LUBRIFICANTE PARA MOTORES 2 TEMPOS, PROPORCAO DE MISTURA DE NO MINIMO 1:50, FRASCO COM 500 ML. DEVERA ESTAR GRAVADO NA EMBALAGEM A PROPORCAO DE DILUICAO DO PRODUTO</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</si>
  <si>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</si>
  <si>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</si>
  <si>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</si>
  <si>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</si>
  <si>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MASSA PLASTICA A BASE DE RECURSOS POLIESTERES - LATA C/ 700 GR</t>
  </si>
  <si>
    <t>TINTA BETUMINOSA PARA IMPERMEABILIZACAO DE ALVENARIA - LATA</t>
  </si>
  <si>
    <t>TEXTURA ACRILICA GRAFIATO HIDROREPELENTE NA COR BRANCA - BARRICA COM 25 KG.</t>
  </si>
  <si>
    <t>TRINCHA PARA PINTURA - 1", COM CERDAS 100% NATURAIS</t>
  </si>
  <si>
    <t>TRINCHA PARA PINTURA - 2", COM CERDAS 100% NATURAIS</t>
  </si>
  <si>
    <t>ROLO DE LA DE CARNEIRO P/ PINTURA - 23 CM C/ CABO</t>
  </si>
  <si>
    <t>SELADORA PARA MADEIRA GALAO DE 3,6 LITROS</t>
  </si>
  <si>
    <t>PONTEIRA DE BORRACHA - DIAMETRO INTERNO 7/8"</t>
  </si>
  <si>
    <t>CORREDICA TELESCOPICA, PARA GAVETA, FZ 405 MM - 45 KG</t>
  </si>
  <si>
    <t>SUPORTE TUBINHO BRANCO, COM PARAFUSO (APOIO DE PRATELEIRA) - EMBALAGEM COM 100 UNIDADES</t>
  </si>
  <si>
    <t>SAPATA LATERAL 16 MM</t>
  </si>
  <si>
    <t>PE CONICO EM FERRO CROMADO DE 15 CM</t>
  </si>
  <si>
    <t>CORREDICA TELESCOPICA ZINCADA PARA GAVETA FZ 500 MM - COM CAPACIDADE PARA 35 KG</t>
  </si>
  <si>
    <t>ENCOSTO EM MADEIRA COMPENSADA MULTILAMINADA, C/ FRENTE E</t>
  </si>
  <si>
    <t>ASSENTO EM MADEIRA  REVESTIDO C/ LAMINADO MELAMINICO 10MM</t>
  </si>
  <si>
    <t>TAMPO PARA CARTEIRA - VERDE CLARO - 400MM X 600MM X 18MM</t>
  </si>
  <si>
    <t>LONA PLASTICA - 4 X 100M - PRETA</t>
  </si>
  <si>
    <t>CAPACHO DE FIBRA DE COCO - 0,40 X 0,60 M</t>
  </si>
  <si>
    <t>GUARNICAO PARA POLICARBONATO, REFERENCIA "GUA-030", CONFECCIONADA EM EPDM - MEDIDAS: 12,0 X 6,5 X  4,8 X 2,5 MM (VARIACAO: 0,5 MM)</t>
  </si>
  <si>
    <t>LIXA P/ FERRO E METAIS EM FOLHA DE 225 X 275 MM N° 36</t>
  </si>
  <si>
    <t>LIXA P/ FERRO E METAIS EM FOLHA DE 225 X 275 MM N° 60</t>
  </si>
  <si>
    <t>LIXA D'AGUA EM FOLHA 225 X 275 MM GRAO 180</t>
  </si>
  <si>
    <t>LIXA PARA PAREDE - 60</t>
  </si>
  <si>
    <t>LIXA CINTA DE PANO P/ MADEIRA - 6,00 M X 15 CM - GRAO 60</t>
  </si>
  <si>
    <t>LIXA CINTA DE PANO P/ MADEIRA - MEDIDAS: 610 X 75 MM GRAMAT</t>
  </si>
  <si>
    <t>LIXA CINTA DE PANO P/ MADEIRA - MEDIDAS: 610 X 75 MM / GRAM</t>
  </si>
  <si>
    <t>LIXA CINTA DE PANO P/MADEIRA - 6,90M X 15CM - GRAM. 60</t>
  </si>
  <si>
    <t>DISCO DE CORTE 10" X 1/8" X 5/8" (254 X 3,2 X 15,8 MM - DIA</t>
  </si>
  <si>
    <t>DISCO DE CORTE - 12" X 1/8" X 5/8" (300 X 3,2 X 15,9 MM DIA</t>
  </si>
  <si>
    <t>DISCO DIAMANTADO (SECO) - DIAMETRO EXTERNO 110 MM E FURO 20</t>
  </si>
  <si>
    <t>DISCO DE CORTE 7" X 1/8" X 7/8" (DIAM.EXT X ESPESSURA X DIAM. FURO)</t>
  </si>
  <si>
    <t>DISCO DE CORTE 4 1/2" DE DIAMETRO EXTERNO, 1/8 MM DE ESPESSURA E 7/8" DE DIAMETRO DE FURO</t>
  </si>
  <si>
    <t>LIXA CINTA DE PANO, PARA MADEIRA, GRAU 60 - MED. 1,5 M X 15</t>
  </si>
  <si>
    <t>DISCO DE DESBASTE 7" X 1/4" X 7/8"</t>
  </si>
  <si>
    <t>DISCO DE LIXA N. 40 - 30 CM DE DIAMETRO - PARA LIXADEIRA DE BANCADA</t>
  </si>
  <si>
    <t>AGUA DESTILADA PARA BATERIA - FRASCO C/ 1 LITRO</t>
  </si>
  <si>
    <t>ROLAMENTO - 6202 - ZZ</t>
  </si>
  <si>
    <t>ROLAMENTO - 6203 - ZZ</t>
  </si>
  <si>
    <t>ROLAMENTO - 6201 ZZ</t>
  </si>
  <si>
    <t xml:space="preserve">ROLAMENTO 6300 - ZZ </t>
  </si>
  <si>
    <t>ROLAMENTO 6301 - ZZ</t>
  </si>
  <si>
    <t>ROLAMENTO 6302 - ZZ</t>
  </si>
  <si>
    <t>ROLAMENTO 6000 - 2 RS</t>
  </si>
  <si>
    <t>MENSAL</t>
  </si>
  <si>
    <t>QTDMÊS</t>
  </si>
  <si>
    <t>FIM</t>
  </si>
  <si>
    <t>CONSUMO_ANUAL</t>
  </si>
  <si>
    <t>SITUAÇÃO</t>
  </si>
  <si>
    <t>Referência</t>
  </si>
  <si>
    <t>Valor</t>
  </si>
  <si>
    <t>Observações</t>
  </si>
  <si>
    <t>Ativo</t>
  </si>
  <si>
    <t>CANCELADO</t>
  </si>
  <si>
    <t>Suspenso</t>
  </si>
  <si>
    <t>ITENS PARA EXCLUIR DO ESTOQUE</t>
  </si>
  <si>
    <t>UN</t>
  </si>
  <si>
    <t>GRUPO</t>
  </si>
  <si>
    <t>SUBGR</t>
  </si>
  <si>
    <t>QTDE</t>
  </si>
  <si>
    <t>SETOR</t>
  </si>
  <si>
    <t>CABO DE ACO GALVANIZADO DE 1/4"</t>
  </si>
  <si>
    <t>M</t>
  </si>
  <si>
    <t>CONSTRUÇÃO</t>
  </si>
  <si>
    <t>CABO DE ACO POLIDO COM ALMA DE ACO DE 5/16"</t>
  </si>
  <si>
    <t>GRAMPO DE ACO DE 1/4" P/ CABO DE ACO</t>
  </si>
  <si>
    <t>PC</t>
  </si>
  <si>
    <t>BUCHA DE FIBRA DE COCO - MEDIA - N° 03</t>
  </si>
  <si>
    <t>LIMPEZA</t>
  </si>
  <si>
    <t>COTOVELO 90 GRAUS EM PVC RIGIDO SOLDAVEL DE 20 MM (1/2")</t>
  </si>
  <si>
    <t>HIDRÁULICA</t>
  </si>
  <si>
    <t>VERNIZ SINTETICO BRILHANTE, GL C/ 3.600 ML</t>
  </si>
  <si>
    <t>GL</t>
  </si>
  <si>
    <t>PINTURA</t>
  </si>
  <si>
    <t>LAMINA DE SERRA EM ACO RAPIDO 1/2" X 12" 24 DENTES</t>
  </si>
  <si>
    <t>FERRAMENTAS</t>
  </si>
  <si>
    <t>DISJUNTOR TERMOMAGNETICO BIPOLAR UL 40A X 110 / 220V</t>
  </si>
  <si>
    <t>ELÉTRICA</t>
  </si>
  <si>
    <t>DISJUNTOR TERMOMAGNETICO BIPOLAR UL 50A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</si>
  <si>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</si>
  <si>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</si>
  <si>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</si>
  <si>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</si>
  <si>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</si>
  <si>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</si>
  <si>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BOLSA EM POLIETILENO FLEXIVEL DIAM. 1.1/2" P/ BACIA SANITAR</t>
  </si>
  <si>
    <t>PREGO GALV. C/ CABECA P/ FIXACAO DE TELHA DE CIMENTO AMIANT</t>
  </si>
  <si>
    <t>KG</t>
  </si>
  <si>
    <t>PREGO COMUM S/ CABECA - 15 X 21</t>
  </si>
  <si>
    <t>MARCENARIA</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</si>
  <si>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</si>
  <si>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</si>
  <si>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</si>
  <si>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</si>
  <si>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</si>
  <si>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TORNEIRA BOIA P/ CAIXA D'AGUA C/ CORPO PLASTICO DE 1"</t>
  </si>
  <si>
    <t>ABRACADEIRA GALVANIZADA TIPO U DE 1"</t>
  </si>
  <si>
    <t>ABRACADEIRA GALVANIZADA TIPO U DE 1/2"</t>
  </si>
  <si>
    <t>SOQUETE DE BAQUELITE EXTERNO C/ RABICHO E PROTETOR DE BOR</t>
  </si>
  <si>
    <t>TUBO DE PVC RIGIDO SOLDAVEL DE 20 MM - 1/2" - BARRA COM 6 METROS</t>
  </si>
  <si>
    <t>BR</t>
  </si>
  <si>
    <t>FECHADURA DE EMBUTIR S/ TAMBOR - INTERNA</t>
  </si>
  <si>
    <t>PAPEL ALMACO C/ PAUTA</t>
  </si>
  <si>
    <t>FL</t>
  </si>
  <si>
    <t>PAPELARIA</t>
  </si>
  <si>
    <t>TELHA DE BARRO COZIDO - TIPO FRANCESA</t>
  </si>
  <si>
    <t>CHAPA DE MADEIRA COMPENSADA DE VIROLA - MEDIDAS: 2,20 M X 1,60 M X 6 MM</t>
  </si>
  <si>
    <t>FRIGIDEIRA DE ALUMINIO, C/ REVESTIMENTO ANTI-ADERENTE, 26CM, C/ TAMPA</t>
  </si>
  <si>
    <t>MERENDA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</si>
  <si>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</si>
  <si>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</si>
  <si>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</si>
  <si>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</si>
  <si>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</si>
  <si>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</si>
  <si>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</si>
  <si>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</si>
  <si>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</si>
  <si>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</si>
  <si>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</si>
  <si>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</si>
  <si>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</si>
  <si>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</si>
  <si>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</si>
  <si>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</si>
  <si>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</si>
  <si>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</si>
  <si>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</si>
  <si>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</si>
  <si>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</si>
  <si>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</si>
  <si>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</si>
  <si>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</si>
  <si>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</si>
  <si>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</si>
  <si>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</si>
  <si>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</si>
  <si>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</si>
  <si>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</si>
  <si>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</si>
  <si>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</si>
  <si>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</si>
  <si>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</si>
  <si>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RL</t>
  </si>
  <si>
    <t>DESEMPENADEIRA DE MADEIRA - 12 X 20CM</t>
  </si>
  <si>
    <t>GARFO P/ COZINHA - 2 DENTES - GRANDE</t>
  </si>
  <si>
    <t>PREGO COMUM DE CABECA CHATA - 08 X 08</t>
  </si>
  <si>
    <t>PREGO COMUM S/ CABECA - 13 X 18</t>
  </si>
  <si>
    <t>COLHER EM ACO INOX P/ ARROZ- GRANDE</t>
  </si>
  <si>
    <t>ABRACADEIRA GALVANIZADA TIPO D DE 1/2"</t>
  </si>
  <si>
    <t>PREGO COMUM S/ CABECA - 14 X 21</t>
  </si>
  <si>
    <t>ABRACADEIRA REGULAVEL ROSCA SEM FIM DE 1"</t>
  </si>
  <si>
    <t>ABRACADEIRA REGULAVEL ROSCA SEM FIM DE 1/2"</t>
  </si>
  <si>
    <t>BUCHA DE FIXACAO N° 12 - DE NYLON</t>
  </si>
  <si>
    <t>TINTA P/ PISO - AMARELA - GL C/ 3.600 ML</t>
  </si>
  <si>
    <t>TINTA P/ PISO - BRANCO - GALAO COM 3.600 ML</t>
  </si>
  <si>
    <t>COTOVELO DE REDUCAO EM PVC RIGIDO SOLDAVEL DE 3/4" X 1/2"</t>
  </si>
  <si>
    <t>REGISTRO DE GAVETA DE 2.1/2" - S/ CANOPLA</t>
  </si>
  <si>
    <t>ROLO DE ESPUMA P/ PINTURA - 09 CM C/ CABO</t>
  </si>
  <si>
    <t>PAPEL CAMURCA - 60 X 40 CM - ABOBORA</t>
  </si>
  <si>
    <t>LEITEIRA DE ALUMINIO 3 L  - C/ TAMPA</t>
  </si>
  <si>
    <t>LEITEIRA DE ALUMINIO 5 L - C/ TAMPA</t>
  </si>
  <si>
    <t>BLOCO DE CONCRETO - 20 X 20 X 40 CM</t>
  </si>
  <si>
    <t>ARAME FARPADO DE ACO GALVANIZADO A FOGO CORDOALHA 1,60 MM</t>
  </si>
  <si>
    <t>PREGO COMUM S/ CABECA - 8 X 8</t>
  </si>
  <si>
    <t>PREGO COMUM S/ CABECA - 16 X 21</t>
  </si>
  <si>
    <t>PREGO COMUM S/ CABECA - 17 X 21</t>
  </si>
  <si>
    <t>PNEU 185/60 R 14 RADIAL</t>
  </si>
  <si>
    <t>TRANSPORTE INTERNO</t>
  </si>
  <si>
    <t>CORDAO DE COBRE PARALELO ISOLACAO 300 V - 2 X 1,5 MM2  - ROLO COM 100 METROS</t>
  </si>
  <si>
    <t>CHAPA DE MADEIRA ISOLANTE C/ 12 MM DE ESPESS - MED: 1,22 X 2,44 M</t>
  </si>
  <si>
    <t>ABRACADEIRA TIPO "D" - 1"</t>
  </si>
  <si>
    <t>PNEU 165/70 R 13, RADIAL PARA EIXO DIRECIONAL E LIVRE, INDICE DE CARGA 78 (CARGA POR PNEU 425 KG), INDICE DE VELOCIDADE T (ATE 190 KM/H), PROFUNDIDADE DOS SULCOS 8,0 MM.</t>
  </si>
  <si>
    <t>PARAFUSO FRANCES - 2" X 5/16" - C/ PORCA E ARRUELA</t>
  </si>
  <si>
    <t>PARAFUSO FRANCES - 1.1/2" X 5/16" - C/ PORCA E ARRUELA</t>
  </si>
  <si>
    <t>ARRUELA GALVANIZADA DE 1/2</t>
  </si>
  <si>
    <t>CHAPA DE MADEIRA CHAPADUR - MED:2,75 X 1,22 M - ESPESSURA:3,2 MM (PODENDO VARIAR +/- 0,2 MM)</t>
  </si>
  <si>
    <t>CORDAO PARALELO - 2 X 4 MM2</t>
  </si>
  <si>
    <t>PNEU 185 R14, PARA ASFALTO RADIAL SEM CAMARA</t>
  </si>
  <si>
    <t>RESPIRO P/ ENTRADA DE AR - P/ USO EM ARMARIO</t>
  </si>
  <si>
    <t>UNIAO DE PVC COLA -  25 MM</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</si>
  <si>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</si>
  <si>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</si>
  <si>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</si>
  <si>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</si>
  <si>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</si>
  <si>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</si>
  <si>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</si>
  <si>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</si>
  <si>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</si>
  <si>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</si>
  <si>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</si>
  <si>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</si>
  <si>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LT</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</si>
  <si>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</si>
  <si>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</si>
  <si>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</si>
  <si>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</si>
  <si>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</si>
  <si>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</si>
  <si>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</si>
  <si>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 xml:space="preserve">TE DE PVC SOLDAVEL P/ ESGOTO 1.1/2" ( 40 MM )  </t>
  </si>
  <si>
    <t>PUXADOR PARA PORTA - TIPO CONCHA CROMADO</t>
  </si>
  <si>
    <t>FACA DE CORTE DE LEGUMES COM CABO DE POLIETILENO OU POLIPROPILENO BRANCO -</t>
  </si>
  <si>
    <t>RALADOR DE LEGUMES EM INOX</t>
  </si>
  <si>
    <t>CONDULETE "LL" 2</t>
  </si>
  <si>
    <t>TINTA ESMALTE SINTETICO BRILHANTE VERDE COLONIAL - GALAO CO</t>
  </si>
  <si>
    <t>BACIA DE PLASTICO - CAPACIDADE P/ 32 LITROS</t>
  </si>
  <si>
    <t>PRATO DE POLIPROPILENO AZUL ESCURO,C/BORDA,3 CM ALT X 22CM</t>
  </si>
  <si>
    <t>TIGELA (POLIPROPILENO) - CAP 350 ML. 6CM DE ALT X 11 CM DIA</t>
  </si>
  <si>
    <t>PORCA SEXTAVADA DE ACO DE 5/16"</t>
  </si>
  <si>
    <t>PORCA SEXTAVADA DE ACO DE 3/8"</t>
  </si>
  <si>
    <t>PORCA SEXTAVADA DE ACO DE 1/4"</t>
  </si>
  <si>
    <t>PORCA SEXTAVADA DE ACO DE 1/2"</t>
  </si>
  <si>
    <t>BARRA/FIO REDONDO PARA CONSTRUCAO, DE ACO CA50 - 5/8" - BARRA COM 12 METROS</t>
  </si>
  <si>
    <t>CANTONEIRA DE FERRO - BARRA COM 6 M - 1/4" X 1"</t>
  </si>
  <si>
    <t>SERRALHERIA</t>
  </si>
  <si>
    <t>LIXA CINTA DE PANO, PARA MADEIRA, GRAU 80 - MED. 1,5 M X 15</t>
  </si>
  <si>
    <t>DISCO DE LIXA N. 50 - 7" E FURO 7/8" - PARA LIXADEIRA MANUA</t>
  </si>
  <si>
    <t>SAPATA REGULAVEL PARA MOVEIS</t>
  </si>
  <si>
    <t>SIFAO COPO, EM PVC RIGIDO, 1 1/2 X 2" - PARA PIA AMERICANA</t>
  </si>
  <si>
    <t>TELHA DE BARRO COZIDO, TIPO PLANA, CAPA E CANAL</t>
  </si>
  <si>
    <t>CUMEEIRA ARTICULADA PARA TELHA KALHETAO 90 - INFERIOR</t>
  </si>
  <si>
    <t>CUMEEIRA ARTICULADA PARA TELHA CALHETAO 90 - SUPERIOR</t>
  </si>
  <si>
    <t>CUMEEIRA DE FIBRA SINTETICA 30 GRAUS PARA TELHA ONDULADA ESP. 06 MM</t>
  </si>
  <si>
    <t>CUMEEIRA DE FIBRA SINTETICA 10 GRAUS PARA TELHA ONDULADA ES</t>
  </si>
  <si>
    <t>TAMPO REDONDO, PARA MESA, C/ 1,10 M DE DIAMETRO, EM COMPENSADO DE 18 MM,</t>
  </si>
  <si>
    <t>VIGA "U", CHAPA DOBRAGA ENRIJECIDA - 100 X 50 X 2,25 X 6.0</t>
  </si>
  <si>
    <t>ROLO DE ESPUMA P/ PINTURA - 23 CM C/ CABO</t>
  </si>
  <si>
    <t>CORREDICA BASE PARA GAVETA 450 MM</t>
  </si>
  <si>
    <t>PR</t>
  </si>
  <si>
    <t>CORREDICA BASE PARA GAVETA 350 MM</t>
  </si>
  <si>
    <t>ALGODAO HIDROFILO EM FLOCOS - PT COM 100 GRAMAS</t>
  </si>
  <si>
    <t>PT</t>
  </si>
  <si>
    <t>VIGA DE GARAPEIRA BRUTA - 6 CM X 12 CM X 3,50 M COMPRIMENTO</t>
  </si>
  <si>
    <t>VIGA DE GARAPEIRA BRUTA - 6 X 16 X 3,50 M COMPRIMENTO</t>
  </si>
  <si>
    <t>COLHER EM POLIETILENO, MEDINDO ENTRE 60 E 65 CM DE COMPRIMENTO</t>
  </si>
  <si>
    <t>GRAMPO ROSEIRA Nº 10</t>
  </si>
  <si>
    <t>PIA DE ACO INOX COM 01 CUBA, MEDINDO 1,20 M DE COMP. E LARGURA MINIMA DE 53 CM</t>
  </si>
  <si>
    <t>PA DE CALDEIRAO EM POLIETILENO, SEM FUROS - MED. 1,5 CM X 9 CM X 75 CM</t>
  </si>
  <si>
    <t>TELA ONDULADA FIO 14, MALHA 3/4 - MED. 10 X 1,74 M</t>
  </si>
  <si>
    <t>PNEU 225/75 R15, RADIAL PARA EIXO DIRECIONAL E LIVRE, INDICE DE CARGA 105 (CARGA POR PNEU 925 KG), INDICE DE VELOCIDADE S (ATE 180 KM POR/H), PROFUNDIDADE DOS SULCOS 11,0 MM.</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</si>
  <si>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</si>
  <si>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</si>
  <si>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</si>
  <si>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PINO TRIFASICO DE SEGURANCA 2 P + T - 30 A X 250 W</t>
  </si>
  <si>
    <t>PISO CERAMICO ANTI-DERRAPANTE, PEI 5, TRAFEGO ALTO, MEDIDA APROX. 354 X 354 MM</t>
  </si>
  <si>
    <t>M2</t>
  </si>
  <si>
    <t>PEGADOR DE MACARRAO EM ACO INOX, COMPRIMENTO APROXIMADO DE 20 CM</t>
  </si>
  <si>
    <t>TAMPA PARA CONDULETE 3/4" PARA 1 CONDUTOR RJ</t>
  </si>
  <si>
    <t>PONTEIRA REDONDA DE BORRACHA,  EXTERNA DE 5/8"</t>
  </si>
  <si>
    <t>PASTILHA CERAMICA TELADA, 10 X 10 CM, COR VERDE</t>
  </si>
  <si>
    <t>PASTILHA CERAMICA 10 X 10 CM TELADO COR VERMELHA</t>
  </si>
  <si>
    <t>PNEU 225/70 R15, 08 LONAS</t>
  </si>
  <si>
    <t>PNEU 205/75 - R 16, 08 LONAS, LISO</t>
  </si>
  <si>
    <t>DISJUNTOR NORMA DIN CURVA C PADRAO, BIPOLAR, 80 AMPERES</t>
  </si>
  <si>
    <t>DISJUNTOR NORMA DIN CURVA C PADRAO, BIPOLAR, 100 AMPERES</t>
  </si>
  <si>
    <t>LIXA CINTA DE PANO P/MADEIRA - 610 X 100MM - GRAM. 80</t>
  </si>
  <si>
    <t>PARAFUSO ZINCO AMARELO, CABECA CHATA - PH 2,5 X 16 -  CAIXA COM 1.000 UNIDADES</t>
  </si>
  <si>
    <t>CX</t>
  </si>
  <si>
    <t>TINTA LATEX ACRILICO FOSCA TERRACOTA - LATA COM 18 LITROS</t>
  </si>
  <si>
    <t>TINTA ESMALTE SINTETICO BRILHANTE, COR VERDE LIMAO - GALAO COM 3,600 ML</t>
  </si>
  <si>
    <t>MASSA CORRIDA A OLEO PARA NIVELAR MADEIRA - GALAO COM 3.600 ML</t>
  </si>
  <si>
    <t>TINTA LATEX ACRILICA FOSCA - COR AZUL REAL - LATA COM 18 LITROS</t>
  </si>
  <si>
    <t>PAPEL DE SEDA - 48 X 60 CM - VERDE CLARO</t>
  </si>
  <si>
    <t>HASTE GALVANIZADA - 5/16" X 150 MM - P/ FIXACAO DE TELHAS DE FIBROCIMENTO - C/ PORCA, ARRUELA DE ALUMINIO E PLASTICA</t>
  </si>
  <si>
    <t>ROLAMENTO 32216, FABRICACAO NACIONAL, PARA USO EM PLAY GROUND</t>
  </si>
  <si>
    <t>FITA DE BORDA EM PVC TEXTURIZADA, 35MM - ROLO COM 50 MTS</t>
  </si>
  <si>
    <t>CONDULETE EM LIGA DE ALUMINIO FUNDIDO TIPO "LL" - DIAMETRO 1 1/2" - S/VEDACAO</t>
  </si>
  <si>
    <t>TAMPO EM COMPENSADO DE 18MM REVESTIDO EM LAMINADO MELAMINICO, ACABAMENTO EM PERFIL DE PVC - 0,73 X 0,42 X 0,40M ()VARIACAO DE +/- 5CM)</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</si>
  <si>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</si>
  <si>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</si>
  <si>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</si>
  <si>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</si>
  <si>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</si>
  <si>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</si>
  <si>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</si>
  <si>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</si>
  <si>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</si>
  <si>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</si>
  <si>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</si>
  <si>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</si>
  <si>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TERMINAL GALVANIZADO P/ELETROCALHA - LARGURA 100MM X ALTURA 50MM</t>
  </si>
  <si>
    <t>CONDULETE EM LIGA DE ALUMINIO FUNDIDO, TIPO "C",  Ø2", S/VEDACAO</t>
  </si>
  <si>
    <t>GOTEJADOR GALVANIZADO P/ELETROCALHA - LARGURA 200MM X ALTURA 50MM</t>
  </si>
  <si>
    <t>LUMINARIA DE SOBREPOR ALETADA, 2 LAMPADAS TUBULARES DE 32W</t>
  </si>
  <si>
    <t>LUMINARIA DE SOBREPOR HERMETICA, 2 LAMPADAS TUBULARES DE 32W</t>
  </si>
  <si>
    <t>PINO T-50 - P/PINADEIRA</t>
  </si>
  <si>
    <t>REVESTIMENTO CERAMICO PARA PISOS - 41 X 41 CM - PEI 4 - COR PALHA</t>
  </si>
  <si>
    <t>SUPORTE PARA CONDULETE</t>
  </si>
  <si>
    <t>TINTA ACRILICA LAVAVEL. - BEGE - 18 LITROS</t>
  </si>
  <si>
    <t>ESCORREDOR DE PRATO EM INOX</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</si>
  <si>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</si>
  <si>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</si>
  <si>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</si>
  <si>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</si>
  <si>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</si>
  <si>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</si>
  <si>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GUIA DE CONCRETO PRE MOLDADA FINA, PADRAO PMRJ. MEDIDAS: 10CM (ESPESSURA TOPO) X 12CM (ESPESSURA BASE) X 30CM (ALTURA) X 1M (COMPRIMENTO). </t>
  </si>
  <si>
    <t xml:space="preserve">RODIZIO GIRATORIO DE 1" 1/2 PARA CARRINHO </t>
  </si>
  <si>
    <t>PINO ADAPTADOR PARA TOMADA 2P+T UNIVERSAL PARA TOMADA 2P+T 10A PADRAO NBR 14136</t>
  </si>
  <si>
    <t>TABUA DE GARAPEIRA BRUTA - MEDIDAS: 2,5 CM X 30 CM X 5,00 M</t>
  </si>
  <si>
    <t>PISO CARRARA. COR: BRANCO. MEDINDO: A: 44,4 X 44,4CM. SERIE MAMORE CARRARA. PORCELLANATO ESMALTADO.</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</si>
  <si>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</si>
  <si>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</si>
  <si>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</si>
  <si>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</si>
  <si>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</si>
  <si>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</si>
  <si>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</si>
  <si>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</si>
  <si>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CHAPA EM MDF, BRANCO, 02 FACES 2,75 X 1,83 X 25 MM</t>
  </si>
  <si>
    <t>CH</t>
  </si>
  <si>
    <t xml:space="preserve">PISO CERAMICO ANTI-DERRAPANTE PEI-5 MEDINDO 52 X 52CM - COR: </t>
  </si>
  <si>
    <t>PISO HIDRAULICO, ANTIDERRAPANTE, COR PRETO</t>
  </si>
  <si>
    <t>PISO HIDRAULICO, ANTIDERRAPANTE, COR VERMELHO</t>
  </si>
  <si>
    <t>CONDULETE DE ALUMINIO TIPO E 11/2´´ SEM ROSCA</t>
  </si>
  <si>
    <t>PRATO RASO</t>
  </si>
  <si>
    <t>FECHADURA DE SOBREPOR PARA GAVETA, 22MM</t>
  </si>
  <si>
    <t>REVESTIMENTO CERAMICO - MEDIDA: A 32,5 X 57 CM - COR: SPECTRO LAVANDA</t>
  </si>
  <si>
    <t>REVESTIMENTO CERAMICO - MEDIDA: A 32,5 X 57 CM - COR: SPECTRO OLIVA</t>
  </si>
  <si>
    <t>PINO ADAPTADOR REVERSO DE TOMADA</t>
  </si>
  <si>
    <t>PASTILHA CERAMICA 10 X 10 CM TELADO, COR BOUDOUX</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</si>
  <si>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</si>
  <si>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</si>
  <si>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</si>
  <si>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</si>
  <si>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</si>
  <si>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PNEU 205/55 R16</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</si>
  <si>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</si>
  <si>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</si>
  <si>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</si>
  <si>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PINO F15 - CAIXA COM 5.000 PINOS</t>
  </si>
  <si>
    <t>PINO F20 - CAIXA COM 5.000 PINOS</t>
  </si>
  <si>
    <t>PINO F35 - CAIXA COM 5.000 PINOS</t>
  </si>
  <si>
    <t>PINO F40 - CAIXA COM 5.000 PINOS</t>
  </si>
  <si>
    <t>PINO F45 - CAIXA COM 5.000 PINOS</t>
  </si>
  <si>
    <t>LAMPADA VAPOR METALICO, PADRAO HQI, 70 W - 220 V</t>
  </si>
  <si>
    <t>PNEU 700/12, 14 LONAS, PNEUMATICO - PARA EMPILHADEIRA</t>
  </si>
  <si>
    <t>EMPILHADEIRA</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</si>
  <si>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</si>
  <si>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</si>
  <si>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</si>
  <si>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</si>
  <si>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</si>
  <si>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</si>
  <si>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</si>
  <si>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FITA DE BORDO EM PVC TEXTURIZADA, COR BRANCA, MEDIDAS 45 X 0,45MM, ROLO COM 300 METROS</t>
  </si>
  <si>
    <t xml:space="preserve">PNEU 28 X 9 - 15 (7,0) MACICO PARA EMPILHADEIRA </t>
  </si>
  <si>
    <t>TUBO DE FERRO METALON REDONDO, DIAMETRO EXTERNO 21 MM, ESPESSURA DE 2 MM - BARRA C/ 6 M</t>
  </si>
  <si>
    <t>REVESTIMENTO CERAMICO PARA PISOS - 45 X 45 CM, PODENDO VARIAR +/- 2 CM,  4 MM DE ESPESSURA, PODENDO VARIAR +/- 1 MM,  DE PEI 4 - NA COR BRANCA.</t>
  </si>
  <si>
    <t>ESTICADOR EM FERRO GALVANIZADO PARA CABO DE ACO DE ATE 5/16"</t>
  </si>
  <si>
    <t>TELHA TRAPEZOIDAL 5000MM COMPRIMENTO X 1056MM LARGURA X 38 MM ALTURA</t>
  </si>
  <si>
    <t xml:space="preserve">CUMEEIRA PARA TELHA TRAPEZOIDAL, MODELO L38 </t>
  </si>
  <si>
    <t>SABONETE COMUM 90 G</t>
  </si>
  <si>
    <t>Quantidade de mêses padrão</t>
  </si>
  <si>
    <t>PANO DE CHAO, MEDIDAS: 45 X 75 CM (VARIACAO +/- 5 CM), 100% ALGODAO, ALVEJADO, PESO MINIMO DE 130 GRAMAS.</t>
  </si>
  <si>
    <t>MINIDICIONARIO DE LINGUA PORTUGUESA - COM MAIS DE 30 MIL VERBETES, COM DIVISAO SILABICA, ATUALIZADO COM A NOVA ORTOGRAFIA, ORIGEM NACIONAL - ACABAMENTO BROCHURA.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</si>
  <si>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</si>
  <si>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COLA BRANCA LIQUIDA LAVAVEL. MINIMO 90 G, COM BICO APLICADOR ECONOMICO, COMPOSICAO: RESINA DE PVA. PRODUTO DEVERA ESTAR DE ACORDO COM A NORMA DE SEGURANCA DE ARTIGOS ESCOLARES. PRODUTO CERTIFICADO PELO INMETRO E COM CODIGO DE BARRAS NO PRODUTO.</t>
  </si>
  <si>
    <t>DOBRADICA PARA PORTA EM ACO ZINCADO, MEDIDAS 3.1/2" X 2.1/4", ESPESSURA MINIMA DE 1,5 MM</t>
  </si>
  <si>
    <t>PUXADOR PARA MOVEL EM ABS, BOLA GRANDE, COM PARAFUSO 3,50 X 30 MM, CABECA FLANGE, COR:</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</si>
  <si>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</si>
  <si>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LIXEIRA COM PEDAL E TAMPA - CAPACIDADE PARA 100 LITROS</t>
  </si>
  <si>
    <t>LIXEIRA DE PLASTICO C/ TAMPA E PEDAL  - 30 LITROS</t>
  </si>
  <si>
    <t>LIXEIRA COM TAMPA E PEDAL - CAPACIDADE DE 60 LITROS</t>
  </si>
  <si>
    <t>LIXEIRA DE PLASTICO COM TAMPA E PEDAL - CAPACIDADE PARA 10 LITROS</t>
  </si>
  <si>
    <t>Descrição</t>
  </si>
  <si>
    <t>Item ativo em ata ou vai entrar em uma</t>
  </si>
  <si>
    <t>Suspensão temporária de compra</t>
  </si>
  <si>
    <t>Compra cancelada</t>
  </si>
  <si>
    <t>TRANSF</t>
  </si>
  <si>
    <t>CABO DE COBRE ISOLACAO PVS 750V C/ COBERTURA DE PVC 2 X2,5 MM2</t>
  </si>
  <si>
    <t>TINTA ACRÍLICA BRANCA</t>
  </si>
  <si>
    <t>TINTA ACRILICA, A BASE DE AGUA, LAVAVEL, SEM CHEIRO (APOS 3 HORAS APLICACAO), PARA USO INTERNO, COR AMARELO CLARO, ACABAMENTO ACETINADO, LATA COM 18 LITROS, RENDIMENTO ENTRE 225 A 275 M2/DEMAO</t>
  </si>
  <si>
    <t>MINIDICIONÁRIO</t>
  </si>
  <si>
    <t>APONTADOR PARA LÁPIS Nº 2</t>
  </si>
  <si>
    <t>COLA BRANCA 90G</t>
  </si>
  <si>
    <t>TESOURA ESCOLAR</t>
  </si>
  <si>
    <t>Padrão</t>
  </si>
  <si>
    <t>Informar quantidade personalizada</t>
  </si>
  <si>
    <t>Informar quantidade padrão</t>
  </si>
  <si>
    <t>TIPO</t>
  </si>
  <si>
    <t>SUBGRUPO</t>
  </si>
  <si>
    <t>ESTRUTURA</t>
  </si>
  <si>
    <t>1</t>
  </si>
  <si>
    <t>CÁLCULO</t>
  </si>
  <si>
    <t>Quantidade de meses</t>
  </si>
  <si>
    <t>Código</t>
  </si>
  <si>
    <t>Personalizado</t>
  </si>
  <si>
    <t>Excluir?</t>
  </si>
  <si>
    <t>SERVICOS TECNICOS-ADMINISTRATIVOS</t>
  </si>
  <si>
    <t>ADM</t>
  </si>
  <si>
    <t>INFORMATICA - EQUIPAMENTOS E MATERIAIS</t>
  </si>
  <si>
    <t>MATERIAIS DE CONSUMO HOSPITALAR</t>
  </si>
  <si>
    <t>MAQ., EQUIP., COMP., ACES., MAT. PARA ESCRIT.E ESCOLAR</t>
  </si>
  <si>
    <t>EDU</t>
  </si>
  <si>
    <t>MAQ.EQUIP.E MAT.P/ CULTURA ANIMAL E VEGETAL</t>
  </si>
  <si>
    <t>EQUIP. P/REFR. PURIF. ADUCAO DE AGUA E TRAT. DE ESGOTO</t>
  </si>
  <si>
    <t>EQUIP. P/ COND. VENT. PURIF. DE AR, COMPONENTES E ACES.</t>
  </si>
  <si>
    <t>MAT.E EQUIP. P/ CONSTR.CIVIL E CONSERV. DE VIAS PUBL.</t>
  </si>
  <si>
    <t>MAN</t>
  </si>
  <si>
    <t>EQUIP.E MAT. P/REFEITORIO, COPA E COZINHA</t>
  </si>
  <si>
    <t>EQUIP PROT IND, INST MAT P/ SINAL, CONTR, COMB ...</t>
  </si>
  <si>
    <t>EQUIP. MAT. P/ GERACAO, TRANSM. DISTR. RETIF...</t>
  </si>
  <si>
    <t>EQUIP. COMP. MAT. ELETRON. CELULAS E FIBRAS OTICAS</t>
  </si>
  <si>
    <t>MAQ. E EQUIP. P/ IND. GRAFICA COMP. ACESS. E PAPEI</t>
  </si>
  <si>
    <t>EQUIP. E MAT. P/ RECREACAO, ATLETISMO, DESPORTO...</t>
  </si>
  <si>
    <t>EQUIP.MAT.E ACESS.COMUNIC.CINE FOTO OTICA SOM</t>
  </si>
  <si>
    <t>COMPUT.SOFT. PROCES. EQUIP. SUPRI. COMP. ACESS. INFORMAT</t>
  </si>
  <si>
    <t>MATERIAL HIDRAULICO, CANOS, TUBOS, MANGUEIRAS, CONEXOES E ACESS.</t>
  </si>
  <si>
    <t>VEST., ART.P/ TOUC.E HIG. PES. MAQ., EQUIP., MAT.E ACES.</t>
  </si>
  <si>
    <t>EQUIPAMENTO MEDICO HOSPITALAR, ODONTOLOGICO E VETERINARIO</t>
  </si>
  <si>
    <t>MEDICAMENTOS</t>
  </si>
  <si>
    <t>MATER., INSTRUM., COMPON. MEDICO HOSPITALAR, ODON....</t>
  </si>
  <si>
    <t>ESTRUTURAS E ANDAIMES PRE FABRICADOS</t>
  </si>
  <si>
    <t>PARAFUSOS ELEM. VEDACAO UNIAO CONEX . FIXACAO</t>
  </si>
  <si>
    <t>METAIS,LAMINAD.,PERFILADOS E ARTEFATOS METALICOS</t>
  </si>
  <si>
    <t>FERRAMENTAS MAQ.FERRAMENTAS,ELETR.PECAS E ACESSORI</t>
  </si>
  <si>
    <t>GENEROS ALIMENTICIOS E BEBIDAS</t>
  </si>
  <si>
    <t>MAQ.EQUIP.E MATERIAIS P/ HIGIEN.LIMP.POLIM.E LUBR.</t>
  </si>
  <si>
    <t>EMBALAG., RECIP., ACESSOR., EQUIP., MATER. P/ACONDICIO</t>
  </si>
  <si>
    <t>MADEIRAS,LAMINADOS,COMPENSADOS E AGLOMERADOS</t>
  </si>
  <si>
    <t>EQUIP. E MATERIAIS P/PINTURAS E IMPERMEABILIZACAO</t>
  </si>
  <si>
    <t>MOBILIARIO E COFRE</t>
  </si>
  <si>
    <t>ART. DOMEST. DECO. GUARNI. DE AMBI.TECI. VEICULOS</t>
  </si>
  <si>
    <t>CABOS CORRENTES CORDAS ESTICADORES E ART. BORRACHA</t>
  </si>
  <si>
    <t>ARMAS COMP.EXPLOSIVOS MUNICOES COMP.ACESSORIOS</t>
  </si>
  <si>
    <t>ABRASIVOS</t>
  </si>
  <si>
    <t>PECAS E CONSERTOS DE VEICULOS LEVES E PES E UTILIT</t>
  </si>
  <si>
    <t>PEC.P/ VEICULO DE USO ESPECIAL E BATERIASROLAMENTO</t>
  </si>
  <si>
    <t>MAQ.TERRAP.TRATOR PNEU(01/50)TRATOR ESTEIRA(51/99)</t>
  </si>
  <si>
    <t>LIVROS, JORNAIS, REVISTAS, PERIODICOS, MAPAS E PUBLICA</t>
  </si>
  <si>
    <t>COMBUST.,LUBRIF.,OLEOS,GRAXAS,GAS</t>
  </si>
  <si>
    <t>VEIC.TRANSP.DE CARGAS E PASSAG.-COMP.EQUIP.E ACES.</t>
  </si>
  <si>
    <t>ASSISTENCIA TECNICA E MANUTENCAO</t>
  </si>
  <si>
    <t>SERV DE GRAFICA,COPIAS,REPRODU,FOTOCINEMATOG,VIDEO</t>
  </si>
  <si>
    <t>Administrativo</t>
  </si>
  <si>
    <t>Educação</t>
  </si>
  <si>
    <t>Manutenção</t>
  </si>
  <si>
    <t>INF</t>
  </si>
  <si>
    <t>Informática</t>
  </si>
  <si>
    <t>DGRUPO</t>
  </si>
  <si>
    <t>Saúde</t>
  </si>
  <si>
    <t>SAU</t>
  </si>
  <si>
    <t>MSE</t>
  </si>
  <si>
    <t>Manutenção - Serralheria</t>
  </si>
  <si>
    <t>MEL</t>
  </si>
  <si>
    <t>Manutenção - Elétrica</t>
  </si>
  <si>
    <t>MHI</t>
  </si>
  <si>
    <t>Manutenção - Hidráulica</t>
  </si>
  <si>
    <t>MMA</t>
  </si>
  <si>
    <t>Manutenção - Marcenaria</t>
  </si>
  <si>
    <t>OUT</t>
  </si>
  <si>
    <t>Outros</t>
  </si>
  <si>
    <t>MPI</t>
  </si>
  <si>
    <t>Manutenção - Pintura</t>
  </si>
  <si>
    <t>Manutenção - Construção e Alvenaria</t>
  </si>
  <si>
    <t>MCO</t>
  </si>
  <si>
    <t>MFR</t>
  </si>
  <si>
    <t>Manutenção - Frota</t>
  </si>
  <si>
    <t>SALDO</t>
  </si>
  <si>
    <t>DOBRADICA DE FERRO POLIDO 3.1/2</t>
  </si>
  <si>
    <t>PERNEIRA DE PROTECAO CONFECCIONADA EM RASPA DE COURO VACUM, FECHAMENTO EM VELCRO, COR E ESPESSURA UNIFORME, SEM FIAPOS DE COURO</t>
  </si>
  <si>
    <t>MANUTENÇÃO</t>
  </si>
  <si>
    <t>T HORIZONTAL 90° P/ELETROCALHA 200X50</t>
  </si>
  <si>
    <t>PREGO COMUM DE CABECA CHATA - 12 X 12</t>
  </si>
  <si>
    <t>CaminhoPadrãoDasPlanilhasDeCompraNaRede</t>
  </si>
  <si>
    <t>G:\Suprimentos\Compras\3 Planilhas Compras Estoque</t>
  </si>
  <si>
    <t>Caminho padrão na rede. Mudar somente se necessário.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</si>
</sst>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
  </numFmts>
  <fonts count="17" x14ac:knownFonts="1">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10"/>
      <color indexed="81"/>
      <name val="Segoe UI"/>
      <family val="2"/>
    </font>
    <font>
      <sz val="10"/>
      <color indexed="81"/>
      <name val="Segoe UI"/>
      <family val="2"/>
    </font>
    <font>
      <b/>
      <sz val="14"/>
      <color theme="1"/>
      <name val="Calibri"/>
      <family val="2"/>
      <scheme val="minor"/>
    </font>
    <font>
      <b/>
      <sz val="16"/>
      <color theme="1"/>
      <name val="Calibri"/>
      <family val="2"/>
      <scheme val="minor"/>
    </font>
    <font>
      <sz val="14"/>
      <color theme="1"/>
      <name val="Calibri"/>
      <family val="2"/>
      <scheme val="minor"/>
    </font>
    <font>
      <i/>
      <sz val="12"/>
      <color theme="1"/>
      <name val="Calibri"/>
      <family val="2"/>
      <scheme val="minor"/>
    </font>
    <font>
      <sz val="9"/>
      <color indexed="81"/>
      <name val="Segoe UI"/>
      <family val="2"/>
    </font>
    <font>
      <sz val="22"/>
      <color theme="1"/>
      <name val="Calibri"/>
      <family val="2"/>
      <scheme val="minor"/>
    </font>
    <font>
      <b/>
      <sz val="12"/>
      <color rgb="FF990000"/>
      <name val="Calibri"/>
      <family val="2"/>
      <scheme val="minor"/>
    </font>
    <font>
      <b/>
      <sz val="20"/>
      <color theme="1"/>
      <name val="Calibri"/>
      <family val="2"/>
      <scheme val="minor"/>
    </font>
    <font>
      <b/>
      <sz val="9"/>
      <color indexed="81"/>
      <name val="Segoe UI"/>
      <family val="2"/>
    </font>
    <font>
      <b/>
      <sz val="12"/>
      <color rgb="FFFF0000"/>
      <name val="Calibri"/>
      <family val="2"/>
      <scheme val="minor"/>
    </font>
    <font>
      <sz val="12"/>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4">
    <border>
      <left/>
      <right/>
      <top/>
      <bottom/>
      <diagonal/>
    </border>
    <border>
      <left style="thin">
        <color indexed="64"/>
      </left>
      <right style="thin">
        <color indexed="64"/>
      </right>
      <top/>
      <bottom style="thin">
        <color indexed="64"/>
      </bottom>
      <diagonal/>
    </border>
    <border>
      <left style="medium">
        <color indexed="64"/>
      </left>
      <right/>
      <top/>
      <bottom/>
      <diagonal/>
    </border>
    <border>
      <left/>
      <right/>
      <top/>
      <bottom style="thin">
        <color indexed="64"/>
      </bottom>
      <diagonal/>
    </border>
  </borders>
  <cellStyleXfs count="1">
    <xf numFmtId="0" fontId="0" fillId="0" borderId="0"/>
  </cellStyleXfs>
  <cellXfs count="57">
    <xf numFmtId="0" fontId="0" fillId="0" borderId="0" xfId="0"/>
    <xf numFmtId="3" fontId="0" fillId="0" borderId="0" xfId="0" applyNumberFormat="1" applyAlignment="1">
      <alignment horizontal="right" indent="1"/>
    </xf>
    <xf numFmtId="3" fontId="0" fillId="0" borderId="0" xfId="0" applyNumberFormat="1" applyAlignment="1">
      <alignment horizontal="right" vertical="top" indent="1"/>
    </xf>
    <xf numFmtId="49" fontId="1" fillId="2" borderId="1" xfId="0" applyNumberFormat="1" applyFont="1" applyFill="1" applyBorder="1" applyAlignment="1">
      <alignment horizontal="left" vertical="top" indent="1"/>
    </xf>
    <xf numFmtId="49" fontId="0" fillId="0" borderId="0" xfId="0" applyNumberFormat="1" applyAlignment="1">
      <alignment horizontal="left" vertical="top" indent="1"/>
    </xf>
    <xf numFmtId="3" fontId="1" fillId="2" borderId="1" xfId="0" applyNumberFormat="1" applyFont="1" applyFill="1" applyBorder="1" applyAlignment="1">
      <alignment horizontal="center" vertical="top"/>
    </xf>
    <xf numFmtId="3" fontId="2" fillId="2" borderId="1" xfId="0" applyNumberFormat="1" applyFont="1" applyFill="1" applyBorder="1" applyAlignment="1">
      <alignment horizontal="center" vertical="top"/>
    </xf>
    <xf numFmtId="3" fontId="2" fillId="0" borderId="0" xfId="0" applyNumberFormat="1" applyFont="1" applyAlignment="1">
      <alignment horizontal="right" vertical="top" indent="1"/>
    </xf>
    <xf numFmtId="3" fontId="3" fillId="0" borderId="0" xfId="0" applyNumberFormat="1" applyFont="1" applyAlignment="1" applyProtection="1">
      <alignment horizontal="right" vertical="top" indent="1"/>
      <protection locked="0"/>
    </xf>
    <xf numFmtId="1" fontId="3" fillId="0" borderId="0" xfId="0" applyNumberFormat="1" applyFont="1" applyAlignment="1" applyProtection="1">
      <alignment horizontal="center" vertical="top"/>
      <protection locked="0"/>
    </xf>
    <xf numFmtId="0" fontId="0" fillId="0" borderId="0" xfId="0" applyAlignment="1">
      <alignment horizontal="center"/>
    </xf>
    <xf numFmtId="0" fontId="1" fillId="2" borderId="1" xfId="0" applyFont="1" applyFill="1" applyBorder="1" applyAlignment="1">
      <alignment horizontal="center" vertical="top"/>
    </xf>
    <xf numFmtId="0" fontId="0" fillId="0" borderId="0" xfId="0" applyAlignment="1">
      <alignment horizontal="center" vertical="top"/>
    </xf>
    <xf numFmtId="3" fontId="9" fillId="0" borderId="0" xfId="0" applyNumberFormat="1" applyFont="1" applyAlignment="1" applyProtection="1">
      <alignment horizontal="center" vertical="top"/>
      <protection locked="0"/>
    </xf>
    <xf numFmtId="3" fontId="0" fillId="3" borderId="0" xfId="0" applyNumberFormat="1" applyFill="1" applyAlignment="1">
      <alignment horizontal="right" vertical="top" indent="1"/>
    </xf>
    <xf numFmtId="0" fontId="0" fillId="3" borderId="0" xfId="0" applyFill="1" applyAlignment="1">
      <alignment horizontal="left" vertical="top" wrapText="1" indent="1"/>
    </xf>
    <xf numFmtId="0" fontId="0" fillId="3" borderId="0" xfId="0" applyFill="1" applyAlignment="1">
      <alignment horizontal="center" vertical="top"/>
    </xf>
    <xf numFmtId="1" fontId="0" fillId="3" borderId="0" xfId="0" applyNumberFormat="1" applyFill="1" applyAlignment="1">
      <alignment horizontal="right" vertical="top" indent="1"/>
    </xf>
    <xf numFmtId="0" fontId="0" fillId="3" borderId="0" xfId="0" applyFill="1" applyAlignment="1">
      <alignment horizontal="left" vertical="top" indent="1"/>
    </xf>
    <xf numFmtId="0" fontId="0" fillId="0" borderId="0" xfId="0" applyAlignment="1">
      <alignment horizontal="left" indent="1"/>
    </xf>
    <xf numFmtId="1" fontId="0" fillId="0" borderId="0" xfId="0" applyNumberFormat="1" applyAlignment="1">
      <alignment horizontal="right" indent="1"/>
    </xf>
    <xf numFmtId="0" fontId="0" fillId="0" borderId="0" xfId="0" applyAlignment="1">
      <alignment horizontal="left" vertical="top" indent="1"/>
    </xf>
    <xf numFmtId="1" fontId="0" fillId="0" borderId="0" xfId="0" applyNumberFormat="1" applyAlignment="1">
      <alignment horizontal="right" vertical="top" indent="1"/>
    </xf>
    <xf numFmtId="0" fontId="7" fillId="0" borderId="0" xfId="0" applyFont="1" applyAlignment="1">
      <alignment horizontal="left" vertical="top" indent="1"/>
    </xf>
    <xf numFmtId="0" fontId="6" fillId="0" borderId="0" xfId="0" applyFont="1" applyAlignment="1">
      <alignment horizontal="left" vertical="top" indent="1"/>
    </xf>
    <xf numFmtId="0" fontId="7" fillId="0" borderId="0" xfId="0" applyFont="1" applyAlignment="1">
      <alignment horizontal="center" vertical="top"/>
    </xf>
    <xf numFmtId="0" fontId="8" fillId="0" borderId="0" xfId="0" applyFont="1" applyAlignment="1">
      <alignment horizontal="left" vertical="top" indent="1"/>
    </xf>
    <xf numFmtId="49" fontId="11" fillId="0" borderId="0" xfId="0" applyNumberFormat="1" applyFont="1" applyAlignment="1">
      <alignment horizontal="center" vertical="center"/>
    </xf>
    <xf numFmtId="49" fontId="1" fillId="0" borderId="0" xfId="0" applyNumberFormat="1" applyFont="1" applyAlignment="1">
      <alignment horizontal="center"/>
    </xf>
    <xf numFmtId="49" fontId="0" fillId="0" borderId="0" xfId="0" applyNumberFormat="1" applyAlignment="1">
      <alignment horizontal="left" indent="1"/>
    </xf>
    <xf numFmtId="49" fontId="1" fillId="0" borderId="0" xfId="0" applyNumberFormat="1" applyFont="1" applyAlignment="1">
      <alignment horizontal="left" vertical="top" indent="1"/>
    </xf>
    <xf numFmtId="3" fontId="1" fillId="0" borderId="1" xfId="0" applyNumberFormat="1" applyFont="1" applyFill="1" applyBorder="1" applyAlignment="1">
      <alignment horizontal="right" vertical="top" indent="1"/>
    </xf>
    <xf numFmtId="0" fontId="1" fillId="0" borderId="1" xfId="0" applyFont="1" applyFill="1" applyBorder="1" applyAlignment="1">
      <alignment horizontal="center" vertical="top" wrapText="1"/>
    </xf>
    <xf numFmtId="49" fontId="1" fillId="0" borderId="1" xfId="0" applyNumberFormat="1" applyFont="1" applyFill="1" applyBorder="1" applyAlignment="1">
      <alignment horizontal="center" vertical="top"/>
    </xf>
    <xf numFmtId="1" fontId="1" fillId="0" borderId="1" xfId="0" applyNumberFormat="1" applyFont="1" applyFill="1" applyBorder="1" applyAlignment="1">
      <alignment horizontal="right" vertical="top" indent="1"/>
    </xf>
    <xf numFmtId="0" fontId="1" fillId="0" borderId="3" xfId="0" applyFont="1" applyFill="1" applyBorder="1" applyAlignment="1">
      <alignment horizontal="center" vertical="top" wrapText="1"/>
    </xf>
    <xf numFmtId="3" fontId="2" fillId="2" borderId="1" xfId="0" applyNumberFormat="1" applyFont="1" applyFill="1" applyBorder="1" applyAlignment="1" applyProtection="1">
      <alignment horizontal="center" vertical="center"/>
    </xf>
    <xf numFmtId="3"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49" fontId="2" fillId="2" borderId="1" xfId="0" applyNumberFormat="1" applyFont="1" applyFill="1" applyBorder="1" applyAlignment="1">
      <alignment horizontal="left" vertical="center"/>
    </xf>
    <xf numFmtId="49" fontId="0" fillId="0" borderId="0" xfId="0" applyNumberFormat="1" applyAlignment="1">
      <alignment horizontal="center" vertical="top"/>
    </xf>
    <xf numFmtId="0" fontId="0" fillId="0" borderId="0" xfId="0" applyNumberFormat="1" applyAlignment="1">
      <alignment horizontal="center" vertical="top"/>
    </xf>
    <xf numFmtId="0" fontId="0" fillId="0" borderId="0" xfId="0" applyNumberFormat="1" applyAlignment="1">
      <alignment horizontal="right" vertical="top" indent="1"/>
    </xf>
    <xf numFmtId="164" fontId="15" fillId="0" borderId="0" xfId="0" applyNumberFormat="1" applyFont="1" applyAlignment="1" applyProtection="1">
      <alignment horizontal="right" vertical="top" indent="1"/>
      <protection locked="0"/>
    </xf>
    <xf numFmtId="49" fontId="16" fillId="0" borderId="0" xfId="0" applyNumberFormat="1" applyFont="1" applyAlignment="1" applyProtection="1">
      <alignment horizontal="center" vertical="top"/>
      <protection locked="0"/>
    </xf>
    <xf numFmtId="0" fontId="0" fillId="0" borderId="0" xfId="0" applyAlignment="1">
      <alignment horizontal="center"/>
    </xf>
    <xf numFmtId="0" fontId="8" fillId="0" borderId="0" xfId="0" applyFont="1" applyAlignment="1">
      <alignment horizontal="center"/>
    </xf>
    <xf numFmtId="0" fontId="8" fillId="0" borderId="0" xfId="0" applyFont="1"/>
    <xf numFmtId="1" fontId="2" fillId="2" borderId="1" xfId="0" applyNumberFormat="1" applyFont="1" applyFill="1" applyBorder="1" applyAlignment="1" applyProtection="1">
      <alignment horizontal="right" vertical="center"/>
    </xf>
    <xf numFmtId="0" fontId="0" fillId="0" borderId="0" xfId="0" applyNumberFormat="1" applyAlignment="1">
      <alignment horizontal="left" vertical="top" indent="1"/>
    </xf>
    <xf numFmtId="3" fontId="12" fillId="0" borderId="0" xfId="0" applyNumberFormat="1" applyFont="1" applyAlignment="1" applyProtection="1">
      <alignment horizontal="right" vertical="top" indent="1"/>
      <protection locked="0"/>
    </xf>
    <xf numFmtId="0" fontId="0" fillId="0" borderId="0" xfId="0" applyAlignment="1">
      <alignment horizontal="center"/>
    </xf>
    <xf numFmtId="3" fontId="0" fillId="0" borderId="0" xfId="0" applyNumberFormat="1" applyAlignment="1">
      <alignment horizontal="center" vertical="top"/>
    </xf>
    <xf numFmtId="0" fontId="0" fillId="0" borderId="0" xfId="0" applyAlignment="1">
      <alignment horizontal="center"/>
    </xf>
    <xf numFmtId="0" fontId="13" fillId="2" borderId="2" xfId="0" applyFont="1" applyFill="1" applyBorder="1" applyAlignment="1">
      <alignment horizontal="center" vertical="center"/>
    </xf>
    <xf numFmtId="0" fontId="13" fillId="2" borderId="0" xfId="0" applyFont="1" applyFill="1" applyBorder="1" applyAlignment="1">
      <alignment horizontal="center" vertical="center"/>
    </xf>
  </cellXfs>
  <cellStyles count="1">
    <cellStyle name="Normal" xfId="0" builtinId="0"/>
  </cellStyles>
  <dxfs count="66">
    <dxf>
      <alignment horizontal="center" vertical="bottom" textRotation="0" wrapText="0" indent="0" justifyLastLine="0" shrinkToFit="0" readingOrder="0"/>
    </dxf>
    <dxf>
      <alignment horizontal="left" vertical="top" textRotation="0" wrapText="0" indent="1" justifyLastLine="0" shrinkToFit="0" readingOrder="0"/>
    </dxf>
    <dxf>
      <alignment horizontal="center" vertical="top" textRotation="0" wrapText="0" indent="0" justifyLastLine="0" shrinkToFit="0" readingOrder="0"/>
    </dxf>
    <dxf>
      <font>
        <strike val="0"/>
        <outline val="0"/>
        <shadow val="0"/>
        <u val="none"/>
        <vertAlign val="baseline"/>
        <sz val="14"/>
        <color theme="1"/>
        <name val="Calibri"/>
        <scheme val="minor"/>
      </font>
    </dxf>
    <dxf>
      <numFmt numFmtId="30" formatCode="@"/>
      <alignment horizontal="left" vertical="top" textRotation="0" wrapText="0" indent="1"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alignment horizontal="center" vertical="top" textRotation="0" wrapText="0" indent="0" justifyLastLine="0" shrinkToFit="0" readingOrder="0"/>
    </dxf>
    <dxf>
      <font>
        <b/>
        <i val="0"/>
        <strike val="0"/>
        <outline val="0"/>
        <shadow val="0"/>
        <u val="none"/>
        <vertAlign val="baseline"/>
        <sz val="12"/>
        <color theme="1"/>
        <name val="Calibri"/>
        <scheme val="minor"/>
      </font>
      <numFmt numFmtId="3" formatCode="#,##0"/>
      <alignment horizontal="right" vertical="top" textRotation="0" wrapText="0" indent="1"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top style="thin">
          <color rgb="FF000000"/>
        </top>
      </border>
    </dxf>
    <dxf>
      <alignment vertical="top"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vertical="top" textRotation="0" wrapText="0" indent="0" justifyLastLine="0" shrinkToFit="0" readingOrder="0"/>
      <border diagonalUp="0" diagonalDown="0">
        <left style="thin">
          <color indexed="64"/>
        </left>
        <right style="thin">
          <color indexed="64"/>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2"/>
        <color auto="1"/>
        <name val="Calibri"/>
        <scheme val="minor"/>
      </font>
      <numFmt numFmtId="30" formatCode="@"/>
      <alignment horizontal="center" vertical="top" textRotation="0" wrapText="0" indent="0" justifyLastLine="0" shrinkToFit="0" readingOrder="0"/>
      <protection locked="0" hidden="0"/>
    </dxf>
    <dxf>
      <font>
        <b val="0"/>
        <i val="0"/>
        <strike val="0"/>
        <condense val="0"/>
        <extend val="0"/>
        <outline val="0"/>
        <shadow val="0"/>
        <u val="none"/>
        <vertAlign val="baseline"/>
        <sz val="12"/>
        <color auto="1"/>
        <name val="Calibri"/>
        <scheme val="minor"/>
      </font>
      <numFmt numFmtId="30" formatCode="@"/>
      <alignment horizontal="center" vertical="top" textRotation="0" wrapText="0" indent="0" justifyLastLine="0" shrinkToFit="0" readingOrder="0"/>
      <protection locked="0" hidden="0"/>
    </dxf>
    <dxf>
      <font>
        <b/>
        <i val="0"/>
        <strike val="0"/>
        <condense val="0"/>
        <extend val="0"/>
        <outline val="0"/>
        <shadow val="0"/>
        <u val="none"/>
        <vertAlign val="baseline"/>
        <sz val="12"/>
        <color rgb="FFFF0000"/>
        <name val="Calibri"/>
        <scheme val="minor"/>
      </font>
      <numFmt numFmtId="164" formatCode="#,##0;;;@"/>
      <alignment horizontal="right" vertical="top" textRotation="0" wrapText="0" indent="1" justifyLastLine="0" shrinkToFit="0" readingOrder="0"/>
      <protection locked="0" hidden="0"/>
    </dxf>
    <dxf>
      <font>
        <b/>
        <i val="0"/>
        <strike val="0"/>
        <condense val="0"/>
        <extend val="0"/>
        <outline val="0"/>
        <shadow val="0"/>
        <u val="none"/>
        <vertAlign val="baseline"/>
        <sz val="12"/>
        <color rgb="FFFF0000"/>
        <name val="Calibri"/>
        <scheme val="minor"/>
      </font>
      <numFmt numFmtId="164" formatCode="#,##0;;;@"/>
      <alignment horizontal="right" vertical="top" textRotation="0" wrapText="0" indent="1" justifyLastLine="0" shrinkToFit="0" readingOrder="0"/>
      <protection locked="0" hidden="0"/>
    </dxf>
    <dxf>
      <font>
        <b/>
        <i val="0"/>
        <strike val="0"/>
        <condense val="0"/>
        <extend val="0"/>
        <outline val="0"/>
        <shadow val="0"/>
        <u val="none"/>
        <vertAlign val="baseline"/>
        <sz val="12"/>
        <color theme="1"/>
        <name val="Calibri"/>
        <scheme val="minor"/>
      </font>
      <numFmt numFmtId="3" formatCode="#,##0"/>
      <alignment horizontal="right" vertical="top" textRotation="0" wrapText="0" indent="1" justifyLastLine="0" shrinkToFit="0" readingOrder="0"/>
    </dxf>
    <dxf>
      <font>
        <b/>
        <i val="0"/>
        <strike val="0"/>
        <condense val="0"/>
        <extend val="0"/>
        <outline val="0"/>
        <shadow val="0"/>
        <u val="none"/>
        <vertAlign val="baseline"/>
        <sz val="12"/>
        <color theme="1"/>
        <name val="Calibri"/>
        <scheme val="minor"/>
      </font>
      <numFmt numFmtId="3" formatCode="#,##0"/>
      <alignment horizontal="right" vertical="top" textRotation="0" wrapText="0" indent="1" justifyLastLine="0" shrinkToFit="0" readingOrder="0"/>
    </dxf>
    <dxf>
      <font>
        <b/>
        <i val="0"/>
        <strike val="0"/>
        <condense val="0"/>
        <extend val="0"/>
        <outline val="0"/>
        <shadow val="0"/>
        <u val="none"/>
        <vertAlign val="baseline"/>
        <sz val="12"/>
        <color theme="1"/>
        <name val="Calibri"/>
        <scheme val="minor"/>
      </font>
      <numFmt numFmtId="164" formatCode="#,##0;;;@"/>
      <alignment horizontal="right" vertical="top" textRotation="0" wrapText="0" indent="1" justifyLastLine="0" shrinkToFit="0" readingOrder="0"/>
    </dxf>
    <dxf>
      <font>
        <b/>
        <i val="0"/>
        <strike val="0"/>
        <outline val="0"/>
        <shadow val="0"/>
        <u val="none"/>
        <vertAlign val="baseline"/>
        <sz val="12"/>
        <color theme="1"/>
        <name val="Calibri"/>
        <scheme val="minor"/>
      </font>
      <numFmt numFmtId="3" formatCode="#,##0"/>
      <alignment horizontal="right" vertical="top" textRotation="0" wrapText="0" indent="1" justifyLastLine="0" shrinkToFit="0" readingOrder="0"/>
    </dxf>
    <dxf>
      <font>
        <b/>
        <i val="0"/>
        <strike val="0"/>
        <condense val="0"/>
        <extend val="0"/>
        <outline val="0"/>
        <shadow val="0"/>
        <u val="none"/>
        <vertAlign val="baseline"/>
        <sz val="12"/>
        <color rgb="FF990000"/>
        <name val="Calibri"/>
        <scheme val="minor"/>
      </font>
      <numFmt numFmtId="164" formatCode="#,##0;;;@"/>
      <alignment horizontal="right" vertical="top" textRotation="0" wrapText="0" indent="1" justifyLastLine="0" shrinkToFit="0" readingOrder="0"/>
      <protection locked="0" hidden="0"/>
    </dxf>
    <dxf>
      <font>
        <b/>
        <i val="0"/>
        <strike val="0"/>
        <outline val="0"/>
        <shadow val="0"/>
        <u val="none"/>
        <vertAlign val="baseline"/>
        <sz val="12"/>
        <color rgb="FF990000"/>
        <name val="Calibri"/>
        <scheme val="minor"/>
      </font>
      <numFmt numFmtId="3" formatCode="#,##0"/>
      <alignment horizontal="right" vertical="top" textRotation="0" wrapText="0" indent="1" justifyLastLine="0" shrinkToFit="0" readingOrder="0"/>
      <protection locked="0" hidden="0"/>
    </dxf>
    <dxf>
      <font>
        <b val="0"/>
        <i val="0"/>
        <strike val="0"/>
        <condense val="0"/>
        <extend val="0"/>
        <outline val="0"/>
        <shadow val="0"/>
        <u val="none"/>
        <vertAlign val="baseline"/>
        <sz val="12"/>
        <color theme="1"/>
        <name val="Calibri"/>
        <scheme val="minor"/>
      </font>
      <numFmt numFmtId="1"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1"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30" formatCode="@"/>
      <alignment horizontal="center" vertical="top" textRotation="0" wrapText="0" indent="0" justifyLastLine="0" shrinkToFit="0" readingOrder="0"/>
      <protection locked="0" hidden="0"/>
    </dxf>
    <dxf>
      <numFmt numFmtId="30" formatCode="@"/>
      <alignment horizontal="center" vertical="top"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alignment horizontal="center" vertical="top" textRotation="0" wrapText="0" indent="0" justifyLastLine="0" shrinkToFit="0" readingOrder="0"/>
      <protection locked="0" hidden="0"/>
    </dxf>
    <dxf>
      <numFmt numFmtId="0" formatCode="General"/>
      <alignment horizontal="center" vertical="top" textRotation="0" wrapText="0" indent="0" justifyLastLine="0" shrinkToFit="0" readingOrder="0"/>
    </dxf>
    <dxf>
      <numFmt numFmtId="0" formatCode="General"/>
      <alignment horizontal="left" vertical="top" textRotation="0" wrapText="0" indent="1" justifyLastLine="0" shrinkToFit="0" readingOrder="0"/>
    </dxf>
    <dxf>
      <numFmt numFmtId="0" formatCode="General"/>
      <alignment horizontal="left" vertical="top" textRotation="0" wrapText="0" indent="1" justifyLastLine="0" shrinkToFit="0" readingOrder="0"/>
    </dxf>
    <dxf>
      <numFmt numFmtId="0" formatCode="General"/>
      <alignment horizontal="right" vertical="top" textRotation="0" wrapText="0" indent="1" justifyLastLine="0" shrinkToFit="0" readingOrder="0"/>
    </dxf>
    <dxf>
      <numFmt numFmtId="0" formatCode="General"/>
      <alignment horizontal="right" vertical="top" textRotation="0" wrapText="0" indent="1"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30" formatCode="@"/>
      <alignment horizontal="center" vertical="top" textRotation="0" wrapText="0" indent="0"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numFmt numFmtId="3" formatCode="#,##0"/>
      <alignment horizontal="right" vertical="top" textRotation="0" wrapText="0" indent="1" justifyLastLine="0" shrinkToFit="0" readingOrder="0"/>
    </dxf>
    <dxf>
      <border outline="0">
        <top style="thin">
          <color indexed="64"/>
        </top>
      </border>
    </dxf>
    <dxf>
      <alignmen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theme="1"/>
        </patternFill>
      </fill>
    </dxf>
  </dxfs>
  <tableStyles count="0" defaultTableStyle="TableStyleMedium2" defaultPivotStyle="PivotStyleLight16"/>
  <colors>
    <mruColors>
      <color rgb="FFFFFFFF"/>
      <color rgb="FF990000"/>
      <color rgb="FF1509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5.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0</xdr:row>
          <xdr:rowOff>85725</xdr:rowOff>
        </xdr:from>
        <xdr:to>
          <xdr:col>1</xdr:col>
          <xdr:colOff>1847850</xdr:colOff>
          <xdr:row>0</xdr:row>
          <xdr:rowOff>533400</xdr:rowOff>
        </xdr:to>
        <xdr:sp macro="" textlink="">
          <xdr:nvSpPr>
            <xdr:cNvPr id="1030" name="btn_Ponto_Ped_Ordenar"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1943100</xdr:colOff>
          <xdr:row>0</xdr:row>
          <xdr:rowOff>85725</xdr:rowOff>
        </xdr:from>
        <xdr:to>
          <xdr:col>1</xdr:col>
          <xdr:colOff>4486275</xdr:colOff>
          <xdr:row>0</xdr:row>
          <xdr:rowOff>533400</xdr:rowOff>
        </xdr:to>
        <xdr:sp macro="" textlink="">
          <xdr:nvSpPr>
            <xdr:cNvPr id="1084" name="btn_Ponto_Ped_HabOutAlt" hidden="1">
              <a:extLst>
                <a:ext uri="{63B3BB69-23CF-44E3-9099-C40C66FF867C}">
                  <a14:compatExt spid="_x0000_s1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4581525</xdr:colOff>
          <xdr:row>0</xdr:row>
          <xdr:rowOff>85725</xdr:rowOff>
        </xdr:from>
        <xdr:to>
          <xdr:col>4</xdr:col>
          <xdr:colOff>304800</xdr:colOff>
          <xdr:row>0</xdr:row>
          <xdr:rowOff>533400</xdr:rowOff>
        </xdr:to>
        <xdr:sp macro="" textlink="">
          <xdr:nvSpPr>
            <xdr:cNvPr id="1106" name="btn_Ponto_Ped_Filtros"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85725</xdr:rowOff>
        </xdr:from>
        <xdr:to>
          <xdr:col>5</xdr:col>
          <xdr:colOff>2609850</xdr:colOff>
          <xdr:row>0</xdr:row>
          <xdr:rowOff>533400</xdr:rowOff>
        </xdr:to>
        <xdr:sp macro="" textlink="">
          <xdr:nvSpPr>
            <xdr:cNvPr id="1159" name="btn_Ponto_Ped_AtuCod" hidden="1">
              <a:extLst>
                <a:ext uri="{63B3BB69-23CF-44E3-9099-C40C66FF867C}">
                  <a14:compatExt spid="_x0000_s1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26</xdr:row>
          <xdr:rowOff>123825</xdr:rowOff>
        </xdr:from>
        <xdr:to>
          <xdr:col>0</xdr:col>
          <xdr:colOff>6276975</xdr:colOff>
          <xdr:row>29</xdr:row>
          <xdr:rowOff>0</xdr:rowOff>
        </xdr:to>
        <xdr:sp macro="" textlink="">
          <xdr:nvSpPr>
            <xdr:cNvPr id="21505" name="btn_Filtros_Limpar"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6276975</xdr:colOff>
          <xdr:row>3</xdr:row>
          <xdr:rowOff>0</xdr:rowOff>
        </xdr:to>
        <xdr:sp macro="" textlink="">
          <xdr:nvSpPr>
            <xdr:cNvPr id="21506" name="btn_Filtros_SohPersonal"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3</xdr:row>
          <xdr:rowOff>47625</xdr:rowOff>
        </xdr:from>
        <xdr:to>
          <xdr:col>0</xdr:col>
          <xdr:colOff>6276975</xdr:colOff>
          <xdr:row>5</xdr:row>
          <xdr:rowOff>114300</xdr:rowOff>
        </xdr:to>
        <xdr:sp macro="" textlink="">
          <xdr:nvSpPr>
            <xdr:cNvPr id="21507" name="btn_Filtros_SohPadrao" hidden="1">
              <a:extLst>
                <a:ext uri="{63B3BB69-23CF-44E3-9099-C40C66FF867C}">
                  <a14:compatExt spid="_x0000_s2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8</xdr:row>
          <xdr:rowOff>85725</xdr:rowOff>
        </xdr:from>
        <xdr:to>
          <xdr:col>0</xdr:col>
          <xdr:colOff>6276975</xdr:colOff>
          <xdr:row>10</xdr:row>
          <xdr:rowOff>152400</xdr:rowOff>
        </xdr:to>
        <xdr:sp macro="" textlink="">
          <xdr:nvSpPr>
            <xdr:cNvPr id="21508" name="btn_Filtros_Situacoes" hidden="1">
              <a:extLst>
                <a:ext uri="{63B3BB69-23CF-44E3-9099-C40C66FF867C}">
                  <a14:compatExt spid="_x0000_s2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0</xdr:row>
          <xdr:rowOff>123825</xdr:rowOff>
        </xdr:from>
        <xdr:to>
          <xdr:col>0</xdr:col>
          <xdr:colOff>12620625</xdr:colOff>
          <xdr:row>3</xdr:row>
          <xdr:rowOff>0</xdr:rowOff>
        </xdr:to>
        <xdr:sp macro="" textlink="">
          <xdr:nvSpPr>
            <xdr:cNvPr id="21509" name="btn_Filtros_SemEstimativa" hidden="1">
              <a:extLst>
                <a:ext uri="{63B3BB69-23CF-44E3-9099-C40C66FF867C}">
                  <a14:compatExt spid="_x0000_s21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11</xdr:row>
          <xdr:rowOff>9525</xdr:rowOff>
        </xdr:from>
        <xdr:to>
          <xdr:col>0</xdr:col>
          <xdr:colOff>6276975</xdr:colOff>
          <xdr:row>13</xdr:row>
          <xdr:rowOff>76200</xdr:rowOff>
        </xdr:to>
        <xdr:sp macro="" textlink="">
          <xdr:nvSpPr>
            <xdr:cNvPr id="21510" name="btn_Filtros_Setor" hidden="1">
              <a:extLst>
                <a:ext uri="{63B3BB69-23CF-44E3-9099-C40C66FF867C}">
                  <a14:compatExt spid="_x0000_s21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0</xdr:row>
          <xdr:rowOff>57150</xdr:rowOff>
        </xdr:from>
        <xdr:to>
          <xdr:col>8</xdr:col>
          <xdr:colOff>1666875</xdr:colOff>
          <xdr:row>2</xdr:row>
          <xdr:rowOff>66675</xdr:rowOff>
        </xdr:to>
        <xdr:sp macro="" textlink="">
          <xdr:nvSpPr>
            <xdr:cNvPr id="18433" name="btn_Excluir_OcultarReexibir" hidden="1">
              <a:extLst>
                <a:ext uri="{63B3BB69-23CF-44E3-9099-C40C66FF867C}">
                  <a14:compatExt spid="_x0000_s18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57150</xdr:rowOff>
        </xdr:from>
        <xdr:to>
          <xdr:col>9</xdr:col>
          <xdr:colOff>1590675</xdr:colOff>
          <xdr:row>2</xdr:row>
          <xdr:rowOff>66675</xdr:rowOff>
        </xdr:to>
        <xdr:sp macro="" textlink="">
          <xdr:nvSpPr>
            <xdr:cNvPr id="18434" name="btn_Excluir_Atualizar_Planilha"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1685925</xdr:colOff>
          <xdr:row>0</xdr:row>
          <xdr:rowOff>57150</xdr:rowOff>
        </xdr:from>
        <xdr:to>
          <xdr:col>10</xdr:col>
          <xdr:colOff>1514475</xdr:colOff>
          <xdr:row>2</xdr:row>
          <xdr:rowOff>66675</xdr:rowOff>
        </xdr:to>
        <xdr:sp macro="" textlink="">
          <xdr:nvSpPr>
            <xdr:cNvPr id="18435" name="btn_Excluir_VoltarParaItens" hidden="1">
              <a:extLst>
                <a:ext uri="{63B3BB69-23CF-44E3-9099-C40C66FF867C}">
                  <a14:compatExt spid="_x0000_s18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4448175</xdr:colOff>
          <xdr:row>0</xdr:row>
          <xdr:rowOff>571500</xdr:rowOff>
        </xdr:to>
        <xdr:sp macro="" textlink="">
          <xdr:nvSpPr>
            <xdr:cNvPr id="16385" name="btn_Parâmetros_Reordenar"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0</xdr:col>
          <xdr:colOff>2733675</xdr:colOff>
          <xdr:row>0</xdr:row>
          <xdr:rowOff>571500</xdr:rowOff>
        </xdr:to>
        <xdr:sp macro="" textlink="">
          <xdr:nvSpPr>
            <xdr:cNvPr id="17409" name="btnEstaticasReordena" hidden="1">
              <a:extLst>
                <a:ext uri="{63B3BB69-23CF-44E3-9099-C40C66FF867C}">
                  <a14:compatExt spid="_x0000_s17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4257675</xdr:colOff>
          <xdr:row>0</xdr:row>
          <xdr:rowOff>123825</xdr:rowOff>
        </xdr:from>
        <xdr:to>
          <xdr:col>1</xdr:col>
          <xdr:colOff>1676400</xdr:colOff>
          <xdr:row>0</xdr:row>
          <xdr:rowOff>571500</xdr:rowOff>
        </xdr:to>
        <xdr:sp macro="" textlink="">
          <xdr:nvSpPr>
            <xdr:cNvPr id="17410" name="btnEstaticasHabilitaAlt" hidden="1">
              <a:extLst>
                <a:ext uri="{63B3BB69-23CF-44E3-9099-C40C66FF867C}">
                  <a14:compatExt spid="_x0000_s17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57150</xdr:rowOff>
        </xdr:from>
        <xdr:to>
          <xdr:col>1</xdr:col>
          <xdr:colOff>857250</xdr:colOff>
          <xdr:row>0</xdr:row>
          <xdr:rowOff>466725</xdr:rowOff>
        </xdr:to>
        <xdr:sp macro="" textlink="">
          <xdr:nvSpPr>
            <xdr:cNvPr id="27649" name="btnGruposOrdena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PontoPed" displayName="tabPontoPed" ref="A2:O1009" headerRowDxfId="64" dataDxfId="62" headerRowBorderDxfId="63" tableBorderDxfId="61">
  <autoFilter ref="A2:O1009"/>
  <tableColumns count="15">
    <tableColumn id="1" name="CÓDIGO" dataDxfId="60" totalsRowDxfId="59"/>
    <tableColumn id="2" name="DESCRIÇÃO" dataDxfId="58" totalsRowDxfId="57"/>
    <tableColumn id="11" name="ESTRUTURA" dataDxfId="56" totalsRowDxfId="55"/>
    <tableColumn id="7" name="GRUPO" dataDxfId="54" totalsRowDxfId="53"/>
    <tableColumn id="6" name="SUBGRUPO" dataDxfId="52" totalsRowDxfId="51"/>
    <tableColumn id="16" name="DGRUPO" dataDxfId="50" totalsRowDxfId="49">
      <calculatedColumnFormula>VLOOKUP(tabPontoPed[[#This Row],[GRUPO]],tabGrupos[#Data],2,FALSE)</calculatedColumnFormula>
    </tableColumn>
    <tableColumn id="15" name="SETOR" dataDxfId="48" totalsRowDxfId="47">
      <calculatedColumnFormula>VLOOKUP(tabPontoPed[[#This Row],[GRUPO]],tabGrupos[#Data],3,FALSE)</calculatedColumnFormula>
    </tableColumn>
    <tableColumn id="5" name="TIPO" dataDxfId="46" totalsRowDxfId="45"/>
    <tableColumn id="9" name="QTDMÊS" dataDxfId="44" totalsRowDxfId="43"/>
    <tableColumn id="8" name="MENSAL" totalsRowFunction="sum" dataDxfId="42" totalsRowDxfId="41"/>
    <tableColumn id="3" name="PONTOPED" totalsRowFunction="sum" dataDxfId="40" totalsRowDxfId="39"/>
    <tableColumn id="4" name="SITUAÇÃO" dataDxfId="38" totalsRowDxfId="37"/>
    <tableColumn id="12" name="CÁLCULO" dataDxfId="36" totalsRowDxfId="35"/>
    <tableColumn id="13" name="Excluir?" dataDxfId="34" totalsRowDxfId="33">
      <calculatedColumnFormula>_xlfn.IFNA(IF(VLOOKUP(tabPontoPed[[#This Row],[CÓDIGO]],Excluir_do_Estoque!$A$4:$A$4004,1,FALSE),"sim",""),"")</calculatedColumnFormula>
    </tableColumn>
    <tableColumn id="10" name="FIM" dataDxfId="32" totalsRowDxfId="31">
      <calculatedColumnFormula>"*"</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9" name="Tabela9" displayName="Tabela9" ref="A1:B1236" totalsRowShown="0">
  <autoFilter ref="A1:B1236"/>
  <tableColumns count="2">
    <tableColumn id="1" name="CÓDIGO"/>
    <tableColumn id="2" name="SALDO"/>
  </tableColumns>
  <tableStyleInfo name="TableStyleLight1" showFirstColumn="0" showLastColumn="0" showRowStripes="1" showColumnStripes="0"/>
</table>
</file>

<file path=xl/tables/table3.xml><?xml version="1.0" encoding="utf-8"?>
<table xmlns="http://schemas.openxmlformats.org/spreadsheetml/2006/main" id="2" name="Tabela13" displayName="Tabela13" ref="A3:D1012" totalsRowShown="0" headerRowDxfId="30" dataDxfId="28" headerRowBorderDxfId="29" tableBorderDxfId="27">
  <autoFilter ref="A3:D1012"/>
  <sortState ref="A4:D1012">
    <sortCondition ref="A4:A1012"/>
  </sortState>
  <tableColumns count="4">
    <tableColumn id="1" name="CÓDIGO" dataDxfId="26"/>
    <tableColumn id="2" name="DESCRIÇÃO" dataDxfId="25"/>
    <tableColumn id="3" name="CONSUMO_ANUAL" dataDxfId="24"/>
    <tableColumn id="10" name="FIM" dataDxfId="23">
      <calculatedColumnFormula>IF($D$3="FIM","*","")</calculatedColumnFormula>
    </tableColumn>
  </tableColumns>
  <tableStyleInfo name="TableStyleLight1" showFirstColumn="0" showLastColumn="0" showRowStripes="1" showColumnStripes="0"/>
</table>
</file>

<file path=xl/tables/table4.xml><?xml version="1.0" encoding="utf-8"?>
<table xmlns="http://schemas.openxmlformats.org/spreadsheetml/2006/main" id="4" name="tabParametros" displayName="tabParametros" ref="A2:C4" totalsRowShown="0" headerRowDxfId="22" dataDxfId="21">
  <autoFilter ref="A2:C4"/>
  <tableColumns count="3">
    <tableColumn id="1" name="Referência" dataDxfId="20"/>
    <tableColumn id="2" name="Valor" dataDxfId="19"/>
    <tableColumn id="3" name="Observações" dataDxfId="18"/>
  </tableColumns>
  <tableStyleInfo name="TableStyleMedium15" showFirstColumn="0" showLastColumn="0" showRowStripes="1" showColumnStripes="0"/>
</table>
</file>

<file path=xl/tables/table5.xml><?xml version="1.0" encoding="utf-8"?>
<table xmlns="http://schemas.openxmlformats.org/spreadsheetml/2006/main" id="5" name="tabEstSituação" displayName="tabEstSituação" ref="A2:B5" totalsRowShown="0" headerRowDxfId="15" dataDxfId="14">
  <autoFilter ref="A2:B5"/>
  <sortState ref="A3:B5">
    <sortCondition ref="A3:A5"/>
  </sortState>
  <tableColumns count="2">
    <tableColumn id="1" name="Código" dataDxfId="13"/>
    <tableColumn id="2" name="Descrição" dataDxfId="12"/>
  </tableColumns>
  <tableStyleInfo name="TableStyleMedium14" showFirstColumn="0" showLastColumn="0" showRowStripes="1" showColumnStripes="0"/>
</table>
</file>

<file path=xl/tables/table6.xml><?xml version="1.0" encoding="utf-8"?>
<table xmlns="http://schemas.openxmlformats.org/spreadsheetml/2006/main" id="7" name="tabEstTipo" displayName="tabEstTipo" ref="A9:B11" totalsRowShown="0" headerRowDxfId="11" dataDxfId="10">
  <autoFilter ref="A9:B11"/>
  <sortState ref="A10:B11">
    <sortCondition ref="A10:A11"/>
  </sortState>
  <tableColumns count="2">
    <tableColumn id="1" name="Código" dataDxfId="9"/>
    <tableColumn id="2" name="Descrição" dataDxfId="8"/>
  </tableColumns>
  <tableStyleInfo name="TableStyleMedium8" showFirstColumn="0" showLastColumn="0" showRowStripes="1" showColumnStripes="0"/>
</table>
</file>

<file path=xl/tables/table7.xml><?xml version="1.0" encoding="utf-8"?>
<table xmlns="http://schemas.openxmlformats.org/spreadsheetml/2006/main" id="8" name="tabEstSetores" displayName="tabEstSetores" ref="A13:B26" totalsRowShown="0" headerRowDxfId="7" dataDxfId="6">
  <autoFilter ref="A13:B26"/>
  <sortState ref="A14:B26">
    <sortCondition ref="A14:A26"/>
  </sortState>
  <tableColumns count="2">
    <tableColumn id="1" name="Código" dataDxfId="5"/>
    <tableColumn id="2" name="Descrição" dataDxfId="4"/>
  </tableColumns>
  <tableStyleInfo name="TableStyleMedium10" showFirstColumn="0" showLastColumn="0" showRowStripes="1" showColumnStripes="0"/>
</table>
</file>

<file path=xl/tables/table8.xml><?xml version="1.0" encoding="utf-8"?>
<table xmlns="http://schemas.openxmlformats.org/spreadsheetml/2006/main" id="6" name="tabGrupos" displayName="tabGrupos" ref="A2:C40" totalsRowShown="0" headerRowDxfId="3">
  <autoFilter ref="A2:C40"/>
  <tableColumns count="3">
    <tableColumn id="1" name="CÓDIGO" dataDxfId="2"/>
    <tableColumn id="2" name="DESCRIÇÃO" dataDxfId="1"/>
    <tableColumn id="3" name="SETOR"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10.xml"/><Relationship Id="rId3" Type="http://schemas.openxmlformats.org/officeDocument/2006/relationships/control" Target="../activeX/activeX5.xml"/><Relationship Id="rId7" Type="http://schemas.openxmlformats.org/officeDocument/2006/relationships/control" Target="../activeX/activeX7.xml"/><Relationship Id="rId12" Type="http://schemas.openxmlformats.org/officeDocument/2006/relationships/image" Target="../media/image9.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6.emf"/><Relationship Id="rId11" Type="http://schemas.openxmlformats.org/officeDocument/2006/relationships/control" Target="../activeX/activeX9.xml"/><Relationship Id="rId5" Type="http://schemas.openxmlformats.org/officeDocument/2006/relationships/control" Target="../activeX/activeX6.xml"/><Relationship Id="rId10" Type="http://schemas.openxmlformats.org/officeDocument/2006/relationships/image" Target="../media/image8.emf"/><Relationship Id="rId4" Type="http://schemas.openxmlformats.org/officeDocument/2006/relationships/image" Target="../media/image5.emf"/><Relationship Id="rId9" Type="http://schemas.openxmlformats.org/officeDocument/2006/relationships/control" Target="../activeX/activeX8.xml"/><Relationship Id="rId14" Type="http://schemas.openxmlformats.org/officeDocument/2006/relationships/image" Target="../media/image10.emf"/></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3.vml"/><Relationship Id="rId7" Type="http://schemas.openxmlformats.org/officeDocument/2006/relationships/image" Target="../media/image1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2.xml"/><Relationship Id="rId5" Type="http://schemas.openxmlformats.org/officeDocument/2006/relationships/image" Target="../media/image11.emf"/><Relationship Id="rId10" Type="http://schemas.openxmlformats.org/officeDocument/2006/relationships/comments" Target="../comments2.xml"/><Relationship Id="rId4" Type="http://schemas.openxmlformats.org/officeDocument/2006/relationships/control" Target="../activeX/activeX11.xml"/><Relationship Id="rId9" Type="http://schemas.openxmlformats.org/officeDocument/2006/relationships/image" Target="../media/image1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14.emf"/><Relationship Id="rId4" Type="http://schemas.openxmlformats.org/officeDocument/2006/relationships/control" Target="../activeX/activeX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6.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6.xml"/><Relationship Id="rId5" Type="http://schemas.openxmlformats.org/officeDocument/2006/relationships/image" Target="../media/image15.emf"/><Relationship Id="rId10" Type="http://schemas.openxmlformats.org/officeDocument/2006/relationships/table" Target="../tables/table7.xml"/><Relationship Id="rId4" Type="http://schemas.openxmlformats.org/officeDocument/2006/relationships/control" Target="../activeX/activeX15.xml"/><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8.xml"/><Relationship Id="rId5" Type="http://schemas.openxmlformats.org/officeDocument/2006/relationships/image" Target="../media/image17.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
  <dimension ref="A1:O1009"/>
  <sheetViews>
    <sheetView tabSelected="1" zoomScale="85" zoomScaleNormal="85" workbookViewId="0">
      <pane xSplit="14" ySplit="2" topLeftCell="O3" activePane="bottomRight" state="frozen"/>
      <selection pane="topRight" activeCell="G1" sqref="G1"/>
      <selection pane="bottomLeft" activeCell="A4" sqref="A4"/>
      <selection pane="bottomRight" activeCell="M3" sqref="M3"/>
    </sheetView>
  </sheetViews>
  <sheetFormatPr defaultRowHeight="15.75" x14ac:dyDescent="0.25"/>
  <cols>
    <col min="1" max="1" width="11.42578125" style="2" customWidth="1"/>
    <col min="2" max="2" width="97.42578125" style="4" customWidth="1"/>
    <col min="3" max="3" width="3.140625" style="4" hidden="1" customWidth="1"/>
    <col min="4" max="5" width="4.85546875" style="4" customWidth="1"/>
    <col min="6" max="6" width="59" style="4" customWidth="1"/>
    <col min="7" max="7" width="10.140625" style="9" bestFit="1" customWidth="1"/>
    <col min="8" max="8" width="9.85546875" style="8" customWidth="1"/>
    <col min="9" max="9" width="4.5703125" customWidth="1"/>
    <col min="10" max="10" width="11.7109375" style="7" customWidth="1"/>
    <col min="11" max="11" width="12.28515625" style="7" customWidth="1"/>
    <col min="12" max="12" width="9.85546875" style="7" customWidth="1"/>
    <col min="13" max="13" width="9.5703125" style="7" customWidth="1"/>
    <col min="14" max="14" width="9" style="10" hidden="1" customWidth="1"/>
  </cols>
  <sheetData>
    <row r="1" spans="1:15" ht="51" customHeight="1" x14ac:dyDescent="0.25">
      <c r="A1" s="53"/>
      <c r="B1" s="53"/>
      <c r="C1" s="53"/>
      <c r="D1" s="53"/>
      <c r="E1" s="53"/>
      <c r="F1" s="53"/>
      <c r="G1" s="53"/>
      <c r="H1" s="53"/>
      <c r="I1" s="53"/>
      <c r="J1" s="53"/>
      <c r="K1" s="53"/>
      <c r="L1" s="53"/>
      <c r="M1" s="53"/>
      <c r="N1"/>
    </row>
    <row r="2" spans="1:15" ht="21" customHeight="1" x14ac:dyDescent="0.25">
      <c r="A2" s="37" t="s">
        <v>0</v>
      </c>
      <c r="B2" s="38" t="s">
        <v>1</v>
      </c>
      <c r="C2" s="40" t="s">
        <v>1344</v>
      </c>
      <c r="D2" s="40" t="s">
        <v>1017</v>
      </c>
      <c r="E2" s="40" t="s">
        <v>1343</v>
      </c>
      <c r="F2" s="38" t="s">
        <v>1402</v>
      </c>
      <c r="G2" s="38" t="s">
        <v>1020</v>
      </c>
      <c r="H2" s="38" t="s">
        <v>1342</v>
      </c>
      <c r="I2" s="49" t="s">
        <v>1005</v>
      </c>
      <c r="J2" s="36" t="s">
        <v>1004</v>
      </c>
      <c r="K2" s="37" t="s">
        <v>2</v>
      </c>
      <c r="L2" s="37" t="s">
        <v>1008</v>
      </c>
      <c r="M2" s="37" t="s">
        <v>1346</v>
      </c>
      <c r="N2" s="37" t="s">
        <v>1350</v>
      </c>
      <c r="O2" s="39" t="s">
        <v>1006</v>
      </c>
    </row>
    <row r="3" spans="1:15" x14ac:dyDescent="0.25">
      <c r="A3" s="2">
        <v>4680</v>
      </c>
      <c r="B3" s="4" t="s">
        <v>402</v>
      </c>
      <c r="C3" s="41" t="s">
        <v>1345</v>
      </c>
      <c r="D3" s="42">
        <v>20</v>
      </c>
      <c r="E3" s="43">
        <v>3</v>
      </c>
      <c r="F3" s="50" t="str">
        <f>VLOOKUP(tabPontoPed[[#This Row],[GRUPO]],tabGrupos[#Data],2,FALSE)</f>
        <v>MATERIAIS DE CONSUMO HOSPITALAR</v>
      </c>
      <c r="G3" s="42" t="str">
        <f>VLOOKUP(tabPontoPed[[#This Row],[GRUPO]],tabGrupos[#Data],3,FALSE)</f>
        <v>SAU</v>
      </c>
      <c r="H3" s="41" t="s">
        <v>1339</v>
      </c>
      <c r="I3" s="9">
        <v>4</v>
      </c>
      <c r="J3" s="51">
        <v>1019</v>
      </c>
      <c r="K3" s="7">
        <f>tabPontoPed[[#This Row],[QTDMÊS]] * tabPontoPed[[#This Row],[MENSAL]]</f>
        <v>4076</v>
      </c>
      <c r="L3" s="13" t="s">
        <v>1012</v>
      </c>
      <c r="M3" s="44">
        <v>443</v>
      </c>
      <c r="N3" s="45" t="str">
        <f>_xlfn.IFNA(IF(VLOOKUP(tabPontoPed[[#This Row],[CÓDIGO]],Excluir_do_Estoque!$A$4:$A$4004,1,FALSE),"sim",""),"")</f>
        <v/>
      </c>
      <c r="O3" s="10" t="str">
        <f t="shared" ref="O3:O67" si="0">"*"</f>
        <v>*</v>
      </c>
    </row>
    <row r="4" spans="1:15" x14ac:dyDescent="0.25">
      <c r="A4" s="2">
        <v>9413</v>
      </c>
      <c r="B4" s="4" t="s">
        <v>209</v>
      </c>
      <c r="C4" s="41" t="s">
        <v>1345</v>
      </c>
      <c r="D4" s="42">
        <v>72</v>
      </c>
      <c r="E4" s="43">
        <v>6</v>
      </c>
      <c r="F4" s="50" t="str">
        <f>VLOOKUP(tabPontoPed[[#This Row],[GRUPO]],tabGrupos[#Data],2,FALSE)</f>
        <v>MAQ.EQUIP.E MATERIAIS P/ HIGIEN.LIMP.POLIM.E LUBR.</v>
      </c>
      <c r="G4" s="42" t="str">
        <f>VLOOKUP(tabPontoPed[[#This Row],[GRUPO]],tabGrupos[#Data],3,FALSE)</f>
        <v>ADM</v>
      </c>
      <c r="H4" s="41" t="s">
        <v>1339</v>
      </c>
      <c r="I4" s="9">
        <v>4</v>
      </c>
      <c r="J4" s="51">
        <v>5473</v>
      </c>
      <c r="K4" s="7">
        <f>tabPontoPed[[#This Row],[QTDMÊS]] * tabPontoPed[[#This Row],[MENSAL]]</f>
        <v>21892</v>
      </c>
      <c r="L4" s="13" t="s">
        <v>1012</v>
      </c>
      <c r="M4" s="44"/>
      <c r="N4" s="45" t="str">
        <f>_xlfn.IFNA(IF(VLOOKUP(tabPontoPed[[#This Row],[CÓDIGO]],Excluir_do_Estoque!$A$4:$A$4004,1,FALSE),"sim",""),"")</f>
        <v/>
      </c>
      <c r="O4" s="10" t="str">
        <f t="shared" si="0"/>
        <v>*</v>
      </c>
    </row>
    <row r="5" spans="1:15" x14ac:dyDescent="0.25">
      <c r="A5" s="2">
        <v>10302</v>
      </c>
      <c r="B5" s="4" t="s">
        <v>711</v>
      </c>
      <c r="C5" s="41" t="s">
        <v>1345</v>
      </c>
      <c r="D5" s="42">
        <v>57</v>
      </c>
      <c r="E5" s="43">
        <v>19</v>
      </c>
      <c r="F5" s="50" t="str">
        <f>VLOOKUP(tabPontoPed[[#This Row],[GRUPO]],tabGrupos[#Data],2,FALSE)</f>
        <v>MAQ. E EQUIP. P/ IND. GRAFICA COMP. ACESS. E PAPEI</v>
      </c>
      <c r="G5" s="42" t="str">
        <f>VLOOKUP(tabPontoPed[[#This Row],[GRUPO]],tabGrupos[#Data],3,FALSE)</f>
        <v>EDU</v>
      </c>
      <c r="H5" s="41" t="s">
        <v>1339</v>
      </c>
      <c r="I5" s="9">
        <v>4</v>
      </c>
      <c r="J5" s="51">
        <v>221</v>
      </c>
      <c r="K5" s="7">
        <f>tabPontoPed[[#This Row],[QTDMÊS]] * tabPontoPed[[#This Row],[MENSAL]]</f>
        <v>884</v>
      </c>
      <c r="L5" s="13" t="s">
        <v>1012</v>
      </c>
      <c r="M5" s="44"/>
      <c r="N5" s="45" t="str">
        <f>_xlfn.IFNA(IF(VLOOKUP(tabPontoPed[[#This Row],[CÓDIGO]],Excluir_do_Estoque!$A$4:$A$4004,1,FALSE),"sim",""),"")</f>
        <v/>
      </c>
      <c r="O5" s="10" t="str">
        <f t="shared" si="0"/>
        <v>*</v>
      </c>
    </row>
    <row r="6" spans="1:15" x14ac:dyDescent="0.25">
      <c r="A6" s="2">
        <v>10359</v>
      </c>
      <c r="B6" s="4" t="s">
        <v>178</v>
      </c>
      <c r="C6" s="41" t="s">
        <v>1345</v>
      </c>
      <c r="D6" s="42">
        <v>71</v>
      </c>
      <c r="E6" s="43">
        <v>7</v>
      </c>
      <c r="F6" s="50" t="str">
        <f>VLOOKUP(tabPontoPed[[#This Row],[GRUPO]],tabGrupos[#Data],2,FALSE)</f>
        <v>GENEROS ALIMENTICIOS E BEBIDAS</v>
      </c>
      <c r="G6" s="42" t="str">
        <f>VLOOKUP(tabPontoPed[[#This Row],[GRUPO]],tabGrupos[#Data],3,FALSE)</f>
        <v>EDU</v>
      </c>
      <c r="H6" s="41" t="s">
        <v>1339</v>
      </c>
      <c r="I6" s="9">
        <v>4</v>
      </c>
      <c r="J6" s="51">
        <v>156</v>
      </c>
      <c r="K6" s="7">
        <f>tabPontoPed[[#This Row],[QTDMÊS]] * tabPontoPed[[#This Row],[MENSAL]]</f>
        <v>624</v>
      </c>
      <c r="L6" s="13" t="s">
        <v>1012</v>
      </c>
      <c r="M6" s="44"/>
      <c r="N6" s="45" t="str">
        <f>_xlfn.IFNA(IF(VLOOKUP(tabPontoPed[[#This Row],[CÓDIGO]],Excluir_do_Estoque!$A$4:$A$4004,1,FALSE),"sim",""),"")</f>
        <v/>
      </c>
      <c r="O6" s="10" t="str">
        <f t="shared" si="0"/>
        <v>*</v>
      </c>
    </row>
    <row r="7" spans="1:15" x14ac:dyDescent="0.25">
      <c r="A7" s="2">
        <v>18337</v>
      </c>
      <c r="B7" s="4" t="s">
        <v>1426</v>
      </c>
      <c r="C7" s="41"/>
      <c r="D7" s="42">
        <v>67</v>
      </c>
      <c r="E7" s="43">
        <v>6</v>
      </c>
      <c r="F7" s="50" t="str">
        <f>VLOOKUP(tabPontoPed[[#This Row],[GRUPO]],tabGrupos[#Data],2,FALSE)</f>
        <v>PARAFUSOS ELEM. VEDACAO UNIAO CONEX . FIXACAO</v>
      </c>
      <c r="G7" s="42" t="str">
        <f>VLOOKUP(tabPontoPed[[#This Row],[GRUPO]],tabGrupos[#Data],3,FALSE)</f>
        <v>MSE</v>
      </c>
      <c r="H7" s="41" t="s">
        <v>1339</v>
      </c>
      <c r="I7" s="9">
        <v>4</v>
      </c>
      <c r="J7" s="51"/>
      <c r="L7" s="13" t="s">
        <v>1012</v>
      </c>
      <c r="M7" s="44"/>
      <c r="N7" s="45" t="str">
        <f>_xlfn.IFNA(IF(VLOOKUP(tabPontoPed[[#This Row],[CÓDIGO]],Excluir_do_Estoque!$A$4:$A$4004,1,FALSE),"sim",""),"")</f>
        <v/>
      </c>
      <c r="O7" s="52" t="str">
        <f>"*"</f>
        <v>*</v>
      </c>
    </row>
    <row r="8" spans="1:15" x14ac:dyDescent="0.25">
      <c r="A8" s="2">
        <v>10392</v>
      </c>
      <c r="B8" s="4" t="s">
        <v>424</v>
      </c>
      <c r="C8" s="41" t="s">
        <v>1345</v>
      </c>
      <c r="D8" s="42">
        <v>45</v>
      </c>
      <c r="E8" s="43">
        <v>10</v>
      </c>
      <c r="F8" s="50" t="str">
        <f>VLOOKUP(tabPontoPed[[#This Row],[GRUPO]],tabGrupos[#Data],2,FALSE)</f>
        <v>MAQ., EQUIP., COMP., ACES., MAT. PARA ESCRIT.E ESCOLAR</v>
      </c>
      <c r="G8" s="42" t="str">
        <f>VLOOKUP(tabPontoPed[[#This Row],[GRUPO]],tabGrupos[#Data],3,FALSE)</f>
        <v>EDU</v>
      </c>
      <c r="H8" s="41" t="s">
        <v>1339</v>
      </c>
      <c r="I8" s="9">
        <v>4</v>
      </c>
      <c r="J8" s="51">
        <v>362</v>
      </c>
      <c r="K8" s="7">
        <f>tabPontoPed[[#This Row],[QTDMÊS]] * tabPontoPed[[#This Row],[MENSAL]]</f>
        <v>1448</v>
      </c>
      <c r="L8" s="13" t="s">
        <v>1012</v>
      </c>
      <c r="M8" s="44"/>
      <c r="N8" s="45" t="str">
        <f>_xlfn.IFNA(IF(VLOOKUP(tabPontoPed[[#This Row],[CÓDIGO]],Excluir_do_Estoque!$A$4:$A$4004,1,FALSE),"sim",""),"")</f>
        <v/>
      </c>
      <c r="O8" s="10" t="str">
        <f t="shared" si="0"/>
        <v>*</v>
      </c>
    </row>
    <row r="9" spans="1:15" x14ac:dyDescent="0.25">
      <c r="A9" s="2">
        <v>10412</v>
      </c>
      <c r="B9" s="4" t="s">
        <v>271</v>
      </c>
      <c r="C9" s="41" t="s">
        <v>1345</v>
      </c>
      <c r="D9" s="42">
        <v>71</v>
      </c>
      <c r="E9" s="43">
        <v>24</v>
      </c>
      <c r="F9" s="50" t="str">
        <f>VLOOKUP(tabPontoPed[[#This Row],[GRUPO]],tabGrupos[#Data],2,FALSE)</f>
        <v>GENEROS ALIMENTICIOS E BEBIDAS</v>
      </c>
      <c r="G9" s="42" t="str">
        <f>VLOOKUP(tabPontoPed[[#This Row],[GRUPO]],tabGrupos[#Data],3,FALSE)</f>
        <v>EDU</v>
      </c>
      <c r="H9" s="41" t="s">
        <v>1339</v>
      </c>
      <c r="I9" s="9">
        <v>4</v>
      </c>
      <c r="J9" s="51">
        <v>85</v>
      </c>
      <c r="K9" s="7">
        <f>tabPontoPed[[#This Row],[QTDMÊS]] * tabPontoPed[[#This Row],[MENSAL]]</f>
        <v>340</v>
      </c>
      <c r="L9" s="13" t="s">
        <v>1012</v>
      </c>
      <c r="M9" s="44"/>
      <c r="N9" s="45" t="str">
        <f>_xlfn.IFNA(IF(VLOOKUP(tabPontoPed[[#This Row],[CÓDIGO]],Excluir_do_Estoque!$A$4:$A$4004,1,FALSE),"sim",""),"")</f>
        <v/>
      </c>
      <c r="O9" s="10" t="str">
        <f t="shared" si="0"/>
        <v>*</v>
      </c>
    </row>
    <row r="10" spans="1:15" x14ac:dyDescent="0.25">
      <c r="A10" s="2">
        <v>10547</v>
      </c>
      <c r="B10" s="4" t="s">
        <v>465</v>
      </c>
      <c r="C10" s="41" t="s">
        <v>1345</v>
      </c>
      <c r="D10" s="42">
        <v>45</v>
      </c>
      <c r="E10" s="43">
        <v>14</v>
      </c>
      <c r="F10" s="50" t="str">
        <f>VLOOKUP(tabPontoPed[[#This Row],[GRUPO]],tabGrupos[#Data],2,FALSE)</f>
        <v>MAQ., EQUIP., COMP., ACES., MAT. PARA ESCRIT.E ESCOLAR</v>
      </c>
      <c r="G10" s="42" t="str">
        <f>VLOOKUP(tabPontoPed[[#This Row],[GRUPO]],tabGrupos[#Data],3,FALSE)</f>
        <v>EDU</v>
      </c>
      <c r="H10" s="41" t="s">
        <v>1339</v>
      </c>
      <c r="I10" s="9">
        <v>4</v>
      </c>
      <c r="J10" s="51">
        <v>892</v>
      </c>
      <c r="K10" s="7">
        <f>tabPontoPed[[#This Row],[QTDMÊS]] * tabPontoPed[[#This Row],[MENSAL]]</f>
        <v>3568</v>
      </c>
      <c r="L10" s="13" t="s">
        <v>1012</v>
      </c>
      <c r="M10" s="44"/>
      <c r="N10" s="45" t="str">
        <f>_xlfn.IFNA(IF(VLOOKUP(tabPontoPed[[#This Row],[CÓDIGO]],Excluir_do_Estoque!$A$4:$A$4004,1,FALSE),"sim",""),"")</f>
        <v/>
      </c>
      <c r="O10" s="10" t="str">
        <f t="shared" si="0"/>
        <v>*</v>
      </c>
    </row>
    <row r="11" spans="1:15" x14ac:dyDescent="0.25">
      <c r="A11" s="2">
        <v>10719</v>
      </c>
      <c r="B11" s="4" t="s">
        <v>925</v>
      </c>
      <c r="C11" s="41" t="s">
        <v>1345</v>
      </c>
      <c r="D11" s="42">
        <v>71</v>
      </c>
      <c r="E11" s="43">
        <v>26</v>
      </c>
      <c r="F11" s="50" t="str">
        <f>VLOOKUP(tabPontoPed[[#This Row],[GRUPO]],tabGrupos[#Data],2,FALSE)</f>
        <v>GENEROS ALIMENTICIOS E BEBIDAS</v>
      </c>
      <c r="G11" s="42" t="str">
        <f>VLOOKUP(tabPontoPed[[#This Row],[GRUPO]],tabGrupos[#Data],3,FALSE)</f>
        <v>EDU</v>
      </c>
      <c r="H11" s="41" t="s">
        <v>1339</v>
      </c>
      <c r="I11" s="9">
        <v>4</v>
      </c>
      <c r="J11" s="51">
        <v>3246</v>
      </c>
      <c r="K11" s="7">
        <f>tabPontoPed[[#This Row],[QTDMÊS]] * tabPontoPed[[#This Row],[MENSAL]]</f>
        <v>12984</v>
      </c>
      <c r="L11" s="13" t="s">
        <v>1012</v>
      </c>
      <c r="M11" s="44"/>
      <c r="N11" s="45" t="str">
        <f>_xlfn.IFNA(IF(VLOOKUP(tabPontoPed[[#This Row],[CÓDIGO]],Excluir_do_Estoque!$A$4:$A$4004,1,FALSE),"sim",""),"")</f>
        <v/>
      </c>
      <c r="O11" s="10" t="str">
        <f t="shared" si="0"/>
        <v>*</v>
      </c>
    </row>
    <row r="12" spans="1:15" x14ac:dyDescent="0.25">
      <c r="A12" s="2">
        <v>10867</v>
      </c>
      <c r="B12" s="4" t="s">
        <v>335</v>
      </c>
      <c r="C12" s="41" t="s">
        <v>1345</v>
      </c>
      <c r="D12" s="42">
        <v>71</v>
      </c>
      <c r="E12" s="43">
        <v>20</v>
      </c>
      <c r="F12" s="50" t="str">
        <f>VLOOKUP(tabPontoPed[[#This Row],[GRUPO]],tabGrupos[#Data],2,FALSE)</f>
        <v>GENEROS ALIMENTICIOS E BEBIDAS</v>
      </c>
      <c r="G12" s="42" t="str">
        <f>VLOOKUP(tabPontoPed[[#This Row],[GRUPO]],tabGrupos[#Data],3,FALSE)</f>
        <v>EDU</v>
      </c>
      <c r="H12" s="41" t="s">
        <v>1339</v>
      </c>
      <c r="I12" s="9">
        <v>4</v>
      </c>
      <c r="J12" s="51">
        <v>2262</v>
      </c>
      <c r="K12" s="7">
        <f>tabPontoPed[[#This Row],[QTDMÊS]] * tabPontoPed[[#This Row],[MENSAL]]</f>
        <v>9048</v>
      </c>
      <c r="L12" s="13" t="s">
        <v>1012</v>
      </c>
      <c r="M12" s="44"/>
      <c r="N12" s="45" t="str">
        <f>_xlfn.IFNA(IF(VLOOKUP(tabPontoPed[[#This Row],[CÓDIGO]],Excluir_do_Estoque!$A$4:$A$4004,1,FALSE),"sim",""),"")</f>
        <v/>
      </c>
      <c r="O12" s="10" t="str">
        <f t="shared" si="0"/>
        <v>*</v>
      </c>
    </row>
    <row r="13" spans="1:15" x14ac:dyDescent="0.25">
      <c r="A13" s="2">
        <v>11072</v>
      </c>
      <c r="B13" s="4" t="s">
        <v>458</v>
      </c>
      <c r="C13" s="41" t="s">
        <v>1345</v>
      </c>
      <c r="D13" s="42">
        <v>45</v>
      </c>
      <c r="E13" s="43">
        <v>12</v>
      </c>
      <c r="F13" s="50" t="str">
        <f>VLOOKUP(tabPontoPed[[#This Row],[GRUPO]],tabGrupos[#Data],2,FALSE)</f>
        <v>MAQ., EQUIP., COMP., ACES., MAT. PARA ESCRIT.E ESCOLAR</v>
      </c>
      <c r="G13" s="42" t="str">
        <f>VLOOKUP(tabPontoPed[[#This Row],[GRUPO]],tabGrupos[#Data],3,FALSE)</f>
        <v>EDU</v>
      </c>
      <c r="H13" s="41" t="s">
        <v>1339</v>
      </c>
      <c r="I13" s="9">
        <v>4</v>
      </c>
      <c r="J13" s="51">
        <v>24</v>
      </c>
      <c r="K13" s="7">
        <f>tabPontoPed[[#This Row],[QTDMÊS]] * tabPontoPed[[#This Row],[MENSAL]]</f>
        <v>96</v>
      </c>
      <c r="L13" s="13" t="s">
        <v>1012</v>
      </c>
      <c r="M13" s="44"/>
      <c r="N13" s="45" t="str">
        <f>_xlfn.IFNA(IF(VLOOKUP(tabPontoPed[[#This Row],[CÓDIGO]],Excluir_do_Estoque!$A$4:$A$4004,1,FALSE),"sim",""),"")</f>
        <v/>
      </c>
      <c r="O13" s="10" t="str">
        <f t="shared" si="0"/>
        <v>*</v>
      </c>
    </row>
    <row r="14" spans="1:15" x14ac:dyDescent="0.25">
      <c r="A14" s="2">
        <v>11109</v>
      </c>
      <c r="B14" s="4" t="s">
        <v>459</v>
      </c>
      <c r="C14" s="41" t="s">
        <v>1345</v>
      </c>
      <c r="D14" s="42">
        <v>45</v>
      </c>
      <c r="E14" s="43">
        <v>12</v>
      </c>
      <c r="F14" s="50" t="str">
        <f>VLOOKUP(tabPontoPed[[#This Row],[GRUPO]],tabGrupos[#Data],2,FALSE)</f>
        <v>MAQ., EQUIP., COMP., ACES., MAT. PARA ESCRIT.E ESCOLAR</v>
      </c>
      <c r="G14" s="42" t="str">
        <f>VLOOKUP(tabPontoPed[[#This Row],[GRUPO]],tabGrupos[#Data],3,FALSE)</f>
        <v>EDU</v>
      </c>
      <c r="H14" s="41" t="s">
        <v>1339</v>
      </c>
      <c r="I14" s="9">
        <v>4</v>
      </c>
      <c r="J14" s="51">
        <v>350</v>
      </c>
      <c r="K14" s="7">
        <f>tabPontoPed[[#This Row],[QTDMÊS]] * tabPontoPed[[#This Row],[MENSAL]]</f>
        <v>1400</v>
      </c>
      <c r="L14" s="13" t="s">
        <v>1012</v>
      </c>
      <c r="M14" s="44"/>
      <c r="N14" s="45" t="str">
        <f>_xlfn.IFNA(IF(VLOOKUP(tabPontoPed[[#This Row],[CÓDIGO]],Excluir_do_Estoque!$A$4:$A$4004,1,FALSE),"sim",""),"")</f>
        <v/>
      </c>
      <c r="O14" s="10" t="str">
        <f t="shared" si="0"/>
        <v>*</v>
      </c>
    </row>
    <row r="15" spans="1:15" x14ac:dyDescent="0.25">
      <c r="A15" s="2">
        <v>11116</v>
      </c>
      <c r="B15" s="4" t="s">
        <v>460</v>
      </c>
      <c r="C15" s="41" t="s">
        <v>1345</v>
      </c>
      <c r="D15" s="42">
        <v>45</v>
      </c>
      <c r="E15" s="43">
        <v>12</v>
      </c>
      <c r="F15" s="50" t="str">
        <f>VLOOKUP(tabPontoPed[[#This Row],[GRUPO]],tabGrupos[#Data],2,FALSE)</f>
        <v>MAQ., EQUIP., COMP., ACES., MAT. PARA ESCRIT.E ESCOLAR</v>
      </c>
      <c r="G15" s="42" t="str">
        <f>VLOOKUP(tabPontoPed[[#This Row],[GRUPO]],tabGrupos[#Data],3,FALSE)</f>
        <v>EDU</v>
      </c>
      <c r="H15" s="41" t="s">
        <v>1339</v>
      </c>
      <c r="I15" s="9">
        <v>4</v>
      </c>
      <c r="J15" s="51">
        <v>53</v>
      </c>
      <c r="K15" s="7">
        <f>tabPontoPed[[#This Row],[QTDMÊS]] * tabPontoPed[[#This Row],[MENSAL]]</f>
        <v>212</v>
      </c>
      <c r="L15" s="13" t="s">
        <v>1012</v>
      </c>
      <c r="M15" s="44"/>
      <c r="N15" s="45" t="str">
        <f>_xlfn.IFNA(IF(VLOOKUP(tabPontoPed[[#This Row],[CÓDIGO]],Excluir_do_Estoque!$A$4:$A$4004,1,FALSE),"sim",""),"")</f>
        <v/>
      </c>
      <c r="O15" s="10" t="str">
        <f t="shared" si="0"/>
        <v>*</v>
      </c>
    </row>
    <row r="16" spans="1:15" x14ac:dyDescent="0.25">
      <c r="A16" s="2">
        <v>11264</v>
      </c>
      <c r="B16" s="4" t="s">
        <v>461</v>
      </c>
      <c r="C16" s="41" t="s">
        <v>1345</v>
      </c>
      <c r="D16" s="42">
        <v>45</v>
      </c>
      <c r="E16" s="43">
        <v>12</v>
      </c>
      <c r="F16" s="50" t="str">
        <f>VLOOKUP(tabPontoPed[[#This Row],[GRUPO]],tabGrupos[#Data],2,FALSE)</f>
        <v>MAQ., EQUIP., COMP., ACES., MAT. PARA ESCRIT.E ESCOLAR</v>
      </c>
      <c r="G16" s="42" t="str">
        <f>VLOOKUP(tabPontoPed[[#This Row],[GRUPO]],tabGrupos[#Data],3,FALSE)</f>
        <v>EDU</v>
      </c>
      <c r="H16" s="41" t="s">
        <v>1339</v>
      </c>
      <c r="I16" s="9">
        <v>4</v>
      </c>
      <c r="J16" s="51">
        <v>42</v>
      </c>
      <c r="K16" s="7">
        <f>tabPontoPed[[#This Row],[QTDMÊS]] * tabPontoPed[[#This Row],[MENSAL]]</f>
        <v>168</v>
      </c>
      <c r="L16" s="13" t="s">
        <v>1012</v>
      </c>
      <c r="M16" s="44"/>
      <c r="N16" s="45" t="str">
        <f>_xlfn.IFNA(IF(VLOOKUP(tabPontoPed[[#This Row],[CÓDIGO]],Excluir_do_Estoque!$A$4:$A$4004,1,FALSE),"sim",""),"")</f>
        <v/>
      </c>
      <c r="O16" s="10" t="str">
        <f t="shared" si="0"/>
        <v>*</v>
      </c>
    </row>
    <row r="17" spans="1:15" x14ac:dyDescent="0.25">
      <c r="A17" s="2">
        <v>11287</v>
      </c>
      <c r="B17" s="4" t="s">
        <v>41</v>
      </c>
      <c r="C17" s="41" t="s">
        <v>1345</v>
      </c>
      <c r="D17" s="42">
        <v>45</v>
      </c>
      <c r="E17" s="43">
        <v>12</v>
      </c>
      <c r="F17" s="50" t="str">
        <f>VLOOKUP(tabPontoPed[[#This Row],[GRUPO]],tabGrupos[#Data],2,FALSE)</f>
        <v>MAQ., EQUIP., COMP., ACES., MAT. PARA ESCRIT.E ESCOLAR</v>
      </c>
      <c r="G17" s="42" t="str">
        <f>VLOOKUP(tabPontoPed[[#This Row],[GRUPO]],tabGrupos[#Data],3,FALSE)</f>
        <v>EDU</v>
      </c>
      <c r="H17" s="41" t="s">
        <v>1339</v>
      </c>
      <c r="I17" s="9">
        <v>4</v>
      </c>
      <c r="J17" s="51">
        <v>48</v>
      </c>
      <c r="K17" s="7">
        <f>tabPontoPed[[#This Row],[QTDMÊS]] * tabPontoPed[[#This Row],[MENSAL]]</f>
        <v>192</v>
      </c>
      <c r="L17" s="13" t="s">
        <v>1012</v>
      </c>
      <c r="M17" s="44"/>
      <c r="N17" s="45" t="str">
        <f>_xlfn.IFNA(IF(VLOOKUP(tabPontoPed[[#This Row],[CÓDIGO]],Excluir_do_Estoque!$A$4:$A$4004,1,FALSE),"sim",""),"")</f>
        <v/>
      </c>
      <c r="O17" s="10" t="str">
        <f t="shared" si="0"/>
        <v>*</v>
      </c>
    </row>
    <row r="18" spans="1:15" x14ac:dyDescent="0.25">
      <c r="A18" s="2">
        <v>11418</v>
      </c>
      <c r="B18" s="4" t="s">
        <v>425</v>
      </c>
      <c r="C18" s="41" t="s">
        <v>1345</v>
      </c>
      <c r="D18" s="42">
        <v>45</v>
      </c>
      <c r="E18" s="43">
        <v>10</v>
      </c>
      <c r="F18" s="50" t="str">
        <f>VLOOKUP(tabPontoPed[[#This Row],[GRUPO]],tabGrupos[#Data],2,FALSE)</f>
        <v>MAQ., EQUIP., COMP., ACES., MAT. PARA ESCRIT.E ESCOLAR</v>
      </c>
      <c r="G18" s="42" t="str">
        <f>VLOOKUP(tabPontoPed[[#This Row],[GRUPO]],tabGrupos[#Data],3,FALSE)</f>
        <v>EDU</v>
      </c>
      <c r="H18" s="41" t="s">
        <v>1339</v>
      </c>
      <c r="I18" s="9">
        <v>4</v>
      </c>
      <c r="J18" s="51">
        <v>364</v>
      </c>
      <c r="K18" s="7">
        <f>tabPontoPed[[#This Row],[QTDMÊS]] * tabPontoPed[[#This Row],[MENSAL]]</f>
        <v>1456</v>
      </c>
      <c r="L18" s="13" t="s">
        <v>1012</v>
      </c>
      <c r="M18" s="44"/>
      <c r="N18" s="45" t="str">
        <f>_xlfn.IFNA(IF(VLOOKUP(tabPontoPed[[#This Row],[CÓDIGO]],Excluir_do_Estoque!$A$4:$A$4004,1,FALSE),"sim",""),"")</f>
        <v/>
      </c>
      <c r="O18" s="10" t="str">
        <f t="shared" si="0"/>
        <v>*</v>
      </c>
    </row>
    <row r="19" spans="1:15" x14ac:dyDescent="0.25">
      <c r="A19" s="2">
        <v>11448</v>
      </c>
      <c r="B19" s="4" t="s">
        <v>39</v>
      </c>
      <c r="C19" s="41" t="s">
        <v>1345</v>
      </c>
      <c r="D19" s="42">
        <v>45</v>
      </c>
      <c r="E19" s="43">
        <v>9</v>
      </c>
      <c r="F19" s="50" t="str">
        <f>VLOOKUP(tabPontoPed[[#This Row],[GRUPO]],tabGrupos[#Data],2,FALSE)</f>
        <v>MAQ., EQUIP., COMP., ACES., MAT. PARA ESCRIT.E ESCOLAR</v>
      </c>
      <c r="G19" s="42" t="str">
        <f>VLOOKUP(tabPontoPed[[#This Row],[GRUPO]],tabGrupos[#Data],3,FALSE)</f>
        <v>EDU</v>
      </c>
      <c r="H19" s="41" t="s">
        <v>1339</v>
      </c>
      <c r="I19" s="9">
        <v>4</v>
      </c>
      <c r="J19" s="51">
        <v>81</v>
      </c>
      <c r="K19" s="7">
        <f>tabPontoPed[[#This Row],[QTDMÊS]] * tabPontoPed[[#This Row],[MENSAL]]</f>
        <v>324</v>
      </c>
      <c r="L19" s="13" t="s">
        <v>1012</v>
      </c>
      <c r="M19" s="44"/>
      <c r="N19" s="45" t="str">
        <f>_xlfn.IFNA(IF(VLOOKUP(tabPontoPed[[#This Row],[CÓDIGO]],Excluir_do_Estoque!$A$4:$A$4004,1,FALSE),"sim",""),"")</f>
        <v/>
      </c>
      <c r="O19" s="10" t="str">
        <f t="shared" si="0"/>
        <v>*</v>
      </c>
    </row>
    <row r="20" spans="1:15" x14ac:dyDescent="0.25">
      <c r="A20" s="2">
        <v>11509</v>
      </c>
      <c r="B20" s="4" t="s">
        <v>426</v>
      </c>
      <c r="C20" s="41" t="s">
        <v>1345</v>
      </c>
      <c r="D20" s="42">
        <v>45</v>
      </c>
      <c r="E20" s="43">
        <v>10</v>
      </c>
      <c r="F20" s="50" t="str">
        <f>VLOOKUP(tabPontoPed[[#This Row],[GRUPO]],tabGrupos[#Data],2,FALSE)</f>
        <v>MAQ., EQUIP., COMP., ACES., MAT. PARA ESCRIT.E ESCOLAR</v>
      </c>
      <c r="G20" s="42" t="str">
        <f>VLOOKUP(tabPontoPed[[#This Row],[GRUPO]],tabGrupos[#Data],3,FALSE)</f>
        <v>EDU</v>
      </c>
      <c r="H20" s="41" t="s">
        <v>1339</v>
      </c>
      <c r="I20" s="9">
        <v>4</v>
      </c>
      <c r="J20" s="51">
        <v>343</v>
      </c>
      <c r="K20" s="7">
        <f>tabPontoPed[[#This Row],[QTDMÊS]] * tabPontoPed[[#This Row],[MENSAL]]</f>
        <v>1372</v>
      </c>
      <c r="L20" s="13" t="s">
        <v>1012</v>
      </c>
      <c r="M20" s="44"/>
      <c r="N20" s="45" t="str">
        <f>_xlfn.IFNA(IF(VLOOKUP(tabPontoPed[[#This Row],[CÓDIGO]],Excluir_do_Estoque!$A$4:$A$4004,1,FALSE),"sim",""),"")</f>
        <v/>
      </c>
      <c r="O20" s="10" t="str">
        <f t="shared" si="0"/>
        <v>*</v>
      </c>
    </row>
    <row r="21" spans="1:15" x14ac:dyDescent="0.25">
      <c r="A21" s="2">
        <v>11590</v>
      </c>
      <c r="B21" s="4" t="s">
        <v>427</v>
      </c>
      <c r="C21" s="41" t="s">
        <v>1345</v>
      </c>
      <c r="D21" s="42">
        <v>45</v>
      </c>
      <c r="E21" s="43">
        <v>10</v>
      </c>
      <c r="F21" s="50" t="str">
        <f>VLOOKUP(tabPontoPed[[#This Row],[GRUPO]],tabGrupos[#Data],2,FALSE)</f>
        <v>MAQ., EQUIP., COMP., ACES., MAT. PARA ESCRIT.E ESCOLAR</v>
      </c>
      <c r="G21" s="42" t="str">
        <f>VLOOKUP(tabPontoPed[[#This Row],[GRUPO]],tabGrupos[#Data],3,FALSE)</f>
        <v>EDU</v>
      </c>
      <c r="H21" s="41" t="s">
        <v>1339</v>
      </c>
      <c r="I21" s="9">
        <v>4</v>
      </c>
      <c r="J21" s="51">
        <v>215</v>
      </c>
      <c r="K21" s="7">
        <f>tabPontoPed[[#This Row],[QTDMÊS]] * tabPontoPed[[#This Row],[MENSAL]]</f>
        <v>860</v>
      </c>
      <c r="L21" s="13" t="s">
        <v>1012</v>
      </c>
      <c r="M21" s="44"/>
      <c r="N21" s="45" t="str">
        <f>_xlfn.IFNA(IF(VLOOKUP(tabPontoPed[[#This Row],[CÓDIGO]],Excluir_do_Estoque!$A$4:$A$4004,1,FALSE),"sim",""),"")</f>
        <v/>
      </c>
      <c r="O21" s="10" t="str">
        <f t="shared" si="0"/>
        <v>*</v>
      </c>
    </row>
    <row r="22" spans="1:15" x14ac:dyDescent="0.25">
      <c r="A22" s="2">
        <v>11857</v>
      </c>
      <c r="B22" s="4" t="s">
        <v>436</v>
      </c>
      <c r="C22" s="41" t="s">
        <v>1345</v>
      </c>
      <c r="D22" s="42">
        <v>45</v>
      </c>
      <c r="E22" s="43">
        <v>11</v>
      </c>
      <c r="F22" s="50" t="str">
        <f>VLOOKUP(tabPontoPed[[#This Row],[GRUPO]],tabGrupos[#Data],2,FALSE)</f>
        <v>MAQ., EQUIP., COMP., ACES., MAT. PARA ESCRIT.E ESCOLAR</v>
      </c>
      <c r="G22" s="42" t="str">
        <f>VLOOKUP(tabPontoPed[[#This Row],[GRUPO]],tabGrupos[#Data],3,FALSE)</f>
        <v>EDU</v>
      </c>
      <c r="H22" s="41" t="s">
        <v>1339</v>
      </c>
      <c r="I22" s="9">
        <v>4</v>
      </c>
      <c r="J22" s="51">
        <v>2288</v>
      </c>
      <c r="K22" s="7">
        <f>tabPontoPed[[#This Row],[QTDMÊS]] * tabPontoPed[[#This Row],[MENSAL]]</f>
        <v>9152</v>
      </c>
      <c r="L22" s="13" t="s">
        <v>1012</v>
      </c>
      <c r="M22" s="44"/>
      <c r="N22" s="45" t="str">
        <f>_xlfn.IFNA(IF(VLOOKUP(tabPontoPed[[#This Row],[CÓDIGO]],Excluir_do_Estoque!$A$4:$A$4004,1,FALSE),"sim",""),"")</f>
        <v/>
      </c>
      <c r="O22" s="10" t="str">
        <f t="shared" si="0"/>
        <v>*</v>
      </c>
    </row>
    <row r="23" spans="1:15" x14ac:dyDescent="0.25">
      <c r="A23" s="2">
        <v>12018</v>
      </c>
      <c r="B23" s="4" t="s">
        <v>438</v>
      </c>
      <c r="C23" s="41" t="s">
        <v>1345</v>
      </c>
      <c r="D23" s="42">
        <v>45</v>
      </c>
      <c r="E23" s="43">
        <v>11</v>
      </c>
      <c r="F23" s="50" t="str">
        <f>VLOOKUP(tabPontoPed[[#This Row],[GRUPO]],tabGrupos[#Data],2,FALSE)</f>
        <v>MAQ., EQUIP., COMP., ACES., MAT. PARA ESCRIT.E ESCOLAR</v>
      </c>
      <c r="G23" s="42" t="str">
        <f>VLOOKUP(tabPontoPed[[#This Row],[GRUPO]],tabGrupos[#Data],3,FALSE)</f>
        <v>EDU</v>
      </c>
      <c r="H23" s="41" t="s">
        <v>1339</v>
      </c>
      <c r="I23" s="9">
        <v>4</v>
      </c>
      <c r="J23" s="51">
        <v>23</v>
      </c>
      <c r="K23" s="7">
        <f>tabPontoPed[[#This Row],[QTDMÊS]] * tabPontoPed[[#This Row],[MENSAL]]</f>
        <v>92</v>
      </c>
      <c r="L23" s="13" t="s">
        <v>1012</v>
      </c>
      <c r="M23" s="44"/>
      <c r="N23" s="45" t="str">
        <f>_xlfn.IFNA(IF(VLOOKUP(tabPontoPed[[#This Row],[CÓDIGO]],Excluir_do_Estoque!$A$4:$A$4004,1,FALSE),"sim",""),"")</f>
        <v/>
      </c>
      <c r="O23" s="10" t="str">
        <f t="shared" si="0"/>
        <v>*</v>
      </c>
    </row>
    <row r="24" spans="1:15" x14ac:dyDescent="0.25">
      <c r="A24" s="2">
        <v>12613</v>
      </c>
      <c r="B24" s="4" t="s">
        <v>439</v>
      </c>
      <c r="C24" s="41" t="s">
        <v>1345</v>
      </c>
      <c r="D24" s="42">
        <v>45</v>
      </c>
      <c r="E24" s="43">
        <v>11</v>
      </c>
      <c r="F24" s="50" t="str">
        <f>VLOOKUP(tabPontoPed[[#This Row],[GRUPO]],tabGrupos[#Data],2,FALSE)</f>
        <v>MAQ., EQUIP., COMP., ACES., MAT. PARA ESCRIT.E ESCOLAR</v>
      </c>
      <c r="G24" s="42" t="str">
        <f>VLOOKUP(tabPontoPed[[#This Row],[GRUPO]],tabGrupos[#Data],3,FALSE)</f>
        <v>EDU</v>
      </c>
      <c r="H24" s="41" t="s">
        <v>1339</v>
      </c>
      <c r="I24" s="9">
        <v>4</v>
      </c>
      <c r="J24" s="51">
        <v>3439</v>
      </c>
      <c r="K24" s="7">
        <f>tabPontoPed[[#This Row],[QTDMÊS]] * tabPontoPed[[#This Row],[MENSAL]]</f>
        <v>13756</v>
      </c>
      <c r="L24" s="13" t="s">
        <v>1012</v>
      </c>
      <c r="M24" s="44"/>
      <c r="N24" s="45" t="str">
        <f>_xlfn.IFNA(IF(VLOOKUP(tabPontoPed[[#This Row],[CÓDIGO]],Excluir_do_Estoque!$A$4:$A$4004,1,FALSE),"sim",""),"")</f>
        <v/>
      </c>
      <c r="O24" s="10" t="str">
        <f t="shared" si="0"/>
        <v>*</v>
      </c>
    </row>
    <row r="25" spans="1:15" x14ac:dyDescent="0.25">
      <c r="A25" s="2">
        <v>12614</v>
      </c>
      <c r="B25" s="4" t="s">
        <v>440</v>
      </c>
      <c r="C25" s="41" t="s">
        <v>1345</v>
      </c>
      <c r="D25" s="42">
        <v>45</v>
      </c>
      <c r="E25" s="43">
        <v>11</v>
      </c>
      <c r="F25" s="50" t="str">
        <f>VLOOKUP(tabPontoPed[[#This Row],[GRUPO]],tabGrupos[#Data],2,FALSE)</f>
        <v>MAQ., EQUIP., COMP., ACES., MAT. PARA ESCRIT.E ESCOLAR</v>
      </c>
      <c r="G25" s="42" t="str">
        <f>VLOOKUP(tabPontoPed[[#This Row],[GRUPO]],tabGrupos[#Data],3,FALSE)</f>
        <v>EDU</v>
      </c>
      <c r="H25" s="41" t="s">
        <v>1339</v>
      </c>
      <c r="I25" s="9">
        <v>4</v>
      </c>
      <c r="J25" s="51">
        <v>2882</v>
      </c>
      <c r="K25" s="7">
        <f>tabPontoPed[[#This Row],[QTDMÊS]] * tabPontoPed[[#This Row],[MENSAL]]</f>
        <v>11528</v>
      </c>
      <c r="L25" s="13" t="s">
        <v>1012</v>
      </c>
      <c r="M25" s="44"/>
      <c r="N25" s="45" t="str">
        <f>_xlfn.IFNA(IF(VLOOKUP(tabPontoPed[[#This Row],[CÓDIGO]],Excluir_do_Estoque!$A$4:$A$4004,1,FALSE),"sim",""),"")</f>
        <v/>
      </c>
      <c r="O25" s="10" t="str">
        <f t="shared" si="0"/>
        <v>*</v>
      </c>
    </row>
    <row r="26" spans="1:15" x14ac:dyDescent="0.25">
      <c r="A26" s="2">
        <v>12615</v>
      </c>
      <c r="B26" s="4" t="s">
        <v>382</v>
      </c>
      <c r="C26" s="41" t="s">
        <v>1345</v>
      </c>
      <c r="D26" s="42">
        <v>72</v>
      </c>
      <c r="E26" s="43">
        <v>9</v>
      </c>
      <c r="F26" s="50" t="str">
        <f>VLOOKUP(tabPontoPed[[#This Row],[GRUPO]],tabGrupos[#Data],2,FALSE)</f>
        <v>MAQ.EQUIP.E MATERIAIS P/ HIGIEN.LIMP.POLIM.E LUBR.</v>
      </c>
      <c r="G26" s="42" t="str">
        <f>VLOOKUP(tabPontoPed[[#This Row],[GRUPO]],tabGrupos[#Data],3,FALSE)</f>
        <v>ADM</v>
      </c>
      <c r="H26" s="41" t="s">
        <v>1339</v>
      </c>
      <c r="I26" s="9">
        <v>4</v>
      </c>
      <c r="J26" s="51">
        <v>213</v>
      </c>
      <c r="K26" s="7">
        <f>tabPontoPed[[#This Row],[QTDMÊS]] * tabPontoPed[[#This Row],[MENSAL]]</f>
        <v>852</v>
      </c>
      <c r="L26" s="13" t="s">
        <v>1012</v>
      </c>
      <c r="M26" s="44"/>
      <c r="N26" s="45" t="str">
        <f>_xlfn.IFNA(IF(VLOOKUP(tabPontoPed[[#This Row],[CÓDIGO]],Excluir_do_Estoque!$A$4:$A$4004,1,FALSE),"sim",""),"")</f>
        <v/>
      </c>
      <c r="O26" s="10" t="str">
        <f t="shared" si="0"/>
        <v>*</v>
      </c>
    </row>
    <row r="27" spans="1:15" x14ac:dyDescent="0.25">
      <c r="A27" s="2">
        <v>12616</v>
      </c>
      <c r="B27" s="4" t="s">
        <v>270</v>
      </c>
      <c r="C27" s="41" t="s">
        <v>1345</v>
      </c>
      <c r="D27" s="42">
        <v>57</v>
      </c>
      <c r="E27" s="43">
        <v>19</v>
      </c>
      <c r="F27" s="50" t="str">
        <f>VLOOKUP(tabPontoPed[[#This Row],[GRUPO]],tabGrupos[#Data],2,FALSE)</f>
        <v>MAQ. E EQUIP. P/ IND. GRAFICA COMP. ACESS. E PAPEI</v>
      </c>
      <c r="G27" s="42" t="str">
        <f>VLOOKUP(tabPontoPed[[#This Row],[GRUPO]],tabGrupos[#Data],3,FALSE)</f>
        <v>EDU</v>
      </c>
      <c r="H27" s="41" t="s">
        <v>1339</v>
      </c>
      <c r="I27" s="9">
        <v>4</v>
      </c>
      <c r="J27" s="51">
        <v>3919</v>
      </c>
      <c r="K27" s="7">
        <f>tabPontoPed[[#This Row],[QTDMÊS]] * tabPontoPed[[#This Row],[MENSAL]]</f>
        <v>15676</v>
      </c>
      <c r="L27" s="13" t="s">
        <v>1012</v>
      </c>
      <c r="M27" s="44"/>
      <c r="N27" s="45" t="str">
        <f>_xlfn.IFNA(IF(VLOOKUP(tabPontoPed[[#This Row],[CÓDIGO]],Excluir_do_Estoque!$A$4:$A$4004,1,FALSE),"sim",""),"")</f>
        <v/>
      </c>
      <c r="O27" s="10" t="str">
        <f t="shared" si="0"/>
        <v>*</v>
      </c>
    </row>
    <row r="28" spans="1:15" x14ac:dyDescent="0.25">
      <c r="A28" s="2">
        <v>12623</v>
      </c>
      <c r="B28" s="4" t="s">
        <v>86</v>
      </c>
      <c r="C28" s="41" t="s">
        <v>1345</v>
      </c>
      <c r="D28" s="42">
        <v>57</v>
      </c>
      <c r="E28" s="43">
        <v>16</v>
      </c>
      <c r="F28" s="50" t="str">
        <f>VLOOKUP(tabPontoPed[[#This Row],[GRUPO]],tabGrupos[#Data],2,FALSE)</f>
        <v>MAQ. E EQUIP. P/ IND. GRAFICA COMP. ACESS. E PAPEI</v>
      </c>
      <c r="G28" s="42" t="str">
        <f>VLOOKUP(tabPontoPed[[#This Row],[GRUPO]],tabGrupos[#Data],3,FALSE)</f>
        <v>EDU</v>
      </c>
      <c r="H28" s="41" t="s">
        <v>1339</v>
      </c>
      <c r="I28" s="9">
        <v>4</v>
      </c>
      <c r="J28" s="51">
        <v>1321</v>
      </c>
      <c r="K28" s="7">
        <f>tabPontoPed[[#This Row],[QTDMÊS]] * tabPontoPed[[#This Row],[MENSAL]]</f>
        <v>5284</v>
      </c>
      <c r="L28" s="13" t="s">
        <v>1012</v>
      </c>
      <c r="M28" s="44"/>
      <c r="N28" s="45" t="str">
        <f>_xlfn.IFNA(IF(VLOOKUP(tabPontoPed[[#This Row],[CÓDIGO]],Excluir_do_Estoque!$A$4:$A$4004,1,FALSE),"sim",""),"")</f>
        <v/>
      </c>
      <c r="O28" s="10" t="str">
        <f t="shared" si="0"/>
        <v>*</v>
      </c>
    </row>
    <row r="29" spans="1:15" x14ac:dyDescent="0.25">
      <c r="A29" s="2">
        <v>12635</v>
      </c>
      <c r="B29" s="4" t="s">
        <v>87</v>
      </c>
      <c r="C29" s="41" t="s">
        <v>1345</v>
      </c>
      <c r="D29" s="42">
        <v>57</v>
      </c>
      <c r="E29" s="43">
        <v>16</v>
      </c>
      <c r="F29" s="50" t="str">
        <f>VLOOKUP(tabPontoPed[[#This Row],[GRUPO]],tabGrupos[#Data],2,FALSE)</f>
        <v>MAQ. E EQUIP. P/ IND. GRAFICA COMP. ACESS. E PAPEI</v>
      </c>
      <c r="G29" s="42" t="str">
        <f>VLOOKUP(tabPontoPed[[#This Row],[GRUPO]],tabGrupos[#Data],3,FALSE)</f>
        <v>EDU</v>
      </c>
      <c r="H29" s="41" t="s">
        <v>1339</v>
      </c>
      <c r="I29" s="9">
        <v>4</v>
      </c>
      <c r="J29" s="51">
        <v>1374</v>
      </c>
      <c r="K29" s="7">
        <f>tabPontoPed[[#This Row],[QTDMÊS]] * tabPontoPed[[#This Row],[MENSAL]]</f>
        <v>5496</v>
      </c>
      <c r="L29" s="13" t="s">
        <v>1012</v>
      </c>
      <c r="M29" s="44"/>
      <c r="N29" s="45" t="str">
        <f>_xlfn.IFNA(IF(VLOOKUP(tabPontoPed[[#This Row],[CÓDIGO]],Excluir_do_Estoque!$A$4:$A$4004,1,FALSE),"sim",""),"")</f>
        <v/>
      </c>
      <c r="O29" s="10" t="str">
        <f t="shared" si="0"/>
        <v>*</v>
      </c>
    </row>
    <row r="30" spans="1:15" x14ac:dyDescent="0.25">
      <c r="A30" s="2">
        <v>12652</v>
      </c>
      <c r="B30" s="4" t="s">
        <v>210</v>
      </c>
      <c r="C30" s="41" t="s">
        <v>1345</v>
      </c>
      <c r="D30" s="42">
        <v>52</v>
      </c>
      <c r="E30" s="43">
        <v>6</v>
      </c>
      <c r="F30" s="50" t="str">
        <f>VLOOKUP(tabPontoPed[[#This Row],[GRUPO]],tabGrupos[#Data],2,FALSE)</f>
        <v>EQUIP.E MAT. P/REFEITORIO, COPA E COZINHA</v>
      </c>
      <c r="G30" s="42" t="str">
        <f>VLOOKUP(tabPontoPed[[#This Row],[GRUPO]],tabGrupos[#Data],3,FALSE)</f>
        <v>ADM</v>
      </c>
      <c r="H30" s="41" t="s">
        <v>1339</v>
      </c>
      <c r="I30" s="9">
        <v>4</v>
      </c>
      <c r="J30" s="51">
        <v>824</v>
      </c>
      <c r="K30" s="7">
        <f>tabPontoPed[[#This Row],[QTDMÊS]] * tabPontoPed[[#This Row],[MENSAL]]</f>
        <v>3296</v>
      </c>
      <c r="L30" s="13" t="s">
        <v>1012</v>
      </c>
      <c r="M30" s="44"/>
      <c r="N30" s="45" t="str">
        <f>_xlfn.IFNA(IF(VLOOKUP(tabPontoPed[[#This Row],[CÓDIGO]],Excluir_do_Estoque!$A$4:$A$4004,1,FALSE),"sim",""),"")</f>
        <v/>
      </c>
      <c r="O30" s="10" t="str">
        <f t="shared" si="0"/>
        <v>*</v>
      </c>
    </row>
    <row r="31" spans="1:15" x14ac:dyDescent="0.25">
      <c r="A31" s="2">
        <v>12654</v>
      </c>
      <c r="B31" s="4" t="s">
        <v>211</v>
      </c>
      <c r="C31" s="41" t="s">
        <v>1345</v>
      </c>
      <c r="D31" s="42">
        <v>52</v>
      </c>
      <c r="E31" s="43">
        <v>6</v>
      </c>
      <c r="F31" s="50" t="str">
        <f>VLOOKUP(tabPontoPed[[#This Row],[GRUPO]],tabGrupos[#Data],2,FALSE)</f>
        <v>EQUIP.E MAT. P/REFEITORIO, COPA E COZINHA</v>
      </c>
      <c r="G31" s="42" t="str">
        <f>VLOOKUP(tabPontoPed[[#This Row],[GRUPO]],tabGrupos[#Data],3,FALSE)</f>
        <v>ADM</v>
      </c>
      <c r="H31" s="41" t="s">
        <v>1339</v>
      </c>
      <c r="I31" s="9">
        <v>4</v>
      </c>
      <c r="J31" s="51">
        <v>6717</v>
      </c>
      <c r="K31" s="7">
        <f>tabPontoPed[[#This Row],[QTDMÊS]] * tabPontoPed[[#This Row],[MENSAL]]</f>
        <v>26868</v>
      </c>
      <c r="L31" s="13" t="s">
        <v>1012</v>
      </c>
      <c r="M31" s="44"/>
      <c r="N31" s="45" t="str">
        <f>_xlfn.IFNA(IF(VLOOKUP(tabPontoPed[[#This Row],[CÓDIGO]],Excluir_do_Estoque!$A$4:$A$4004,1,FALSE),"sim",""),"")</f>
        <v/>
      </c>
      <c r="O31" s="10" t="str">
        <f t="shared" si="0"/>
        <v>*</v>
      </c>
    </row>
    <row r="32" spans="1:15" x14ac:dyDescent="0.25">
      <c r="A32" s="2">
        <v>12657</v>
      </c>
      <c r="B32" s="4" t="s">
        <v>199</v>
      </c>
      <c r="C32" s="41" t="s">
        <v>1345</v>
      </c>
      <c r="D32" s="42">
        <v>81</v>
      </c>
      <c r="E32" s="43">
        <v>9</v>
      </c>
      <c r="F32" s="50" t="str">
        <f>VLOOKUP(tabPontoPed[[#This Row],[GRUPO]],tabGrupos[#Data],2,FALSE)</f>
        <v>ARMAS COMP.EXPLOSIVOS MUNICOES COMP.ACESSORIOS</v>
      </c>
      <c r="G32" s="42" t="str">
        <f>VLOOKUP(tabPontoPed[[#This Row],[GRUPO]],tabGrupos[#Data],3,FALSE)</f>
        <v>OUT</v>
      </c>
      <c r="H32" s="41" t="s">
        <v>1339</v>
      </c>
      <c r="I32" s="9">
        <v>4</v>
      </c>
      <c r="J32" s="51">
        <v>40</v>
      </c>
      <c r="K32" s="7">
        <f>tabPontoPed[[#This Row],[QTDMÊS]] * tabPontoPed[[#This Row],[MENSAL]]</f>
        <v>160</v>
      </c>
      <c r="L32" s="13" t="s">
        <v>1012</v>
      </c>
      <c r="M32" s="44"/>
      <c r="N32" s="45" t="str">
        <f>_xlfn.IFNA(IF(VLOOKUP(tabPontoPed[[#This Row],[CÓDIGO]],Excluir_do_Estoque!$A$4:$A$4004,1,FALSE),"sim",""),"")</f>
        <v>sim</v>
      </c>
      <c r="O32" s="10" t="str">
        <f t="shared" si="0"/>
        <v>*</v>
      </c>
    </row>
    <row r="33" spans="1:15" x14ac:dyDescent="0.25">
      <c r="A33" s="2">
        <v>12659</v>
      </c>
      <c r="B33" s="4" t="s">
        <v>213</v>
      </c>
      <c r="C33" s="41" t="s">
        <v>1345</v>
      </c>
      <c r="D33" s="42">
        <v>72</v>
      </c>
      <c r="E33" s="43">
        <v>7</v>
      </c>
      <c r="F33" s="50" t="str">
        <f>VLOOKUP(tabPontoPed[[#This Row],[GRUPO]],tabGrupos[#Data],2,FALSE)</f>
        <v>MAQ.EQUIP.E MATERIAIS P/ HIGIEN.LIMP.POLIM.E LUBR.</v>
      </c>
      <c r="G33" s="42" t="str">
        <f>VLOOKUP(tabPontoPed[[#This Row],[GRUPO]],tabGrupos[#Data],3,FALSE)</f>
        <v>ADM</v>
      </c>
      <c r="H33" s="41" t="s">
        <v>1339</v>
      </c>
      <c r="I33" s="9">
        <v>4</v>
      </c>
      <c r="J33" s="51">
        <v>162</v>
      </c>
      <c r="K33" s="7">
        <f>tabPontoPed[[#This Row],[QTDMÊS]] * tabPontoPed[[#This Row],[MENSAL]]</f>
        <v>648</v>
      </c>
      <c r="L33" s="13" t="s">
        <v>1012</v>
      </c>
      <c r="M33" s="44"/>
      <c r="N33" s="45" t="str">
        <f>_xlfn.IFNA(IF(VLOOKUP(tabPontoPed[[#This Row],[CÓDIGO]],Excluir_do_Estoque!$A$4:$A$4004,1,FALSE),"sim",""),"")</f>
        <v/>
      </c>
      <c r="O33" s="10" t="str">
        <f t="shared" si="0"/>
        <v>*</v>
      </c>
    </row>
    <row r="34" spans="1:15" x14ac:dyDescent="0.25">
      <c r="A34" s="2">
        <v>12673</v>
      </c>
      <c r="B34" s="4" t="s">
        <v>929</v>
      </c>
      <c r="C34" s="41" t="s">
        <v>1345</v>
      </c>
      <c r="D34" s="42">
        <v>72</v>
      </c>
      <c r="E34" s="43">
        <v>5</v>
      </c>
      <c r="F34" s="50" t="str">
        <f>VLOOKUP(tabPontoPed[[#This Row],[GRUPO]],tabGrupos[#Data],2,FALSE)</f>
        <v>MAQ.EQUIP.E MATERIAIS P/ HIGIEN.LIMP.POLIM.E LUBR.</v>
      </c>
      <c r="G34" s="42" t="str">
        <f>VLOOKUP(tabPontoPed[[#This Row],[GRUPO]],tabGrupos[#Data],3,FALSE)</f>
        <v>ADM</v>
      </c>
      <c r="H34" s="41" t="s">
        <v>1339</v>
      </c>
      <c r="I34" s="9">
        <v>4</v>
      </c>
      <c r="J34" s="51">
        <v>16</v>
      </c>
      <c r="K34" s="7">
        <f>tabPontoPed[[#This Row],[QTDMÊS]] * tabPontoPed[[#This Row],[MENSAL]]</f>
        <v>64</v>
      </c>
      <c r="L34" s="13" t="s">
        <v>1012</v>
      </c>
      <c r="M34" s="44"/>
      <c r="N34" s="45" t="str">
        <f>_xlfn.IFNA(IF(VLOOKUP(tabPontoPed[[#This Row],[CÓDIGO]],Excluir_do_Estoque!$A$4:$A$4004,1,FALSE),"sim",""),"")</f>
        <v/>
      </c>
      <c r="O34" s="10" t="str">
        <f t="shared" si="0"/>
        <v>*</v>
      </c>
    </row>
    <row r="35" spans="1:15" x14ac:dyDescent="0.25">
      <c r="A35" s="2">
        <v>12675</v>
      </c>
      <c r="B35" s="4" t="s">
        <v>189</v>
      </c>
      <c r="C35" s="41" t="s">
        <v>1345</v>
      </c>
      <c r="D35" s="42">
        <v>72</v>
      </c>
      <c r="E35" s="43">
        <v>5</v>
      </c>
      <c r="F35" s="50" t="str">
        <f>VLOOKUP(tabPontoPed[[#This Row],[GRUPO]],tabGrupos[#Data],2,FALSE)</f>
        <v>MAQ.EQUIP.E MATERIAIS P/ HIGIEN.LIMP.POLIM.E LUBR.</v>
      </c>
      <c r="G35" s="42" t="str">
        <f>VLOOKUP(tabPontoPed[[#This Row],[GRUPO]],tabGrupos[#Data],3,FALSE)</f>
        <v>ADM</v>
      </c>
      <c r="H35" s="41" t="s">
        <v>1339</v>
      </c>
      <c r="I35" s="9">
        <v>4</v>
      </c>
      <c r="J35" s="51">
        <v>7</v>
      </c>
      <c r="K35" s="7">
        <f>tabPontoPed[[#This Row],[QTDMÊS]] * tabPontoPed[[#This Row],[MENSAL]]</f>
        <v>28</v>
      </c>
      <c r="L35" s="13" t="s">
        <v>1012</v>
      </c>
      <c r="M35" s="44"/>
      <c r="N35" s="45" t="str">
        <f>_xlfn.IFNA(IF(VLOOKUP(tabPontoPed[[#This Row],[CÓDIGO]],Excluir_do_Estoque!$A$4:$A$4004,1,FALSE),"sim",""),"")</f>
        <v/>
      </c>
      <c r="O35" s="10" t="str">
        <f t="shared" si="0"/>
        <v>*</v>
      </c>
    </row>
    <row r="36" spans="1:15" x14ac:dyDescent="0.25">
      <c r="A36" s="2">
        <v>12685</v>
      </c>
      <c r="B36" s="4" t="s">
        <v>940</v>
      </c>
      <c r="C36" s="41" t="s">
        <v>1345</v>
      </c>
      <c r="D36" s="42">
        <v>72</v>
      </c>
      <c r="E36" s="43">
        <v>10</v>
      </c>
      <c r="F36" s="50" t="str">
        <f>VLOOKUP(tabPontoPed[[#This Row],[GRUPO]],tabGrupos[#Data],2,FALSE)</f>
        <v>MAQ.EQUIP.E MATERIAIS P/ HIGIEN.LIMP.POLIM.E LUBR.</v>
      </c>
      <c r="G36" s="42" t="str">
        <f>VLOOKUP(tabPontoPed[[#This Row],[GRUPO]],tabGrupos[#Data],3,FALSE)</f>
        <v>ADM</v>
      </c>
      <c r="H36" s="41" t="s">
        <v>1339</v>
      </c>
      <c r="I36" s="9">
        <v>4</v>
      </c>
      <c r="J36" s="51">
        <v>2843</v>
      </c>
      <c r="K36" s="7">
        <f>tabPontoPed[[#This Row],[QTDMÊS]] * tabPontoPed[[#This Row],[MENSAL]]</f>
        <v>11372</v>
      </c>
      <c r="L36" s="13" t="s">
        <v>1012</v>
      </c>
      <c r="M36" s="44"/>
      <c r="N36" s="45" t="str">
        <f>_xlfn.IFNA(IF(VLOOKUP(tabPontoPed[[#This Row],[CÓDIGO]],Excluir_do_Estoque!$A$4:$A$4004,1,FALSE),"sim",""),"")</f>
        <v/>
      </c>
      <c r="O36" s="10" t="str">
        <f t="shared" si="0"/>
        <v>*</v>
      </c>
    </row>
    <row r="37" spans="1:15" x14ac:dyDescent="0.25">
      <c r="A37" s="2">
        <v>12712</v>
      </c>
      <c r="B37" s="4" t="s">
        <v>385</v>
      </c>
      <c r="C37" s="41" t="s">
        <v>1345</v>
      </c>
      <c r="D37" s="42">
        <v>72</v>
      </c>
      <c r="E37" s="43">
        <v>9</v>
      </c>
      <c r="F37" s="50" t="str">
        <f>VLOOKUP(tabPontoPed[[#This Row],[GRUPO]],tabGrupos[#Data],2,FALSE)</f>
        <v>MAQ.EQUIP.E MATERIAIS P/ HIGIEN.LIMP.POLIM.E LUBR.</v>
      </c>
      <c r="G37" s="42" t="str">
        <f>VLOOKUP(tabPontoPed[[#This Row],[GRUPO]],tabGrupos[#Data],3,FALSE)</f>
        <v>ADM</v>
      </c>
      <c r="H37" s="41" t="s">
        <v>1339</v>
      </c>
      <c r="I37" s="9">
        <v>4</v>
      </c>
      <c r="J37" s="51">
        <v>36</v>
      </c>
      <c r="K37" s="7">
        <f>tabPontoPed[[#This Row],[QTDMÊS]] * tabPontoPed[[#This Row],[MENSAL]]</f>
        <v>144</v>
      </c>
      <c r="L37" s="13" t="s">
        <v>1012</v>
      </c>
      <c r="M37" s="44"/>
      <c r="N37" s="45" t="str">
        <f>_xlfn.IFNA(IF(VLOOKUP(tabPontoPed[[#This Row],[CÓDIGO]],Excluir_do_Estoque!$A$4:$A$4004,1,FALSE),"sim",""),"")</f>
        <v/>
      </c>
      <c r="O37" s="10" t="str">
        <f t="shared" si="0"/>
        <v>*</v>
      </c>
    </row>
    <row r="38" spans="1:15" x14ac:dyDescent="0.25">
      <c r="A38" s="2">
        <v>12754</v>
      </c>
      <c r="B38" s="4" t="s">
        <v>192</v>
      </c>
      <c r="C38" s="41" t="s">
        <v>1345</v>
      </c>
      <c r="D38" s="42">
        <v>72</v>
      </c>
      <c r="E38" s="43">
        <v>6</v>
      </c>
      <c r="F38" s="50" t="str">
        <f>VLOOKUP(tabPontoPed[[#This Row],[GRUPO]],tabGrupos[#Data],2,FALSE)</f>
        <v>MAQ.EQUIP.E MATERIAIS P/ HIGIEN.LIMP.POLIM.E LUBR.</v>
      </c>
      <c r="G38" s="42" t="str">
        <f>VLOOKUP(tabPontoPed[[#This Row],[GRUPO]],tabGrupos[#Data],3,FALSE)</f>
        <v>ADM</v>
      </c>
      <c r="H38" s="41" t="s">
        <v>1339</v>
      </c>
      <c r="I38" s="9">
        <v>4</v>
      </c>
      <c r="J38" s="51">
        <v>84</v>
      </c>
      <c r="K38" s="7">
        <f>tabPontoPed[[#This Row],[QTDMÊS]] * tabPontoPed[[#This Row],[MENSAL]]</f>
        <v>336</v>
      </c>
      <c r="L38" s="13" t="s">
        <v>1012</v>
      </c>
      <c r="M38" s="44"/>
      <c r="N38" s="45" t="str">
        <f>_xlfn.IFNA(IF(VLOOKUP(tabPontoPed[[#This Row],[CÓDIGO]],Excluir_do_Estoque!$A$4:$A$4004,1,FALSE),"sim",""),"")</f>
        <v/>
      </c>
      <c r="O38" s="10" t="str">
        <f t="shared" si="0"/>
        <v>*</v>
      </c>
    </row>
    <row r="39" spans="1:15" x14ac:dyDescent="0.25">
      <c r="A39" s="2">
        <v>12763</v>
      </c>
      <c r="B39" s="4" t="s">
        <v>496</v>
      </c>
      <c r="C39" s="41" t="s">
        <v>1345</v>
      </c>
      <c r="D39" s="42">
        <v>51</v>
      </c>
      <c r="E39" s="43">
        <v>3</v>
      </c>
      <c r="F39" s="50" t="str">
        <f>VLOOKUP(tabPontoPed[[#This Row],[GRUPO]],tabGrupos[#Data],2,FALSE)</f>
        <v>MAT.E EQUIP. P/ CONSTR.CIVIL E CONSERV. DE VIAS PUBL.</v>
      </c>
      <c r="G39" s="42" t="str">
        <f>VLOOKUP(tabPontoPed[[#This Row],[GRUPO]],tabGrupos[#Data],3,FALSE)</f>
        <v>MCO</v>
      </c>
      <c r="H39" s="41" t="s">
        <v>1339</v>
      </c>
      <c r="I39" s="9">
        <v>4</v>
      </c>
      <c r="J39" s="51">
        <v>69</v>
      </c>
      <c r="K39" s="7">
        <f>tabPontoPed[[#This Row],[QTDMÊS]] * tabPontoPed[[#This Row],[MENSAL]]</f>
        <v>276</v>
      </c>
      <c r="L39" s="13" t="s">
        <v>1012</v>
      </c>
      <c r="M39" s="44"/>
      <c r="N39" s="45" t="str">
        <f>_xlfn.IFNA(IF(VLOOKUP(tabPontoPed[[#This Row],[CÓDIGO]],Excluir_do_Estoque!$A$4:$A$4004,1,FALSE),"sim",""),"")</f>
        <v/>
      </c>
      <c r="O39" s="10" t="str">
        <f t="shared" si="0"/>
        <v>*</v>
      </c>
    </row>
    <row r="40" spans="1:15" x14ac:dyDescent="0.25">
      <c r="A40" s="2">
        <v>12806</v>
      </c>
      <c r="B40" s="4" t="s">
        <v>13</v>
      </c>
      <c r="C40" s="41" t="s">
        <v>1345</v>
      </c>
      <c r="D40" s="42">
        <v>76</v>
      </c>
      <c r="E40" s="43">
        <v>16</v>
      </c>
      <c r="F40" s="50" t="str">
        <f>VLOOKUP(tabPontoPed[[#This Row],[GRUPO]],tabGrupos[#Data],2,FALSE)</f>
        <v>EQUIP. E MATERIAIS P/PINTURAS E IMPERMEABILIZACAO</v>
      </c>
      <c r="G40" s="42" t="str">
        <f>VLOOKUP(tabPontoPed[[#This Row],[GRUPO]],tabGrupos[#Data],3,FALSE)</f>
        <v>MPI</v>
      </c>
      <c r="H40" s="41" t="s">
        <v>1339</v>
      </c>
      <c r="I40" s="9">
        <v>4</v>
      </c>
      <c r="J40" s="51">
        <v>3</v>
      </c>
      <c r="K40" s="7">
        <f>tabPontoPed[[#This Row],[QTDMÊS]] * tabPontoPed[[#This Row],[MENSAL]]</f>
        <v>12</v>
      </c>
      <c r="L40" s="13" t="s">
        <v>1012</v>
      </c>
      <c r="M40" s="44"/>
      <c r="N40" s="45" t="str">
        <f>_xlfn.IFNA(IF(VLOOKUP(tabPontoPed[[#This Row],[CÓDIGO]],Excluir_do_Estoque!$A$4:$A$4004,1,FALSE),"sim",""),"")</f>
        <v/>
      </c>
      <c r="O40" s="10" t="str">
        <f t="shared" si="0"/>
        <v>*</v>
      </c>
    </row>
    <row r="41" spans="1:15" x14ac:dyDescent="0.25">
      <c r="A41" s="2">
        <v>12812</v>
      </c>
      <c r="B41" s="4" t="s">
        <v>156</v>
      </c>
      <c r="C41" s="41" t="s">
        <v>1345</v>
      </c>
      <c r="D41" s="42">
        <v>76</v>
      </c>
      <c r="E41" s="43">
        <v>11</v>
      </c>
      <c r="F41" s="50" t="str">
        <f>VLOOKUP(tabPontoPed[[#This Row],[GRUPO]],tabGrupos[#Data],2,FALSE)</f>
        <v>EQUIP. E MATERIAIS P/PINTURAS E IMPERMEABILIZACAO</v>
      </c>
      <c r="G41" s="42" t="str">
        <f>VLOOKUP(tabPontoPed[[#This Row],[GRUPO]],tabGrupos[#Data],3,FALSE)</f>
        <v>MPI</v>
      </c>
      <c r="H41" s="41" t="s">
        <v>1339</v>
      </c>
      <c r="I41" s="9">
        <v>4</v>
      </c>
      <c r="J41" s="51">
        <v>2</v>
      </c>
      <c r="K41" s="7">
        <f>tabPontoPed[[#This Row],[QTDMÊS]] * tabPontoPed[[#This Row],[MENSAL]]</f>
        <v>8</v>
      </c>
      <c r="L41" s="13" t="s">
        <v>1012</v>
      </c>
      <c r="M41" s="44"/>
      <c r="N41" s="45" t="str">
        <f>_xlfn.IFNA(IF(VLOOKUP(tabPontoPed[[#This Row],[CÓDIGO]],Excluir_do_Estoque!$A$4:$A$4004,1,FALSE),"sim",""),"")</f>
        <v/>
      </c>
      <c r="O41" s="10" t="str">
        <f t="shared" si="0"/>
        <v>*</v>
      </c>
    </row>
    <row r="42" spans="1:15" x14ac:dyDescent="0.25">
      <c r="A42" s="2">
        <v>12813</v>
      </c>
      <c r="B42" s="4" t="s">
        <v>283</v>
      </c>
      <c r="C42" s="41" t="s">
        <v>1345</v>
      </c>
      <c r="D42" s="42">
        <v>61</v>
      </c>
      <c r="E42" s="43">
        <v>8</v>
      </c>
      <c r="F42" s="50" t="str">
        <f>VLOOKUP(tabPontoPed[[#This Row],[GRUPO]],tabGrupos[#Data],2,FALSE)</f>
        <v>MATERIAL HIDRAULICO, CANOS, TUBOS, MANGUEIRAS, CONEXOES E ACESS.</v>
      </c>
      <c r="G42" s="42" t="str">
        <f>VLOOKUP(tabPontoPed[[#This Row],[GRUPO]],tabGrupos[#Data],3,FALSE)</f>
        <v>MHI</v>
      </c>
      <c r="H42" s="41" t="s">
        <v>1339</v>
      </c>
      <c r="I42" s="9">
        <v>4</v>
      </c>
      <c r="J42" s="51">
        <v>1</v>
      </c>
      <c r="K42" s="7">
        <f>tabPontoPed[[#This Row],[QTDMÊS]] * tabPontoPed[[#This Row],[MENSAL]]</f>
        <v>4</v>
      </c>
      <c r="L42" s="13" t="s">
        <v>1012</v>
      </c>
      <c r="M42" s="44"/>
      <c r="N42" s="45" t="str">
        <f>_xlfn.IFNA(IF(VLOOKUP(tabPontoPed[[#This Row],[CÓDIGO]],Excluir_do_Estoque!$A$4:$A$4004,1,FALSE),"sim",""),"")</f>
        <v/>
      </c>
      <c r="O42" s="10" t="str">
        <f t="shared" si="0"/>
        <v>*</v>
      </c>
    </row>
    <row r="43" spans="1:15" x14ac:dyDescent="0.25">
      <c r="A43" s="2">
        <v>12818</v>
      </c>
      <c r="B43" s="4" t="s">
        <v>6</v>
      </c>
      <c r="C43" s="41" t="s">
        <v>1345</v>
      </c>
      <c r="D43" s="42">
        <v>76</v>
      </c>
      <c r="E43" s="43">
        <v>6</v>
      </c>
      <c r="F43" s="50" t="str">
        <f>VLOOKUP(tabPontoPed[[#This Row],[GRUPO]],tabGrupos[#Data],2,FALSE)</f>
        <v>EQUIP. E MATERIAIS P/PINTURAS E IMPERMEABILIZACAO</v>
      </c>
      <c r="G43" s="42" t="str">
        <f>VLOOKUP(tabPontoPed[[#This Row],[GRUPO]],tabGrupos[#Data],3,FALSE)</f>
        <v>MPI</v>
      </c>
      <c r="H43" s="41" t="s">
        <v>1339</v>
      </c>
      <c r="I43" s="9">
        <v>4</v>
      </c>
      <c r="J43" s="51">
        <v>20</v>
      </c>
      <c r="K43" s="7">
        <f>tabPontoPed[[#This Row],[QTDMÊS]] * tabPontoPed[[#This Row],[MENSAL]]</f>
        <v>80</v>
      </c>
      <c r="L43" s="13" t="s">
        <v>1012</v>
      </c>
      <c r="M43" s="44"/>
      <c r="N43" s="45" t="str">
        <f>_xlfn.IFNA(IF(VLOOKUP(tabPontoPed[[#This Row],[CÓDIGO]],Excluir_do_Estoque!$A$4:$A$4004,1,FALSE),"sim",""),"")</f>
        <v/>
      </c>
      <c r="O43" s="10" t="str">
        <f t="shared" si="0"/>
        <v>*</v>
      </c>
    </row>
    <row r="44" spans="1:15" x14ac:dyDescent="0.25">
      <c r="A44" s="2">
        <v>12820</v>
      </c>
      <c r="B44" s="4" t="s">
        <v>232</v>
      </c>
      <c r="C44" s="41" t="s">
        <v>1345</v>
      </c>
      <c r="D44" s="42">
        <v>76</v>
      </c>
      <c r="E44" s="43">
        <v>6</v>
      </c>
      <c r="F44" s="50" t="str">
        <f>VLOOKUP(tabPontoPed[[#This Row],[GRUPO]],tabGrupos[#Data],2,FALSE)</f>
        <v>EQUIP. E MATERIAIS P/PINTURAS E IMPERMEABILIZACAO</v>
      </c>
      <c r="G44" s="42" t="str">
        <f>VLOOKUP(tabPontoPed[[#This Row],[GRUPO]],tabGrupos[#Data],3,FALSE)</f>
        <v>MPI</v>
      </c>
      <c r="H44" s="41" t="s">
        <v>1339</v>
      </c>
      <c r="I44" s="9">
        <v>4</v>
      </c>
      <c r="J44" s="51">
        <v>12</v>
      </c>
      <c r="K44" s="7">
        <f>tabPontoPed[[#This Row],[QTDMÊS]] * tabPontoPed[[#This Row],[MENSAL]]</f>
        <v>48</v>
      </c>
      <c r="L44" s="13" t="s">
        <v>1012</v>
      </c>
      <c r="M44" s="44"/>
      <c r="N44" s="45" t="str">
        <f>_xlfn.IFNA(IF(VLOOKUP(tabPontoPed[[#This Row],[CÓDIGO]],Excluir_do_Estoque!$A$4:$A$4004,1,FALSE),"sim",""),"")</f>
        <v/>
      </c>
      <c r="O44" s="10" t="str">
        <f t="shared" si="0"/>
        <v>*</v>
      </c>
    </row>
    <row r="45" spans="1:15" x14ac:dyDescent="0.25">
      <c r="A45" s="2">
        <v>12821</v>
      </c>
      <c r="B45" s="4" t="s">
        <v>284</v>
      </c>
      <c r="C45" s="41" t="s">
        <v>1345</v>
      </c>
      <c r="D45" s="42">
        <v>61</v>
      </c>
      <c r="E45" s="43">
        <v>8</v>
      </c>
      <c r="F45" s="50" t="str">
        <f>VLOOKUP(tabPontoPed[[#This Row],[GRUPO]],tabGrupos[#Data],2,FALSE)</f>
        <v>MATERIAL HIDRAULICO, CANOS, TUBOS, MANGUEIRAS, CONEXOES E ACESS.</v>
      </c>
      <c r="G45" s="42" t="str">
        <f>VLOOKUP(tabPontoPed[[#This Row],[GRUPO]],tabGrupos[#Data],3,FALSE)</f>
        <v>MHI</v>
      </c>
      <c r="H45" s="41" t="s">
        <v>1339</v>
      </c>
      <c r="I45" s="9">
        <v>4</v>
      </c>
      <c r="J45" s="51">
        <v>3</v>
      </c>
      <c r="K45" s="7">
        <f>tabPontoPed[[#This Row],[QTDMÊS]] * tabPontoPed[[#This Row],[MENSAL]]</f>
        <v>12</v>
      </c>
      <c r="L45" s="13" t="s">
        <v>1012</v>
      </c>
      <c r="M45" s="44"/>
      <c r="N45" s="45" t="str">
        <f>_xlfn.IFNA(IF(VLOOKUP(tabPontoPed[[#This Row],[CÓDIGO]],Excluir_do_Estoque!$A$4:$A$4004,1,FALSE),"sim",""),"")</f>
        <v/>
      </c>
      <c r="O45" s="10" t="str">
        <f t="shared" si="0"/>
        <v>*</v>
      </c>
    </row>
    <row r="46" spans="1:15" x14ac:dyDescent="0.25">
      <c r="A46" s="2">
        <v>12824</v>
      </c>
      <c r="B46" s="4" t="s">
        <v>285</v>
      </c>
      <c r="C46" s="41" t="s">
        <v>1345</v>
      </c>
      <c r="D46" s="42">
        <v>61</v>
      </c>
      <c r="E46" s="43">
        <v>8</v>
      </c>
      <c r="F46" s="50" t="str">
        <f>VLOOKUP(tabPontoPed[[#This Row],[GRUPO]],tabGrupos[#Data],2,FALSE)</f>
        <v>MATERIAL HIDRAULICO, CANOS, TUBOS, MANGUEIRAS, CONEXOES E ACESS.</v>
      </c>
      <c r="G46" s="42" t="str">
        <f>VLOOKUP(tabPontoPed[[#This Row],[GRUPO]],tabGrupos[#Data],3,FALSE)</f>
        <v>MHI</v>
      </c>
      <c r="H46" s="41" t="s">
        <v>1339</v>
      </c>
      <c r="I46" s="9">
        <v>4</v>
      </c>
      <c r="J46" s="51">
        <v>3</v>
      </c>
      <c r="K46" s="7">
        <f>tabPontoPed[[#This Row],[QTDMÊS]] * tabPontoPed[[#This Row],[MENSAL]]</f>
        <v>12</v>
      </c>
      <c r="L46" s="13" t="s">
        <v>1012</v>
      </c>
      <c r="M46" s="44"/>
      <c r="N46" s="45" t="str">
        <f>_xlfn.IFNA(IF(VLOOKUP(tabPontoPed[[#This Row],[CÓDIGO]],Excluir_do_Estoque!$A$4:$A$4004,1,FALSE),"sim",""),"")</f>
        <v/>
      </c>
      <c r="O46" s="10" t="str">
        <f t="shared" si="0"/>
        <v>*</v>
      </c>
    </row>
    <row r="47" spans="1:15" x14ac:dyDescent="0.25">
      <c r="A47" s="2">
        <v>12829</v>
      </c>
      <c r="B47" s="4" t="s">
        <v>7</v>
      </c>
      <c r="C47" s="41" t="s">
        <v>1345</v>
      </c>
      <c r="D47" s="42">
        <v>76</v>
      </c>
      <c r="E47" s="43">
        <v>6</v>
      </c>
      <c r="F47" s="50" t="str">
        <f>VLOOKUP(tabPontoPed[[#This Row],[GRUPO]],tabGrupos[#Data],2,FALSE)</f>
        <v>EQUIP. E MATERIAIS P/PINTURAS E IMPERMEABILIZACAO</v>
      </c>
      <c r="G47" s="42" t="str">
        <f>VLOOKUP(tabPontoPed[[#This Row],[GRUPO]],tabGrupos[#Data],3,FALSE)</f>
        <v>MPI</v>
      </c>
      <c r="H47" s="41" t="s">
        <v>1339</v>
      </c>
      <c r="I47" s="9">
        <v>4</v>
      </c>
      <c r="J47" s="51">
        <v>15</v>
      </c>
      <c r="K47" s="7">
        <f>tabPontoPed[[#This Row],[QTDMÊS]] * tabPontoPed[[#This Row],[MENSAL]]</f>
        <v>60</v>
      </c>
      <c r="L47" s="13" t="s">
        <v>1012</v>
      </c>
      <c r="M47" s="44"/>
      <c r="N47" s="45" t="str">
        <f>_xlfn.IFNA(IF(VLOOKUP(tabPontoPed[[#This Row],[CÓDIGO]],Excluir_do_Estoque!$A$4:$A$4004,1,FALSE),"sim",""),"")</f>
        <v/>
      </c>
      <c r="O47" s="10" t="str">
        <f t="shared" si="0"/>
        <v>*</v>
      </c>
    </row>
    <row r="48" spans="1:15" x14ac:dyDescent="0.25">
      <c r="A48" s="2">
        <v>12830</v>
      </c>
      <c r="B48" s="4" t="s">
        <v>732</v>
      </c>
      <c r="C48" s="41" t="s">
        <v>1345</v>
      </c>
      <c r="D48" s="42">
        <v>61</v>
      </c>
      <c r="E48" s="43">
        <v>8</v>
      </c>
      <c r="F48" s="50" t="str">
        <f>VLOOKUP(tabPontoPed[[#This Row],[GRUPO]],tabGrupos[#Data],2,FALSE)</f>
        <v>MATERIAL HIDRAULICO, CANOS, TUBOS, MANGUEIRAS, CONEXOES E ACESS.</v>
      </c>
      <c r="G48" s="42" t="str">
        <f>VLOOKUP(tabPontoPed[[#This Row],[GRUPO]],tabGrupos[#Data],3,FALSE)</f>
        <v>MHI</v>
      </c>
      <c r="H48" s="41" t="s">
        <v>1339</v>
      </c>
      <c r="I48" s="9">
        <v>4</v>
      </c>
      <c r="J48" s="51">
        <v>23</v>
      </c>
      <c r="K48" s="7">
        <f>tabPontoPed[[#This Row],[QTDMÊS]] * tabPontoPed[[#This Row],[MENSAL]]</f>
        <v>92</v>
      </c>
      <c r="L48" s="13" t="s">
        <v>1012</v>
      </c>
      <c r="M48" s="44"/>
      <c r="N48" s="45" t="str">
        <f>_xlfn.IFNA(IF(VLOOKUP(tabPontoPed[[#This Row],[CÓDIGO]],Excluir_do_Estoque!$A$4:$A$4004,1,FALSE),"sim",""),"")</f>
        <v/>
      </c>
      <c r="O48" s="10" t="str">
        <f t="shared" si="0"/>
        <v>*</v>
      </c>
    </row>
    <row r="49" spans="1:15" x14ac:dyDescent="0.25">
      <c r="A49" s="2">
        <v>12831</v>
      </c>
      <c r="B49" s="4" t="s">
        <v>8</v>
      </c>
      <c r="C49" s="41" t="s">
        <v>1345</v>
      </c>
      <c r="D49" s="42">
        <v>76</v>
      </c>
      <c r="E49" s="43">
        <v>6</v>
      </c>
      <c r="F49" s="50" t="str">
        <f>VLOOKUP(tabPontoPed[[#This Row],[GRUPO]],tabGrupos[#Data],2,FALSE)</f>
        <v>EQUIP. E MATERIAIS P/PINTURAS E IMPERMEABILIZACAO</v>
      </c>
      <c r="G49" s="42" t="str">
        <f>VLOOKUP(tabPontoPed[[#This Row],[GRUPO]],tabGrupos[#Data],3,FALSE)</f>
        <v>MPI</v>
      </c>
      <c r="H49" s="41" t="s">
        <v>1339</v>
      </c>
      <c r="I49" s="9">
        <v>4</v>
      </c>
      <c r="J49" s="51">
        <v>7</v>
      </c>
      <c r="K49" s="7">
        <f>tabPontoPed[[#This Row],[QTDMÊS]] * tabPontoPed[[#This Row],[MENSAL]]</f>
        <v>28</v>
      </c>
      <c r="L49" s="13" t="s">
        <v>1012</v>
      </c>
      <c r="M49" s="44"/>
      <c r="N49" s="45" t="str">
        <f>_xlfn.IFNA(IF(VLOOKUP(tabPontoPed[[#This Row],[CÓDIGO]],Excluir_do_Estoque!$A$4:$A$4004,1,FALSE),"sim",""),"")</f>
        <v/>
      </c>
      <c r="O49" s="10" t="str">
        <f t="shared" si="0"/>
        <v>*</v>
      </c>
    </row>
    <row r="50" spans="1:15" x14ac:dyDescent="0.25">
      <c r="A50" s="2">
        <v>12835</v>
      </c>
      <c r="B50" s="4" t="s">
        <v>733</v>
      </c>
      <c r="C50" s="41" t="s">
        <v>1345</v>
      </c>
      <c r="D50" s="42">
        <v>61</v>
      </c>
      <c r="E50" s="43">
        <v>8</v>
      </c>
      <c r="F50" s="50" t="str">
        <f>VLOOKUP(tabPontoPed[[#This Row],[GRUPO]],tabGrupos[#Data],2,FALSE)</f>
        <v>MATERIAL HIDRAULICO, CANOS, TUBOS, MANGUEIRAS, CONEXOES E ACESS.</v>
      </c>
      <c r="G50" s="42" t="str">
        <f>VLOOKUP(tabPontoPed[[#This Row],[GRUPO]],tabGrupos[#Data],3,FALSE)</f>
        <v>MHI</v>
      </c>
      <c r="H50" s="41" t="s">
        <v>1339</v>
      </c>
      <c r="I50" s="9">
        <v>4</v>
      </c>
      <c r="J50" s="51">
        <v>21</v>
      </c>
      <c r="K50" s="7">
        <f>tabPontoPed[[#This Row],[QTDMÊS]] * tabPontoPed[[#This Row],[MENSAL]]</f>
        <v>84</v>
      </c>
      <c r="L50" s="13" t="s">
        <v>1012</v>
      </c>
      <c r="M50" s="44"/>
      <c r="N50" s="45" t="str">
        <f>_xlfn.IFNA(IF(VLOOKUP(tabPontoPed[[#This Row],[CÓDIGO]],Excluir_do_Estoque!$A$4:$A$4004,1,FALSE),"sim",""),"")</f>
        <v/>
      </c>
      <c r="O50" s="10" t="str">
        <f t="shared" si="0"/>
        <v>*</v>
      </c>
    </row>
    <row r="51" spans="1:15" x14ac:dyDescent="0.25">
      <c r="A51" s="2">
        <v>12838</v>
      </c>
      <c r="B51" s="4" t="s">
        <v>9</v>
      </c>
      <c r="C51" s="41" t="s">
        <v>1345</v>
      </c>
      <c r="D51" s="42">
        <v>76</v>
      </c>
      <c r="E51" s="43">
        <v>6</v>
      </c>
      <c r="F51" s="50" t="str">
        <f>VLOOKUP(tabPontoPed[[#This Row],[GRUPO]],tabGrupos[#Data],2,FALSE)</f>
        <v>EQUIP. E MATERIAIS P/PINTURAS E IMPERMEABILIZACAO</v>
      </c>
      <c r="G51" s="42" t="str">
        <f>VLOOKUP(tabPontoPed[[#This Row],[GRUPO]],tabGrupos[#Data],3,FALSE)</f>
        <v>MPI</v>
      </c>
      <c r="H51" s="41" t="s">
        <v>1339</v>
      </c>
      <c r="I51" s="9">
        <v>4</v>
      </c>
      <c r="J51" s="51">
        <v>12</v>
      </c>
      <c r="K51" s="7">
        <f>tabPontoPed[[#This Row],[QTDMÊS]] * tabPontoPed[[#This Row],[MENSAL]]</f>
        <v>48</v>
      </c>
      <c r="L51" s="13" t="s">
        <v>1012</v>
      </c>
      <c r="M51" s="44"/>
      <c r="N51" s="45" t="str">
        <f>_xlfn.IFNA(IF(VLOOKUP(tabPontoPed[[#This Row],[CÓDIGO]],Excluir_do_Estoque!$A$4:$A$4004,1,FALSE),"sim",""),"")</f>
        <v/>
      </c>
      <c r="O51" s="10" t="str">
        <f t="shared" si="0"/>
        <v>*</v>
      </c>
    </row>
    <row r="52" spans="1:15" x14ac:dyDescent="0.25">
      <c r="A52" s="2">
        <v>12847</v>
      </c>
      <c r="B52" s="4" t="s">
        <v>239</v>
      </c>
      <c r="C52" s="41" t="s">
        <v>1345</v>
      </c>
      <c r="D52" s="42">
        <v>76</v>
      </c>
      <c r="E52" s="43">
        <v>11</v>
      </c>
      <c r="F52" s="50" t="str">
        <f>VLOOKUP(tabPontoPed[[#This Row],[GRUPO]],tabGrupos[#Data],2,FALSE)</f>
        <v>EQUIP. E MATERIAIS P/PINTURAS E IMPERMEABILIZACAO</v>
      </c>
      <c r="G52" s="42" t="str">
        <f>VLOOKUP(tabPontoPed[[#This Row],[GRUPO]],tabGrupos[#Data],3,FALSE)</f>
        <v>MPI</v>
      </c>
      <c r="H52" s="41" t="s">
        <v>1339</v>
      </c>
      <c r="I52" s="9">
        <v>4</v>
      </c>
      <c r="J52" s="51">
        <v>105</v>
      </c>
      <c r="K52" s="7">
        <f>tabPontoPed[[#This Row],[QTDMÊS]] * tabPontoPed[[#This Row],[MENSAL]]</f>
        <v>420</v>
      </c>
      <c r="L52" s="13" t="s">
        <v>1012</v>
      </c>
      <c r="M52" s="44"/>
      <c r="N52" s="45" t="str">
        <f>_xlfn.IFNA(IF(VLOOKUP(tabPontoPed[[#This Row],[CÓDIGO]],Excluir_do_Estoque!$A$4:$A$4004,1,FALSE),"sim",""),"")</f>
        <v/>
      </c>
      <c r="O52" s="10" t="str">
        <f t="shared" si="0"/>
        <v>*</v>
      </c>
    </row>
    <row r="53" spans="1:15" x14ac:dyDescent="0.25">
      <c r="A53" s="2">
        <v>12853</v>
      </c>
      <c r="B53" s="4" t="s">
        <v>964</v>
      </c>
      <c r="C53" s="41" t="s">
        <v>1345</v>
      </c>
      <c r="D53" s="42">
        <v>76</v>
      </c>
      <c r="E53" s="43">
        <v>11</v>
      </c>
      <c r="F53" s="50" t="str">
        <f>VLOOKUP(tabPontoPed[[#This Row],[GRUPO]],tabGrupos[#Data],2,FALSE)</f>
        <v>EQUIP. E MATERIAIS P/PINTURAS E IMPERMEABILIZACAO</v>
      </c>
      <c r="G53" s="42" t="str">
        <f>VLOOKUP(tabPontoPed[[#This Row],[GRUPO]],tabGrupos[#Data],3,FALSE)</f>
        <v>MPI</v>
      </c>
      <c r="H53" s="41" t="s">
        <v>1339</v>
      </c>
      <c r="I53" s="9">
        <v>4</v>
      </c>
      <c r="J53" s="51">
        <v>11</v>
      </c>
      <c r="K53" s="7">
        <f>tabPontoPed[[#This Row],[QTDMÊS]] * tabPontoPed[[#This Row],[MENSAL]]</f>
        <v>44</v>
      </c>
      <c r="L53" s="13" t="s">
        <v>1012</v>
      </c>
      <c r="M53" s="44"/>
      <c r="N53" s="45" t="str">
        <f>_xlfn.IFNA(IF(VLOOKUP(tabPontoPed[[#This Row],[CÓDIGO]],Excluir_do_Estoque!$A$4:$A$4004,1,FALSE),"sim",""),"")</f>
        <v/>
      </c>
      <c r="O53" s="10" t="str">
        <f t="shared" si="0"/>
        <v>*</v>
      </c>
    </row>
    <row r="54" spans="1:15" x14ac:dyDescent="0.25">
      <c r="A54" s="2">
        <v>12856</v>
      </c>
      <c r="B54" s="4" t="s">
        <v>965</v>
      </c>
      <c r="C54" s="41" t="s">
        <v>1345</v>
      </c>
      <c r="D54" s="42">
        <v>76</v>
      </c>
      <c r="E54" s="43">
        <v>11</v>
      </c>
      <c r="F54" s="50" t="str">
        <f>VLOOKUP(tabPontoPed[[#This Row],[GRUPO]],tabGrupos[#Data],2,FALSE)</f>
        <v>EQUIP. E MATERIAIS P/PINTURAS E IMPERMEABILIZACAO</v>
      </c>
      <c r="G54" s="42" t="str">
        <f>VLOOKUP(tabPontoPed[[#This Row],[GRUPO]],tabGrupos[#Data],3,FALSE)</f>
        <v>MPI</v>
      </c>
      <c r="H54" s="41" t="s">
        <v>1339</v>
      </c>
      <c r="I54" s="9">
        <v>4</v>
      </c>
      <c r="J54" s="51">
        <v>121</v>
      </c>
      <c r="K54" s="7">
        <f>tabPontoPed[[#This Row],[QTDMÊS]] * tabPontoPed[[#This Row],[MENSAL]]</f>
        <v>484</v>
      </c>
      <c r="L54" s="13" t="s">
        <v>1012</v>
      </c>
      <c r="M54" s="44"/>
      <c r="N54" s="45" t="str">
        <f>_xlfn.IFNA(IF(VLOOKUP(tabPontoPed[[#This Row],[CÓDIGO]],Excluir_do_Estoque!$A$4:$A$4004,1,FALSE),"sim",""),"")</f>
        <v/>
      </c>
      <c r="O54" s="10" t="str">
        <f t="shared" si="0"/>
        <v>*</v>
      </c>
    </row>
    <row r="55" spans="1:15" x14ac:dyDescent="0.25">
      <c r="A55" s="2">
        <v>12857</v>
      </c>
      <c r="B55" s="4" t="s">
        <v>153</v>
      </c>
      <c r="C55" s="41" t="s">
        <v>1345</v>
      </c>
      <c r="D55" s="42">
        <v>76</v>
      </c>
      <c r="E55" s="43">
        <v>11</v>
      </c>
      <c r="F55" s="50" t="str">
        <f>VLOOKUP(tabPontoPed[[#This Row],[GRUPO]],tabGrupos[#Data],2,FALSE)</f>
        <v>EQUIP. E MATERIAIS P/PINTURAS E IMPERMEABILIZACAO</v>
      </c>
      <c r="G55" s="42" t="str">
        <f>VLOOKUP(tabPontoPed[[#This Row],[GRUPO]],tabGrupos[#Data],3,FALSE)</f>
        <v>MPI</v>
      </c>
      <c r="H55" s="41" t="s">
        <v>1339</v>
      </c>
      <c r="I55" s="9">
        <v>4</v>
      </c>
      <c r="J55" s="51">
        <v>32</v>
      </c>
      <c r="K55" s="7">
        <f>tabPontoPed[[#This Row],[QTDMÊS]] * tabPontoPed[[#This Row],[MENSAL]]</f>
        <v>128</v>
      </c>
      <c r="L55" s="13" t="s">
        <v>1012</v>
      </c>
      <c r="M55" s="44"/>
      <c r="N55" s="45" t="str">
        <f>_xlfn.IFNA(IF(VLOOKUP(tabPontoPed[[#This Row],[CÓDIGO]],Excluir_do_Estoque!$A$4:$A$4004,1,FALSE),"sim",""),"")</f>
        <v/>
      </c>
      <c r="O55" s="10" t="str">
        <f t="shared" si="0"/>
        <v>*</v>
      </c>
    </row>
    <row r="56" spans="1:15" x14ac:dyDescent="0.25">
      <c r="A56" s="2">
        <v>12869</v>
      </c>
      <c r="B56" s="4" t="s">
        <v>734</v>
      </c>
      <c r="C56" s="41" t="s">
        <v>1345</v>
      </c>
      <c r="D56" s="42">
        <v>61</v>
      </c>
      <c r="E56" s="43">
        <v>8</v>
      </c>
      <c r="F56" s="50" t="str">
        <f>VLOOKUP(tabPontoPed[[#This Row],[GRUPO]],tabGrupos[#Data],2,FALSE)</f>
        <v>MATERIAL HIDRAULICO, CANOS, TUBOS, MANGUEIRAS, CONEXOES E ACESS.</v>
      </c>
      <c r="G56" s="42" t="str">
        <f>VLOOKUP(tabPontoPed[[#This Row],[GRUPO]],tabGrupos[#Data],3,FALSE)</f>
        <v>MHI</v>
      </c>
      <c r="H56" s="41" t="s">
        <v>1339</v>
      </c>
      <c r="I56" s="9">
        <v>4</v>
      </c>
      <c r="J56" s="51">
        <v>0</v>
      </c>
      <c r="K56" s="7">
        <f>tabPontoPed[[#This Row],[QTDMÊS]] * tabPontoPed[[#This Row],[MENSAL]]</f>
        <v>0</v>
      </c>
      <c r="L56" s="13" t="s">
        <v>1012</v>
      </c>
      <c r="M56" s="44"/>
      <c r="N56" s="45" t="str">
        <f>_xlfn.IFNA(IF(VLOOKUP(tabPontoPed[[#This Row],[CÓDIGO]],Excluir_do_Estoque!$A$4:$A$4004,1,FALSE),"sim",""),"")</f>
        <v/>
      </c>
      <c r="O56" s="10" t="str">
        <f t="shared" si="0"/>
        <v>*</v>
      </c>
    </row>
    <row r="57" spans="1:15" x14ac:dyDescent="0.25">
      <c r="A57" s="2">
        <v>12877</v>
      </c>
      <c r="B57" s="4" t="s">
        <v>176</v>
      </c>
      <c r="C57" s="41" t="s">
        <v>1345</v>
      </c>
      <c r="D57" s="42">
        <v>76</v>
      </c>
      <c r="E57" s="43">
        <v>10</v>
      </c>
      <c r="F57" s="50" t="str">
        <f>VLOOKUP(tabPontoPed[[#This Row],[GRUPO]],tabGrupos[#Data],2,FALSE)</f>
        <v>EQUIP. E MATERIAIS P/PINTURAS E IMPERMEABILIZACAO</v>
      </c>
      <c r="G57" s="42" t="str">
        <f>VLOOKUP(tabPontoPed[[#This Row],[GRUPO]],tabGrupos[#Data],3,FALSE)</f>
        <v>MPI</v>
      </c>
      <c r="H57" s="41" t="s">
        <v>1339</v>
      </c>
      <c r="I57" s="9">
        <v>4</v>
      </c>
      <c r="J57" s="51">
        <v>29</v>
      </c>
      <c r="K57" s="7">
        <f>tabPontoPed[[#This Row],[QTDMÊS]] * tabPontoPed[[#This Row],[MENSAL]]</f>
        <v>116</v>
      </c>
      <c r="L57" s="13" t="s">
        <v>1012</v>
      </c>
      <c r="M57" s="44"/>
      <c r="N57" s="45" t="str">
        <f>_xlfn.IFNA(IF(VLOOKUP(tabPontoPed[[#This Row],[CÓDIGO]],Excluir_do_Estoque!$A$4:$A$4004,1,FALSE),"sim",""),"")</f>
        <v/>
      </c>
      <c r="O57" s="10" t="str">
        <f t="shared" si="0"/>
        <v>*</v>
      </c>
    </row>
    <row r="58" spans="1:15" x14ac:dyDescent="0.25">
      <c r="A58" s="2">
        <v>12881</v>
      </c>
      <c r="B58" s="4" t="s">
        <v>735</v>
      </c>
      <c r="C58" s="41" t="s">
        <v>1345</v>
      </c>
      <c r="D58" s="42">
        <v>61</v>
      </c>
      <c r="E58" s="43">
        <v>8</v>
      </c>
      <c r="F58" s="50" t="str">
        <f>VLOOKUP(tabPontoPed[[#This Row],[GRUPO]],tabGrupos[#Data],2,FALSE)</f>
        <v>MATERIAL HIDRAULICO, CANOS, TUBOS, MANGUEIRAS, CONEXOES E ACESS.</v>
      </c>
      <c r="G58" s="42" t="str">
        <f>VLOOKUP(tabPontoPed[[#This Row],[GRUPO]],tabGrupos[#Data],3,FALSE)</f>
        <v>MHI</v>
      </c>
      <c r="H58" s="41" t="s">
        <v>1339</v>
      </c>
      <c r="I58" s="9">
        <v>4</v>
      </c>
      <c r="J58" s="51">
        <v>17</v>
      </c>
      <c r="K58" s="7">
        <f>tabPontoPed[[#This Row],[QTDMÊS]] * tabPontoPed[[#This Row],[MENSAL]]</f>
        <v>68</v>
      </c>
      <c r="L58" s="13" t="s">
        <v>1012</v>
      </c>
      <c r="M58" s="44"/>
      <c r="N58" s="45" t="str">
        <f>_xlfn.IFNA(IF(VLOOKUP(tabPontoPed[[#This Row],[CÓDIGO]],Excluir_do_Estoque!$A$4:$A$4004,1,FALSE),"sim",""),"")</f>
        <v/>
      </c>
      <c r="O58" s="10" t="str">
        <f t="shared" si="0"/>
        <v>*</v>
      </c>
    </row>
    <row r="59" spans="1:15" x14ac:dyDescent="0.25">
      <c r="A59" s="2">
        <v>12884</v>
      </c>
      <c r="B59" s="4" t="s">
        <v>286</v>
      </c>
      <c r="C59" s="41" t="s">
        <v>1345</v>
      </c>
      <c r="D59" s="42">
        <v>61</v>
      </c>
      <c r="E59" s="43">
        <v>8</v>
      </c>
      <c r="F59" s="50" t="str">
        <f>VLOOKUP(tabPontoPed[[#This Row],[GRUPO]],tabGrupos[#Data],2,FALSE)</f>
        <v>MATERIAL HIDRAULICO, CANOS, TUBOS, MANGUEIRAS, CONEXOES E ACESS.</v>
      </c>
      <c r="G59" s="42" t="str">
        <f>VLOOKUP(tabPontoPed[[#This Row],[GRUPO]],tabGrupos[#Data],3,FALSE)</f>
        <v>MHI</v>
      </c>
      <c r="H59" s="41" t="s">
        <v>1339</v>
      </c>
      <c r="I59" s="9">
        <v>4</v>
      </c>
      <c r="J59" s="51">
        <v>18</v>
      </c>
      <c r="K59" s="7">
        <f>tabPontoPed[[#This Row],[QTDMÊS]] * tabPontoPed[[#This Row],[MENSAL]]</f>
        <v>72</v>
      </c>
      <c r="L59" s="13" t="s">
        <v>1012</v>
      </c>
      <c r="M59" s="44"/>
      <c r="N59" s="45" t="str">
        <f>_xlfn.IFNA(IF(VLOOKUP(tabPontoPed[[#This Row],[CÓDIGO]],Excluir_do_Estoque!$A$4:$A$4004,1,FALSE),"sim",""),"")</f>
        <v/>
      </c>
      <c r="O59" s="10" t="str">
        <f t="shared" si="0"/>
        <v>*</v>
      </c>
    </row>
    <row r="60" spans="1:15" x14ac:dyDescent="0.25">
      <c r="A60" s="2">
        <v>12886</v>
      </c>
      <c r="B60" s="4" t="s">
        <v>736</v>
      </c>
      <c r="C60" s="41" t="s">
        <v>1345</v>
      </c>
      <c r="D60" s="42">
        <v>61</v>
      </c>
      <c r="E60" s="43">
        <v>8</v>
      </c>
      <c r="F60" s="50" t="str">
        <f>VLOOKUP(tabPontoPed[[#This Row],[GRUPO]],tabGrupos[#Data],2,FALSE)</f>
        <v>MATERIAL HIDRAULICO, CANOS, TUBOS, MANGUEIRAS, CONEXOES E ACESS.</v>
      </c>
      <c r="G60" s="42" t="str">
        <f>VLOOKUP(tabPontoPed[[#This Row],[GRUPO]],tabGrupos[#Data],3,FALSE)</f>
        <v>MHI</v>
      </c>
      <c r="H60" s="41" t="s">
        <v>1339</v>
      </c>
      <c r="I60" s="9">
        <v>4</v>
      </c>
      <c r="J60" s="51">
        <v>13</v>
      </c>
      <c r="K60" s="7">
        <f>tabPontoPed[[#This Row],[QTDMÊS]] * tabPontoPed[[#This Row],[MENSAL]]</f>
        <v>52</v>
      </c>
      <c r="L60" s="13" t="s">
        <v>1012</v>
      </c>
      <c r="M60" s="44"/>
      <c r="N60" s="45" t="str">
        <f>_xlfn.IFNA(IF(VLOOKUP(tabPontoPed[[#This Row],[CÓDIGO]],Excluir_do_Estoque!$A$4:$A$4004,1,FALSE),"sim",""),"")</f>
        <v/>
      </c>
      <c r="O60" s="10" t="str">
        <f t="shared" si="0"/>
        <v>*</v>
      </c>
    </row>
    <row r="61" spans="1:15" x14ac:dyDescent="0.25">
      <c r="A61" s="2">
        <v>12891</v>
      </c>
      <c r="B61" s="4" t="s">
        <v>296</v>
      </c>
      <c r="C61" s="41" t="s">
        <v>1345</v>
      </c>
      <c r="D61" s="42">
        <v>61</v>
      </c>
      <c r="E61" s="43">
        <v>8</v>
      </c>
      <c r="F61" s="50" t="str">
        <f>VLOOKUP(tabPontoPed[[#This Row],[GRUPO]],tabGrupos[#Data],2,FALSE)</f>
        <v>MATERIAL HIDRAULICO, CANOS, TUBOS, MANGUEIRAS, CONEXOES E ACESS.</v>
      </c>
      <c r="G61" s="42" t="str">
        <f>VLOOKUP(tabPontoPed[[#This Row],[GRUPO]],tabGrupos[#Data],3,FALSE)</f>
        <v>MHI</v>
      </c>
      <c r="H61" s="41" t="s">
        <v>1339</v>
      </c>
      <c r="I61" s="9">
        <v>4</v>
      </c>
      <c r="J61" s="51">
        <v>6</v>
      </c>
      <c r="K61" s="7">
        <f>tabPontoPed[[#This Row],[QTDMÊS]] * tabPontoPed[[#This Row],[MENSAL]]</f>
        <v>24</v>
      </c>
      <c r="L61" s="13" t="s">
        <v>1012</v>
      </c>
      <c r="M61" s="44"/>
      <c r="N61" s="45" t="str">
        <f>_xlfn.IFNA(IF(VLOOKUP(tabPontoPed[[#This Row],[CÓDIGO]],Excluir_do_Estoque!$A$4:$A$4004,1,FALSE),"sim",""),"")</f>
        <v/>
      </c>
      <c r="O61" s="10" t="str">
        <f t="shared" si="0"/>
        <v>*</v>
      </c>
    </row>
    <row r="62" spans="1:15" x14ac:dyDescent="0.25">
      <c r="A62" s="2">
        <v>12894</v>
      </c>
      <c r="B62" s="4" t="s">
        <v>737</v>
      </c>
      <c r="C62" s="41" t="s">
        <v>1345</v>
      </c>
      <c r="D62" s="42">
        <v>61</v>
      </c>
      <c r="E62" s="43">
        <v>8</v>
      </c>
      <c r="F62" s="50" t="str">
        <f>VLOOKUP(tabPontoPed[[#This Row],[GRUPO]],tabGrupos[#Data],2,FALSE)</f>
        <v>MATERIAL HIDRAULICO, CANOS, TUBOS, MANGUEIRAS, CONEXOES E ACESS.</v>
      </c>
      <c r="G62" s="42" t="str">
        <f>VLOOKUP(tabPontoPed[[#This Row],[GRUPO]],tabGrupos[#Data],3,FALSE)</f>
        <v>MHI</v>
      </c>
      <c r="H62" s="41" t="s">
        <v>1339</v>
      </c>
      <c r="I62" s="9">
        <v>4</v>
      </c>
      <c r="J62" s="51">
        <v>50</v>
      </c>
      <c r="K62" s="7">
        <f>tabPontoPed[[#This Row],[QTDMÊS]] * tabPontoPed[[#This Row],[MENSAL]]</f>
        <v>200</v>
      </c>
      <c r="L62" s="13" t="s">
        <v>1012</v>
      </c>
      <c r="M62" s="44"/>
      <c r="N62" s="45" t="str">
        <f>_xlfn.IFNA(IF(VLOOKUP(tabPontoPed[[#This Row],[CÓDIGO]],Excluir_do_Estoque!$A$4:$A$4004,1,FALSE),"sim",""),"")</f>
        <v/>
      </c>
      <c r="O62" s="10" t="str">
        <f t="shared" si="0"/>
        <v>*</v>
      </c>
    </row>
    <row r="63" spans="1:15" x14ac:dyDescent="0.25">
      <c r="A63" s="2">
        <v>12922</v>
      </c>
      <c r="B63" s="4" t="s">
        <v>282</v>
      </c>
      <c r="C63" s="41" t="s">
        <v>1345</v>
      </c>
      <c r="D63" s="42">
        <v>61</v>
      </c>
      <c r="E63" s="43">
        <v>8</v>
      </c>
      <c r="F63" s="50" t="str">
        <f>VLOOKUP(tabPontoPed[[#This Row],[GRUPO]],tabGrupos[#Data],2,FALSE)</f>
        <v>MATERIAL HIDRAULICO, CANOS, TUBOS, MANGUEIRAS, CONEXOES E ACESS.</v>
      </c>
      <c r="G63" s="42" t="str">
        <f>VLOOKUP(tabPontoPed[[#This Row],[GRUPO]],tabGrupos[#Data],3,FALSE)</f>
        <v>MHI</v>
      </c>
      <c r="H63" s="41" t="s">
        <v>1339</v>
      </c>
      <c r="I63" s="9">
        <v>4</v>
      </c>
      <c r="J63" s="51">
        <v>2</v>
      </c>
      <c r="K63" s="7">
        <f>tabPontoPed[[#This Row],[QTDMÊS]] * tabPontoPed[[#This Row],[MENSAL]]</f>
        <v>8</v>
      </c>
      <c r="L63" s="13" t="s">
        <v>1012</v>
      </c>
      <c r="M63" s="44"/>
      <c r="N63" s="45" t="str">
        <f>_xlfn.IFNA(IF(VLOOKUP(tabPontoPed[[#This Row],[CÓDIGO]],Excluir_do_Estoque!$A$4:$A$4004,1,FALSE),"sim",""),"")</f>
        <v/>
      </c>
      <c r="O63" s="10" t="str">
        <f t="shared" si="0"/>
        <v>*</v>
      </c>
    </row>
    <row r="64" spans="1:15" x14ac:dyDescent="0.25">
      <c r="A64" s="2">
        <v>12948</v>
      </c>
      <c r="B64" s="4" t="s">
        <v>738</v>
      </c>
      <c r="C64" s="41" t="s">
        <v>1345</v>
      </c>
      <c r="D64" s="42">
        <v>61</v>
      </c>
      <c r="E64" s="43">
        <v>8</v>
      </c>
      <c r="F64" s="50" t="str">
        <f>VLOOKUP(tabPontoPed[[#This Row],[GRUPO]],tabGrupos[#Data],2,FALSE)</f>
        <v>MATERIAL HIDRAULICO, CANOS, TUBOS, MANGUEIRAS, CONEXOES E ACESS.</v>
      </c>
      <c r="G64" s="42" t="str">
        <f>VLOOKUP(tabPontoPed[[#This Row],[GRUPO]],tabGrupos[#Data],3,FALSE)</f>
        <v>MHI</v>
      </c>
      <c r="H64" s="41" t="s">
        <v>1339</v>
      </c>
      <c r="I64" s="9">
        <v>4</v>
      </c>
      <c r="J64" s="51">
        <v>2</v>
      </c>
      <c r="K64" s="7">
        <f>tabPontoPed[[#This Row],[QTDMÊS]] * tabPontoPed[[#This Row],[MENSAL]]</f>
        <v>8</v>
      </c>
      <c r="L64" s="13" t="s">
        <v>1012</v>
      </c>
      <c r="M64" s="44"/>
      <c r="N64" s="45" t="str">
        <f>_xlfn.IFNA(IF(VLOOKUP(tabPontoPed[[#This Row],[CÓDIGO]],Excluir_do_Estoque!$A$4:$A$4004,1,FALSE),"sim",""),"")</f>
        <v/>
      </c>
      <c r="O64" s="10" t="str">
        <f t="shared" si="0"/>
        <v>*</v>
      </c>
    </row>
    <row r="65" spans="1:15" x14ac:dyDescent="0.25">
      <c r="A65" s="2">
        <v>12950</v>
      </c>
      <c r="B65" s="4" t="s">
        <v>739</v>
      </c>
      <c r="C65" s="41" t="s">
        <v>1345</v>
      </c>
      <c r="D65" s="42">
        <v>61</v>
      </c>
      <c r="E65" s="43">
        <v>8</v>
      </c>
      <c r="F65" s="50" t="str">
        <f>VLOOKUP(tabPontoPed[[#This Row],[GRUPO]],tabGrupos[#Data],2,FALSE)</f>
        <v>MATERIAL HIDRAULICO, CANOS, TUBOS, MANGUEIRAS, CONEXOES E ACESS.</v>
      </c>
      <c r="G65" s="42" t="str">
        <f>VLOOKUP(tabPontoPed[[#This Row],[GRUPO]],tabGrupos[#Data],3,FALSE)</f>
        <v>MHI</v>
      </c>
      <c r="H65" s="41" t="s">
        <v>1339</v>
      </c>
      <c r="I65" s="9">
        <v>4</v>
      </c>
      <c r="J65" s="51">
        <v>9</v>
      </c>
      <c r="K65" s="7">
        <f>tabPontoPed[[#This Row],[QTDMÊS]] * tabPontoPed[[#This Row],[MENSAL]]</f>
        <v>36</v>
      </c>
      <c r="L65" s="13" t="s">
        <v>1012</v>
      </c>
      <c r="M65" s="44"/>
      <c r="N65" s="45" t="str">
        <f>_xlfn.IFNA(IF(VLOOKUP(tabPontoPed[[#This Row],[CÓDIGO]],Excluir_do_Estoque!$A$4:$A$4004,1,FALSE),"sim",""),"")</f>
        <v/>
      </c>
      <c r="O65" s="10" t="str">
        <f t="shared" si="0"/>
        <v>*</v>
      </c>
    </row>
    <row r="66" spans="1:15" x14ac:dyDescent="0.25">
      <c r="A66" s="2">
        <v>12956</v>
      </c>
      <c r="B66" s="4" t="s">
        <v>740</v>
      </c>
      <c r="C66" s="41" t="s">
        <v>1345</v>
      </c>
      <c r="D66" s="42">
        <v>61</v>
      </c>
      <c r="E66" s="43">
        <v>8</v>
      </c>
      <c r="F66" s="50" t="str">
        <f>VLOOKUP(tabPontoPed[[#This Row],[GRUPO]],tabGrupos[#Data],2,FALSE)</f>
        <v>MATERIAL HIDRAULICO, CANOS, TUBOS, MANGUEIRAS, CONEXOES E ACESS.</v>
      </c>
      <c r="G66" s="42" t="str">
        <f>VLOOKUP(tabPontoPed[[#This Row],[GRUPO]],tabGrupos[#Data],3,FALSE)</f>
        <v>MHI</v>
      </c>
      <c r="H66" s="41" t="s">
        <v>1339</v>
      </c>
      <c r="I66" s="9">
        <v>4</v>
      </c>
      <c r="J66" s="51">
        <v>33</v>
      </c>
      <c r="K66" s="7">
        <f>tabPontoPed[[#This Row],[QTDMÊS]] * tabPontoPed[[#This Row],[MENSAL]]</f>
        <v>132</v>
      </c>
      <c r="L66" s="13" t="s">
        <v>1012</v>
      </c>
      <c r="M66" s="44"/>
      <c r="N66" s="45" t="str">
        <f>_xlfn.IFNA(IF(VLOOKUP(tabPontoPed[[#This Row],[CÓDIGO]],Excluir_do_Estoque!$A$4:$A$4004,1,FALSE),"sim",""),"")</f>
        <v/>
      </c>
      <c r="O66" s="10" t="str">
        <f t="shared" si="0"/>
        <v>*</v>
      </c>
    </row>
    <row r="67" spans="1:15" x14ac:dyDescent="0.25">
      <c r="A67" s="2">
        <v>12971</v>
      </c>
      <c r="B67" s="4" t="s">
        <v>21</v>
      </c>
      <c r="C67" s="41" t="s">
        <v>1345</v>
      </c>
      <c r="D67" s="42">
        <v>55</v>
      </c>
      <c r="E67" s="43">
        <v>31</v>
      </c>
      <c r="F67" s="50" t="str">
        <f>VLOOKUP(tabPontoPed[[#This Row],[GRUPO]],tabGrupos[#Data],2,FALSE)</f>
        <v>EQUIP. MAT. P/ GERACAO, TRANSM. DISTR. RETIF...</v>
      </c>
      <c r="G67" s="42" t="str">
        <f>VLOOKUP(tabPontoPed[[#This Row],[GRUPO]],tabGrupos[#Data],3,FALSE)</f>
        <v>MEL</v>
      </c>
      <c r="H67" s="41" t="s">
        <v>1339</v>
      </c>
      <c r="I67" s="9">
        <v>4</v>
      </c>
      <c r="J67" s="51">
        <v>15</v>
      </c>
      <c r="K67" s="7">
        <f>tabPontoPed[[#This Row],[QTDMÊS]] * tabPontoPed[[#This Row],[MENSAL]]</f>
        <v>60</v>
      </c>
      <c r="L67" s="13" t="s">
        <v>1012</v>
      </c>
      <c r="M67" s="44"/>
      <c r="N67" s="45" t="str">
        <f>_xlfn.IFNA(IF(VLOOKUP(tabPontoPed[[#This Row],[CÓDIGO]],Excluir_do_Estoque!$A$4:$A$4004,1,FALSE),"sim",""),"")</f>
        <v/>
      </c>
      <c r="O67" s="10" t="str">
        <f t="shared" si="0"/>
        <v>*</v>
      </c>
    </row>
    <row r="68" spans="1:15" x14ac:dyDescent="0.25">
      <c r="A68" s="2">
        <v>12989</v>
      </c>
      <c r="B68" s="4" t="s">
        <v>619</v>
      </c>
      <c r="C68" s="41" t="s">
        <v>1345</v>
      </c>
      <c r="D68" s="42">
        <v>55</v>
      </c>
      <c r="E68" s="43">
        <v>7</v>
      </c>
      <c r="F68" s="50" t="str">
        <f>VLOOKUP(tabPontoPed[[#This Row],[GRUPO]],tabGrupos[#Data],2,FALSE)</f>
        <v>EQUIP. MAT. P/ GERACAO, TRANSM. DISTR. RETIF...</v>
      </c>
      <c r="G68" s="42" t="str">
        <f>VLOOKUP(tabPontoPed[[#This Row],[GRUPO]],tabGrupos[#Data],3,FALSE)</f>
        <v>MEL</v>
      </c>
      <c r="H68" s="41" t="s">
        <v>1339</v>
      </c>
      <c r="I68" s="9">
        <v>4</v>
      </c>
      <c r="J68" s="51">
        <v>19</v>
      </c>
      <c r="K68" s="7">
        <f>tabPontoPed[[#This Row],[QTDMÊS]] * tabPontoPed[[#This Row],[MENSAL]]</f>
        <v>76</v>
      </c>
      <c r="L68" s="13" t="s">
        <v>1012</v>
      </c>
      <c r="M68" s="44"/>
      <c r="N68" s="45" t="str">
        <f>_xlfn.IFNA(IF(VLOOKUP(tabPontoPed[[#This Row],[CÓDIGO]],Excluir_do_Estoque!$A$4:$A$4004,1,FALSE),"sim",""),"")</f>
        <v/>
      </c>
      <c r="O68" s="10" t="str">
        <f t="shared" ref="O68:O131" si="1">"*"</f>
        <v>*</v>
      </c>
    </row>
    <row r="69" spans="1:15" x14ac:dyDescent="0.25">
      <c r="A69" s="2">
        <v>12992</v>
      </c>
      <c r="B69" s="4" t="s">
        <v>103</v>
      </c>
      <c r="C69" s="41" t="s">
        <v>1345</v>
      </c>
      <c r="D69" s="42">
        <v>55</v>
      </c>
      <c r="E69" s="43">
        <v>7</v>
      </c>
      <c r="F69" s="50" t="str">
        <f>VLOOKUP(tabPontoPed[[#This Row],[GRUPO]],tabGrupos[#Data],2,FALSE)</f>
        <v>EQUIP. MAT. P/ GERACAO, TRANSM. DISTR. RETIF...</v>
      </c>
      <c r="G69" s="42" t="str">
        <f>VLOOKUP(tabPontoPed[[#This Row],[GRUPO]],tabGrupos[#Data],3,FALSE)</f>
        <v>MEL</v>
      </c>
      <c r="H69" s="41" t="s">
        <v>1339</v>
      </c>
      <c r="I69" s="9">
        <v>4</v>
      </c>
      <c r="J69" s="51">
        <v>5</v>
      </c>
      <c r="K69" s="7">
        <f>tabPontoPed[[#This Row],[QTDMÊS]] * tabPontoPed[[#This Row],[MENSAL]]</f>
        <v>20</v>
      </c>
      <c r="L69" s="13" t="s">
        <v>1012</v>
      </c>
      <c r="M69" s="44"/>
      <c r="N69" s="45" t="str">
        <f>_xlfn.IFNA(IF(VLOOKUP(tabPontoPed[[#This Row],[CÓDIGO]],Excluir_do_Estoque!$A$4:$A$4004,1,FALSE),"sim",""),"")</f>
        <v/>
      </c>
      <c r="O69" s="10" t="str">
        <f t="shared" si="1"/>
        <v>*</v>
      </c>
    </row>
    <row r="70" spans="1:15" x14ac:dyDescent="0.25">
      <c r="A70" s="2">
        <v>13009</v>
      </c>
      <c r="B70" s="4" t="s">
        <v>648</v>
      </c>
      <c r="C70" s="41" t="s">
        <v>1345</v>
      </c>
      <c r="D70" s="42">
        <v>55</v>
      </c>
      <c r="E70" s="43">
        <v>32</v>
      </c>
      <c r="F70" s="50" t="str">
        <f>VLOOKUP(tabPontoPed[[#This Row],[GRUPO]],tabGrupos[#Data],2,FALSE)</f>
        <v>EQUIP. MAT. P/ GERACAO, TRANSM. DISTR. RETIF...</v>
      </c>
      <c r="G70" s="42" t="str">
        <f>VLOOKUP(tabPontoPed[[#This Row],[GRUPO]],tabGrupos[#Data],3,FALSE)</f>
        <v>MEL</v>
      </c>
      <c r="H70" s="41" t="s">
        <v>1339</v>
      </c>
      <c r="I70" s="9">
        <v>4</v>
      </c>
      <c r="J70" s="51">
        <v>55</v>
      </c>
      <c r="K70" s="7">
        <f>tabPontoPed[[#This Row],[QTDMÊS]] * tabPontoPed[[#This Row],[MENSAL]]</f>
        <v>220</v>
      </c>
      <c r="L70" s="13" t="s">
        <v>1012</v>
      </c>
      <c r="M70" s="44"/>
      <c r="N70" s="45" t="str">
        <f>_xlfn.IFNA(IF(VLOOKUP(tabPontoPed[[#This Row],[CÓDIGO]],Excluir_do_Estoque!$A$4:$A$4004,1,FALSE),"sim",""),"")</f>
        <v/>
      </c>
      <c r="O70" s="10" t="str">
        <f t="shared" si="1"/>
        <v>*</v>
      </c>
    </row>
    <row r="71" spans="1:15" x14ac:dyDescent="0.25">
      <c r="A71" s="2">
        <v>13021</v>
      </c>
      <c r="B71" s="4" t="s">
        <v>837</v>
      </c>
      <c r="C71" s="41" t="s">
        <v>1345</v>
      </c>
      <c r="D71" s="42">
        <v>67</v>
      </c>
      <c r="E71" s="43">
        <v>6</v>
      </c>
      <c r="F71" s="50" t="str">
        <f>VLOOKUP(tabPontoPed[[#This Row],[GRUPO]],tabGrupos[#Data],2,FALSE)</f>
        <v>PARAFUSOS ELEM. VEDACAO UNIAO CONEX . FIXACAO</v>
      </c>
      <c r="G71" s="42" t="str">
        <f>VLOOKUP(tabPontoPed[[#This Row],[GRUPO]],tabGrupos[#Data],3,FALSE)</f>
        <v>MSE</v>
      </c>
      <c r="H71" s="41" t="s">
        <v>1339</v>
      </c>
      <c r="I71" s="9">
        <v>4</v>
      </c>
      <c r="J71" s="51">
        <v>1</v>
      </c>
      <c r="K71" s="7">
        <f>tabPontoPed[[#This Row],[QTDMÊS]] * tabPontoPed[[#This Row],[MENSAL]]</f>
        <v>4</v>
      </c>
      <c r="L71" s="13" t="s">
        <v>1012</v>
      </c>
      <c r="M71" s="44"/>
      <c r="N71" s="45" t="str">
        <f>_xlfn.IFNA(IF(VLOOKUP(tabPontoPed[[#This Row],[CÓDIGO]],Excluir_do_Estoque!$A$4:$A$4004,1,FALSE),"sim",""),"")</f>
        <v/>
      </c>
      <c r="O71" s="10" t="str">
        <f t="shared" si="1"/>
        <v>*</v>
      </c>
    </row>
    <row r="72" spans="1:15" x14ac:dyDescent="0.25">
      <c r="A72" s="2">
        <v>13033</v>
      </c>
      <c r="B72" s="4" t="s">
        <v>539</v>
      </c>
      <c r="C72" s="41" t="s">
        <v>1345</v>
      </c>
      <c r="D72" s="42">
        <v>51</v>
      </c>
      <c r="E72" s="43">
        <v>26</v>
      </c>
      <c r="F72" s="50" t="str">
        <f>VLOOKUP(tabPontoPed[[#This Row],[GRUPO]],tabGrupos[#Data],2,FALSE)</f>
        <v>MAT.E EQUIP. P/ CONSTR.CIVIL E CONSERV. DE VIAS PUBL.</v>
      </c>
      <c r="G72" s="42" t="str">
        <f>VLOOKUP(tabPontoPed[[#This Row],[GRUPO]],tabGrupos[#Data],3,FALSE)</f>
        <v>MCO</v>
      </c>
      <c r="H72" s="41" t="s">
        <v>1339</v>
      </c>
      <c r="I72" s="9">
        <v>4</v>
      </c>
      <c r="J72" s="51">
        <v>3</v>
      </c>
      <c r="K72" s="7">
        <f>tabPontoPed[[#This Row],[QTDMÊS]] * tabPontoPed[[#This Row],[MENSAL]]</f>
        <v>12</v>
      </c>
      <c r="L72" s="13" t="s">
        <v>1012</v>
      </c>
      <c r="M72" s="44"/>
      <c r="N72" s="45" t="str">
        <f>_xlfn.IFNA(IF(VLOOKUP(tabPontoPed[[#This Row],[CÓDIGO]],Excluir_do_Estoque!$A$4:$A$4004,1,FALSE),"sim",""),"")</f>
        <v/>
      </c>
      <c r="O72" s="10" t="str">
        <f t="shared" si="1"/>
        <v>*</v>
      </c>
    </row>
    <row r="73" spans="1:15" x14ac:dyDescent="0.25">
      <c r="A73" s="2">
        <v>13053</v>
      </c>
      <c r="B73" s="4" t="s">
        <v>375</v>
      </c>
      <c r="C73" s="41" t="s">
        <v>1345</v>
      </c>
      <c r="D73" s="42">
        <v>55</v>
      </c>
      <c r="E73" s="43">
        <v>57</v>
      </c>
      <c r="F73" s="50" t="str">
        <f>VLOOKUP(tabPontoPed[[#This Row],[GRUPO]],tabGrupos[#Data],2,FALSE)</f>
        <v>EQUIP. MAT. P/ GERACAO, TRANSM. DISTR. RETIF...</v>
      </c>
      <c r="G73" s="42" t="str">
        <f>VLOOKUP(tabPontoPed[[#This Row],[GRUPO]],tabGrupos[#Data],3,FALSE)</f>
        <v>MEL</v>
      </c>
      <c r="H73" s="41" t="s">
        <v>1339</v>
      </c>
      <c r="I73" s="9">
        <v>4</v>
      </c>
      <c r="J73" s="51">
        <v>39</v>
      </c>
      <c r="K73" s="7">
        <f>tabPontoPed[[#This Row],[QTDMÊS]] * tabPontoPed[[#This Row],[MENSAL]]</f>
        <v>156</v>
      </c>
      <c r="L73" s="13" t="s">
        <v>1012</v>
      </c>
      <c r="M73" s="44"/>
      <c r="N73" s="45" t="str">
        <f>_xlfn.IFNA(IF(VLOOKUP(tabPontoPed[[#This Row],[CÓDIGO]],Excluir_do_Estoque!$A$4:$A$4004,1,FALSE),"sim",""),"")</f>
        <v/>
      </c>
      <c r="O73" s="10" t="str">
        <f t="shared" si="1"/>
        <v>*</v>
      </c>
    </row>
    <row r="74" spans="1:15" x14ac:dyDescent="0.25">
      <c r="A74" s="2">
        <v>13059</v>
      </c>
      <c r="B74" s="4" t="s">
        <v>368</v>
      </c>
      <c r="C74" s="41" t="s">
        <v>1345</v>
      </c>
      <c r="D74" s="42">
        <v>55</v>
      </c>
      <c r="E74" s="43">
        <v>52</v>
      </c>
      <c r="F74" s="50" t="str">
        <f>VLOOKUP(tabPontoPed[[#This Row],[GRUPO]],tabGrupos[#Data],2,FALSE)</f>
        <v>EQUIP. MAT. P/ GERACAO, TRANSM. DISTR. RETIF...</v>
      </c>
      <c r="G74" s="42" t="str">
        <f>VLOOKUP(tabPontoPed[[#This Row],[GRUPO]],tabGrupos[#Data],3,FALSE)</f>
        <v>MEL</v>
      </c>
      <c r="H74" s="41" t="s">
        <v>1339</v>
      </c>
      <c r="I74" s="9">
        <v>4</v>
      </c>
      <c r="J74" s="51">
        <v>23</v>
      </c>
      <c r="K74" s="7">
        <f>tabPontoPed[[#This Row],[QTDMÊS]] * tabPontoPed[[#This Row],[MENSAL]]</f>
        <v>92</v>
      </c>
      <c r="L74" s="13" t="s">
        <v>1012</v>
      </c>
      <c r="M74" s="44"/>
      <c r="N74" s="45" t="str">
        <f>_xlfn.IFNA(IF(VLOOKUP(tabPontoPed[[#This Row],[CÓDIGO]],Excluir_do_Estoque!$A$4:$A$4004,1,FALSE),"sim",""),"")</f>
        <v/>
      </c>
      <c r="O74" s="10" t="str">
        <f t="shared" si="1"/>
        <v>*</v>
      </c>
    </row>
    <row r="75" spans="1:15" x14ac:dyDescent="0.25">
      <c r="A75" s="2">
        <v>13060</v>
      </c>
      <c r="B75" s="4" t="s">
        <v>369</v>
      </c>
      <c r="C75" s="41" t="s">
        <v>1345</v>
      </c>
      <c r="D75" s="42">
        <v>55</v>
      </c>
      <c r="E75" s="43">
        <v>52</v>
      </c>
      <c r="F75" s="50" t="str">
        <f>VLOOKUP(tabPontoPed[[#This Row],[GRUPO]],tabGrupos[#Data],2,FALSE)</f>
        <v>EQUIP. MAT. P/ GERACAO, TRANSM. DISTR. RETIF...</v>
      </c>
      <c r="G75" s="42" t="str">
        <f>VLOOKUP(tabPontoPed[[#This Row],[GRUPO]],tabGrupos[#Data],3,FALSE)</f>
        <v>MEL</v>
      </c>
      <c r="H75" s="41" t="s">
        <v>1339</v>
      </c>
      <c r="I75" s="9">
        <v>4</v>
      </c>
      <c r="J75" s="51">
        <v>17</v>
      </c>
      <c r="K75" s="7">
        <f>tabPontoPed[[#This Row],[QTDMÊS]] * tabPontoPed[[#This Row],[MENSAL]]</f>
        <v>68</v>
      </c>
      <c r="L75" s="13" t="s">
        <v>1012</v>
      </c>
      <c r="M75" s="44"/>
      <c r="N75" s="45" t="str">
        <f>_xlfn.IFNA(IF(VLOOKUP(tabPontoPed[[#This Row],[CÓDIGO]],Excluir_do_Estoque!$A$4:$A$4004,1,FALSE),"sim",""),"")</f>
        <v/>
      </c>
      <c r="O75" s="10" t="str">
        <f t="shared" si="1"/>
        <v>*</v>
      </c>
    </row>
    <row r="76" spans="1:15" x14ac:dyDescent="0.25">
      <c r="A76" s="2">
        <v>13063</v>
      </c>
      <c r="B76" s="4" t="s">
        <v>776</v>
      </c>
      <c r="C76" s="41" t="s">
        <v>1345</v>
      </c>
      <c r="D76" s="42">
        <v>61</v>
      </c>
      <c r="E76" s="43">
        <v>9</v>
      </c>
      <c r="F76" s="50" t="str">
        <f>VLOOKUP(tabPontoPed[[#This Row],[GRUPO]],tabGrupos[#Data],2,FALSE)</f>
        <v>MATERIAL HIDRAULICO, CANOS, TUBOS, MANGUEIRAS, CONEXOES E ACESS.</v>
      </c>
      <c r="G76" s="42" t="str">
        <f>VLOOKUP(tabPontoPed[[#This Row],[GRUPO]],tabGrupos[#Data],3,FALSE)</f>
        <v>MHI</v>
      </c>
      <c r="H76" s="41" t="s">
        <v>1339</v>
      </c>
      <c r="I76" s="9">
        <v>4</v>
      </c>
      <c r="J76" s="51">
        <v>47</v>
      </c>
      <c r="K76" s="7">
        <f>tabPontoPed[[#This Row],[QTDMÊS]] * tabPontoPed[[#This Row],[MENSAL]]</f>
        <v>188</v>
      </c>
      <c r="L76" s="13" t="s">
        <v>1012</v>
      </c>
      <c r="M76" s="44"/>
      <c r="N76" s="45" t="str">
        <f>_xlfn.IFNA(IF(VLOOKUP(tabPontoPed[[#This Row],[CÓDIGO]],Excluir_do_Estoque!$A$4:$A$4004,1,FALSE),"sim",""),"")</f>
        <v/>
      </c>
      <c r="O76" s="10" t="str">
        <f t="shared" si="1"/>
        <v>*</v>
      </c>
    </row>
    <row r="77" spans="1:15" x14ac:dyDescent="0.25">
      <c r="A77" s="2">
        <v>13064</v>
      </c>
      <c r="B77" s="4" t="s">
        <v>777</v>
      </c>
      <c r="C77" s="41" t="s">
        <v>1345</v>
      </c>
      <c r="D77" s="42">
        <v>61</v>
      </c>
      <c r="E77" s="43">
        <v>9</v>
      </c>
      <c r="F77" s="50" t="str">
        <f>VLOOKUP(tabPontoPed[[#This Row],[GRUPO]],tabGrupos[#Data],2,FALSE)</f>
        <v>MATERIAL HIDRAULICO, CANOS, TUBOS, MANGUEIRAS, CONEXOES E ACESS.</v>
      </c>
      <c r="G77" s="42" t="str">
        <f>VLOOKUP(tabPontoPed[[#This Row],[GRUPO]],tabGrupos[#Data],3,FALSE)</f>
        <v>MHI</v>
      </c>
      <c r="H77" s="41" t="s">
        <v>1339</v>
      </c>
      <c r="I77" s="9">
        <v>4</v>
      </c>
      <c r="J77" s="51">
        <v>91</v>
      </c>
      <c r="K77" s="7">
        <f>tabPontoPed[[#This Row],[QTDMÊS]] * tabPontoPed[[#This Row],[MENSAL]]</f>
        <v>364</v>
      </c>
      <c r="L77" s="13" t="s">
        <v>1012</v>
      </c>
      <c r="M77" s="44"/>
      <c r="N77" s="45" t="str">
        <f>_xlfn.IFNA(IF(VLOOKUP(tabPontoPed[[#This Row],[CÓDIGO]],Excluir_do_Estoque!$A$4:$A$4004,1,FALSE),"sim",""),"")</f>
        <v/>
      </c>
      <c r="O77" s="10" t="str">
        <f t="shared" si="1"/>
        <v>*</v>
      </c>
    </row>
    <row r="78" spans="1:15" x14ac:dyDescent="0.25">
      <c r="A78" s="2">
        <v>13066</v>
      </c>
      <c r="B78" s="4" t="s">
        <v>157</v>
      </c>
      <c r="C78" s="41" t="s">
        <v>1345</v>
      </c>
      <c r="D78" s="42">
        <v>83</v>
      </c>
      <c r="E78" s="43">
        <v>2</v>
      </c>
      <c r="F78" s="50" t="str">
        <f>VLOOKUP(tabPontoPed[[#This Row],[GRUPO]],tabGrupos[#Data],2,FALSE)</f>
        <v>ABRASIVOS</v>
      </c>
      <c r="G78" s="42" t="str">
        <f>VLOOKUP(tabPontoPed[[#This Row],[GRUPO]],tabGrupos[#Data],3,FALSE)</f>
        <v>MAN</v>
      </c>
      <c r="H78" s="41" t="s">
        <v>1339</v>
      </c>
      <c r="I78" s="9">
        <v>4</v>
      </c>
      <c r="J78" s="51">
        <v>35</v>
      </c>
      <c r="K78" s="7">
        <f>tabPontoPed[[#This Row],[QTDMÊS]] * tabPontoPed[[#This Row],[MENSAL]]</f>
        <v>140</v>
      </c>
      <c r="L78" s="13" t="s">
        <v>1012</v>
      </c>
      <c r="M78" s="44"/>
      <c r="N78" s="45" t="str">
        <f>_xlfn.IFNA(IF(VLOOKUP(tabPontoPed[[#This Row],[CÓDIGO]],Excluir_do_Estoque!$A$4:$A$4004,1,FALSE),"sim",""),"")</f>
        <v/>
      </c>
      <c r="O78" s="10" t="str">
        <f t="shared" si="1"/>
        <v>*</v>
      </c>
    </row>
    <row r="79" spans="1:15" x14ac:dyDescent="0.25">
      <c r="A79" s="2">
        <v>13068</v>
      </c>
      <c r="B79" s="4" t="s">
        <v>741</v>
      </c>
      <c r="C79" s="41" t="s">
        <v>1345</v>
      </c>
      <c r="D79" s="42">
        <v>61</v>
      </c>
      <c r="E79" s="43">
        <v>8</v>
      </c>
      <c r="F79" s="50" t="str">
        <f>VLOOKUP(tabPontoPed[[#This Row],[GRUPO]],tabGrupos[#Data],2,FALSE)</f>
        <v>MATERIAL HIDRAULICO, CANOS, TUBOS, MANGUEIRAS, CONEXOES E ACESS.</v>
      </c>
      <c r="G79" s="42" t="str">
        <f>VLOOKUP(tabPontoPed[[#This Row],[GRUPO]],tabGrupos[#Data],3,FALSE)</f>
        <v>MHI</v>
      </c>
      <c r="H79" s="41" t="s">
        <v>1339</v>
      </c>
      <c r="I79" s="9">
        <v>4</v>
      </c>
      <c r="J79" s="51">
        <v>2</v>
      </c>
      <c r="K79" s="7">
        <f>tabPontoPed[[#This Row],[QTDMÊS]] * tabPontoPed[[#This Row],[MENSAL]]</f>
        <v>8</v>
      </c>
      <c r="L79" s="13" t="s">
        <v>1012</v>
      </c>
      <c r="M79" s="44"/>
      <c r="N79" s="45" t="str">
        <f>_xlfn.IFNA(IF(VLOOKUP(tabPontoPed[[#This Row],[CÓDIGO]],Excluir_do_Estoque!$A$4:$A$4004,1,FALSE),"sim",""),"")</f>
        <v/>
      </c>
      <c r="O79" s="10" t="str">
        <f t="shared" si="1"/>
        <v>*</v>
      </c>
    </row>
    <row r="80" spans="1:15" x14ac:dyDescent="0.25">
      <c r="A80" s="2">
        <v>13072</v>
      </c>
      <c r="B80" s="4" t="s">
        <v>742</v>
      </c>
      <c r="C80" s="41" t="s">
        <v>1345</v>
      </c>
      <c r="D80" s="42">
        <v>61</v>
      </c>
      <c r="E80" s="43">
        <v>8</v>
      </c>
      <c r="F80" s="50" t="str">
        <f>VLOOKUP(tabPontoPed[[#This Row],[GRUPO]],tabGrupos[#Data],2,FALSE)</f>
        <v>MATERIAL HIDRAULICO, CANOS, TUBOS, MANGUEIRAS, CONEXOES E ACESS.</v>
      </c>
      <c r="G80" s="42" t="str">
        <f>VLOOKUP(tabPontoPed[[#This Row],[GRUPO]],tabGrupos[#Data],3,FALSE)</f>
        <v>MHI</v>
      </c>
      <c r="H80" s="41" t="s">
        <v>1339</v>
      </c>
      <c r="I80" s="9">
        <v>4</v>
      </c>
      <c r="J80" s="51">
        <v>9</v>
      </c>
      <c r="K80" s="7">
        <f>tabPontoPed[[#This Row],[QTDMÊS]] * tabPontoPed[[#This Row],[MENSAL]]</f>
        <v>36</v>
      </c>
      <c r="L80" s="13" t="s">
        <v>1012</v>
      </c>
      <c r="M80" s="44"/>
      <c r="N80" s="45" t="str">
        <f>_xlfn.IFNA(IF(VLOOKUP(tabPontoPed[[#This Row],[CÓDIGO]],Excluir_do_Estoque!$A$4:$A$4004,1,FALSE),"sim",""),"")</f>
        <v/>
      </c>
      <c r="O80" s="10" t="str">
        <f t="shared" si="1"/>
        <v>*</v>
      </c>
    </row>
    <row r="81" spans="1:15" x14ac:dyDescent="0.25">
      <c r="A81" s="2">
        <v>13087</v>
      </c>
      <c r="B81" s="4" t="s">
        <v>160</v>
      </c>
      <c r="C81" s="41" t="s">
        <v>1345</v>
      </c>
      <c r="D81" s="42">
        <v>83</v>
      </c>
      <c r="E81" s="43">
        <v>2</v>
      </c>
      <c r="F81" s="50" t="str">
        <f>VLOOKUP(tabPontoPed[[#This Row],[GRUPO]],tabGrupos[#Data],2,FALSE)</f>
        <v>ABRASIVOS</v>
      </c>
      <c r="G81" s="42" t="str">
        <f>VLOOKUP(tabPontoPed[[#This Row],[GRUPO]],tabGrupos[#Data],3,FALSE)</f>
        <v>MAN</v>
      </c>
      <c r="H81" s="41" t="s">
        <v>1339</v>
      </c>
      <c r="I81" s="9">
        <v>4</v>
      </c>
      <c r="J81" s="51">
        <v>4</v>
      </c>
      <c r="K81" s="7">
        <f>tabPontoPed[[#This Row],[QTDMÊS]] * tabPontoPed[[#This Row],[MENSAL]]</f>
        <v>16</v>
      </c>
      <c r="L81" s="13" t="s">
        <v>1012</v>
      </c>
      <c r="M81" s="44"/>
      <c r="N81" s="45" t="str">
        <f>_xlfn.IFNA(IF(VLOOKUP(tabPontoPed[[#This Row],[CÓDIGO]],Excluir_do_Estoque!$A$4:$A$4004,1,FALSE),"sim",""),"")</f>
        <v/>
      </c>
      <c r="O81" s="10" t="str">
        <f t="shared" si="1"/>
        <v>*</v>
      </c>
    </row>
    <row r="82" spans="1:15" x14ac:dyDescent="0.25">
      <c r="A82" s="2">
        <v>13088</v>
      </c>
      <c r="B82" s="4" t="s">
        <v>158</v>
      </c>
      <c r="C82" s="41" t="s">
        <v>1345</v>
      </c>
      <c r="D82" s="42">
        <v>83</v>
      </c>
      <c r="E82" s="43">
        <v>2</v>
      </c>
      <c r="F82" s="50" t="str">
        <f>VLOOKUP(tabPontoPed[[#This Row],[GRUPO]],tabGrupos[#Data],2,FALSE)</f>
        <v>ABRASIVOS</v>
      </c>
      <c r="G82" s="42" t="str">
        <f>VLOOKUP(tabPontoPed[[#This Row],[GRUPO]],tabGrupos[#Data],3,FALSE)</f>
        <v>MAN</v>
      </c>
      <c r="H82" s="41" t="s">
        <v>1339</v>
      </c>
      <c r="I82" s="9">
        <v>4</v>
      </c>
      <c r="J82" s="51">
        <v>3</v>
      </c>
      <c r="K82" s="7">
        <f>tabPontoPed[[#This Row],[QTDMÊS]] * tabPontoPed[[#This Row],[MENSAL]]</f>
        <v>12</v>
      </c>
      <c r="L82" s="13" t="s">
        <v>1012</v>
      </c>
      <c r="M82" s="44"/>
      <c r="N82" s="45" t="str">
        <f>_xlfn.IFNA(IF(VLOOKUP(tabPontoPed[[#This Row],[CÓDIGO]],Excluir_do_Estoque!$A$4:$A$4004,1,FALSE),"sim",""),"")</f>
        <v/>
      </c>
      <c r="O82" s="10" t="str">
        <f t="shared" si="1"/>
        <v>*</v>
      </c>
    </row>
    <row r="83" spans="1:15" x14ac:dyDescent="0.25">
      <c r="A83" s="2">
        <v>13091</v>
      </c>
      <c r="B83" s="4" t="s">
        <v>466</v>
      </c>
      <c r="C83" s="41" t="s">
        <v>1345</v>
      </c>
      <c r="D83" s="42">
        <v>45</v>
      </c>
      <c r="E83" s="43">
        <v>14</v>
      </c>
      <c r="F83" s="50" t="str">
        <f>VLOOKUP(tabPontoPed[[#This Row],[GRUPO]],tabGrupos[#Data],2,FALSE)</f>
        <v>MAQ., EQUIP., COMP., ACES., MAT. PARA ESCRIT.E ESCOLAR</v>
      </c>
      <c r="G83" s="42" t="str">
        <f>VLOOKUP(tabPontoPed[[#This Row],[GRUPO]],tabGrupos[#Data],3,FALSE)</f>
        <v>EDU</v>
      </c>
      <c r="H83" s="41" t="s">
        <v>1339</v>
      </c>
      <c r="I83" s="9">
        <v>4</v>
      </c>
      <c r="J83" s="51">
        <v>392</v>
      </c>
      <c r="K83" s="7">
        <f>tabPontoPed[[#This Row],[QTDMÊS]] * tabPontoPed[[#This Row],[MENSAL]]</f>
        <v>1568</v>
      </c>
      <c r="L83" s="13" t="s">
        <v>1012</v>
      </c>
      <c r="M83" s="44"/>
      <c r="N83" s="45" t="str">
        <f>_xlfn.IFNA(IF(VLOOKUP(tabPontoPed[[#This Row],[CÓDIGO]],Excluir_do_Estoque!$A$4:$A$4004,1,FALSE),"sim",""),"")</f>
        <v/>
      </c>
      <c r="O83" s="10" t="str">
        <f t="shared" si="1"/>
        <v>*</v>
      </c>
    </row>
    <row r="84" spans="1:15" x14ac:dyDescent="0.25">
      <c r="A84" s="2">
        <v>13092</v>
      </c>
      <c r="B84" s="4" t="s">
        <v>312</v>
      </c>
      <c r="C84" s="41" t="s">
        <v>1345</v>
      </c>
      <c r="D84" s="42">
        <v>61</v>
      </c>
      <c r="E84" s="43">
        <v>11</v>
      </c>
      <c r="F84" s="50" t="str">
        <f>VLOOKUP(tabPontoPed[[#This Row],[GRUPO]],tabGrupos[#Data],2,FALSE)</f>
        <v>MATERIAL HIDRAULICO, CANOS, TUBOS, MANGUEIRAS, CONEXOES E ACESS.</v>
      </c>
      <c r="G84" s="42" t="str">
        <f>VLOOKUP(tabPontoPed[[#This Row],[GRUPO]],tabGrupos[#Data],3,FALSE)</f>
        <v>MHI</v>
      </c>
      <c r="H84" s="41" t="s">
        <v>1339</v>
      </c>
      <c r="I84" s="9">
        <v>4</v>
      </c>
      <c r="J84" s="51">
        <v>8</v>
      </c>
      <c r="K84" s="7">
        <f>tabPontoPed[[#This Row],[QTDMÊS]] * tabPontoPed[[#This Row],[MENSAL]]</f>
        <v>32</v>
      </c>
      <c r="L84" s="13" t="s">
        <v>1012</v>
      </c>
      <c r="M84" s="44"/>
      <c r="N84" s="45" t="str">
        <f>_xlfn.IFNA(IF(VLOOKUP(tabPontoPed[[#This Row],[CÓDIGO]],Excluir_do_Estoque!$A$4:$A$4004,1,FALSE),"sim",""),"")</f>
        <v/>
      </c>
      <c r="O84" s="10" t="str">
        <f t="shared" si="1"/>
        <v>*</v>
      </c>
    </row>
    <row r="85" spans="1:15" x14ac:dyDescent="0.25">
      <c r="A85" s="2">
        <v>13094</v>
      </c>
      <c r="B85" s="4" t="s">
        <v>507</v>
      </c>
      <c r="C85" s="41" t="s">
        <v>1345</v>
      </c>
      <c r="D85" s="42">
        <v>51</v>
      </c>
      <c r="E85" s="43">
        <v>11</v>
      </c>
      <c r="F85" s="50" t="str">
        <f>VLOOKUP(tabPontoPed[[#This Row],[GRUPO]],tabGrupos[#Data],2,FALSE)</f>
        <v>MAT.E EQUIP. P/ CONSTR.CIVIL E CONSERV. DE VIAS PUBL.</v>
      </c>
      <c r="G85" s="42" t="str">
        <f>VLOOKUP(tabPontoPed[[#This Row],[GRUPO]],tabGrupos[#Data],3,FALSE)</f>
        <v>MCO</v>
      </c>
      <c r="H85" s="41" t="s">
        <v>1339</v>
      </c>
      <c r="I85" s="9">
        <v>4</v>
      </c>
      <c r="J85" s="51">
        <v>74</v>
      </c>
      <c r="K85" s="7">
        <f>tabPontoPed[[#This Row],[QTDMÊS]] * tabPontoPed[[#This Row],[MENSAL]]</f>
        <v>296</v>
      </c>
      <c r="L85" s="13" t="s">
        <v>1012</v>
      </c>
      <c r="M85" s="44"/>
      <c r="N85" s="45" t="str">
        <f>_xlfn.IFNA(IF(VLOOKUP(tabPontoPed[[#This Row],[CÓDIGO]],Excluir_do_Estoque!$A$4:$A$4004,1,FALSE),"sim",""),"")</f>
        <v/>
      </c>
      <c r="O85" s="10" t="str">
        <f t="shared" si="1"/>
        <v>*</v>
      </c>
    </row>
    <row r="86" spans="1:15" x14ac:dyDescent="0.25">
      <c r="A86" s="2">
        <v>13095</v>
      </c>
      <c r="B86" s="4" t="s">
        <v>743</v>
      </c>
      <c r="C86" s="41" t="s">
        <v>1345</v>
      </c>
      <c r="D86" s="42">
        <v>61</v>
      </c>
      <c r="E86" s="43">
        <v>8</v>
      </c>
      <c r="F86" s="50" t="str">
        <f>VLOOKUP(tabPontoPed[[#This Row],[GRUPO]],tabGrupos[#Data],2,FALSE)</f>
        <v>MATERIAL HIDRAULICO, CANOS, TUBOS, MANGUEIRAS, CONEXOES E ACESS.</v>
      </c>
      <c r="G86" s="42" t="str">
        <f>VLOOKUP(tabPontoPed[[#This Row],[GRUPO]],tabGrupos[#Data],3,FALSE)</f>
        <v>MHI</v>
      </c>
      <c r="H86" s="41" t="s">
        <v>1339</v>
      </c>
      <c r="I86" s="9">
        <v>4</v>
      </c>
      <c r="J86" s="51">
        <v>6</v>
      </c>
      <c r="K86" s="7">
        <f>tabPontoPed[[#This Row],[QTDMÊS]] * tabPontoPed[[#This Row],[MENSAL]]</f>
        <v>24</v>
      </c>
      <c r="L86" s="13" t="s">
        <v>1012</v>
      </c>
      <c r="M86" s="44"/>
      <c r="N86" s="45" t="str">
        <f>_xlfn.IFNA(IF(VLOOKUP(tabPontoPed[[#This Row],[CÓDIGO]],Excluir_do_Estoque!$A$4:$A$4004,1,FALSE),"sim",""),"")</f>
        <v/>
      </c>
      <c r="O86" s="10" t="str">
        <f t="shared" si="1"/>
        <v>*</v>
      </c>
    </row>
    <row r="87" spans="1:15" x14ac:dyDescent="0.25">
      <c r="A87" s="2">
        <v>13101</v>
      </c>
      <c r="B87" s="4" t="s">
        <v>980</v>
      </c>
      <c r="C87" s="41" t="s">
        <v>1345</v>
      </c>
      <c r="D87" s="42">
        <v>83</v>
      </c>
      <c r="E87" s="43">
        <v>2</v>
      </c>
      <c r="F87" s="50" t="str">
        <f>VLOOKUP(tabPontoPed[[#This Row],[GRUPO]],tabGrupos[#Data],2,FALSE)</f>
        <v>ABRASIVOS</v>
      </c>
      <c r="G87" s="42" t="str">
        <f>VLOOKUP(tabPontoPed[[#This Row],[GRUPO]],tabGrupos[#Data],3,FALSE)</f>
        <v>MAN</v>
      </c>
      <c r="H87" s="41" t="s">
        <v>1339</v>
      </c>
      <c r="I87" s="9">
        <v>4</v>
      </c>
      <c r="J87" s="51">
        <v>2</v>
      </c>
      <c r="K87" s="7">
        <f>tabPontoPed[[#This Row],[QTDMÊS]] * tabPontoPed[[#This Row],[MENSAL]]</f>
        <v>8</v>
      </c>
      <c r="L87" s="13" t="s">
        <v>1012</v>
      </c>
      <c r="M87" s="44"/>
      <c r="N87" s="45" t="str">
        <f>_xlfn.IFNA(IF(VLOOKUP(tabPontoPed[[#This Row],[CÓDIGO]],Excluir_do_Estoque!$A$4:$A$4004,1,FALSE),"sim",""),"")</f>
        <v/>
      </c>
      <c r="O87" s="10" t="str">
        <f t="shared" si="1"/>
        <v>*</v>
      </c>
    </row>
    <row r="88" spans="1:15" x14ac:dyDescent="0.25">
      <c r="A88" s="2">
        <v>13102</v>
      </c>
      <c r="B88" s="4" t="s">
        <v>744</v>
      </c>
      <c r="C88" s="41" t="s">
        <v>1345</v>
      </c>
      <c r="D88" s="42">
        <v>61</v>
      </c>
      <c r="E88" s="43">
        <v>8</v>
      </c>
      <c r="F88" s="50" t="str">
        <f>VLOOKUP(tabPontoPed[[#This Row],[GRUPO]],tabGrupos[#Data],2,FALSE)</f>
        <v>MATERIAL HIDRAULICO, CANOS, TUBOS, MANGUEIRAS, CONEXOES E ACESS.</v>
      </c>
      <c r="G88" s="42" t="str">
        <f>VLOOKUP(tabPontoPed[[#This Row],[GRUPO]],tabGrupos[#Data],3,FALSE)</f>
        <v>MHI</v>
      </c>
      <c r="H88" s="41" t="s">
        <v>1339</v>
      </c>
      <c r="I88" s="9">
        <v>4</v>
      </c>
      <c r="J88" s="51">
        <v>1</v>
      </c>
      <c r="K88" s="7">
        <f>tabPontoPed[[#This Row],[QTDMÊS]] * tabPontoPed[[#This Row],[MENSAL]]</f>
        <v>4</v>
      </c>
      <c r="L88" s="13" t="s">
        <v>1012</v>
      </c>
      <c r="M88" s="44"/>
      <c r="N88" s="45" t="str">
        <f>_xlfn.IFNA(IF(VLOOKUP(tabPontoPed[[#This Row],[CÓDIGO]],Excluir_do_Estoque!$A$4:$A$4004,1,FALSE),"sim",""),"")</f>
        <v/>
      </c>
      <c r="O88" s="10" t="str">
        <f t="shared" si="1"/>
        <v>*</v>
      </c>
    </row>
    <row r="89" spans="1:15" x14ac:dyDescent="0.25">
      <c r="A89" s="2">
        <v>13109</v>
      </c>
      <c r="B89" s="4" t="s">
        <v>981</v>
      </c>
      <c r="C89" s="41" t="s">
        <v>1345</v>
      </c>
      <c r="D89" s="42">
        <v>83</v>
      </c>
      <c r="E89" s="43">
        <v>2</v>
      </c>
      <c r="F89" s="50" t="str">
        <f>VLOOKUP(tabPontoPed[[#This Row],[GRUPO]],tabGrupos[#Data],2,FALSE)</f>
        <v>ABRASIVOS</v>
      </c>
      <c r="G89" s="42" t="str">
        <f>VLOOKUP(tabPontoPed[[#This Row],[GRUPO]],tabGrupos[#Data],3,FALSE)</f>
        <v>MAN</v>
      </c>
      <c r="H89" s="41" t="s">
        <v>1339</v>
      </c>
      <c r="I89" s="9">
        <v>4</v>
      </c>
      <c r="J89" s="51">
        <v>9</v>
      </c>
      <c r="K89" s="7">
        <f>tabPontoPed[[#This Row],[QTDMÊS]] * tabPontoPed[[#This Row],[MENSAL]]</f>
        <v>36</v>
      </c>
      <c r="L89" s="13" t="s">
        <v>1012</v>
      </c>
      <c r="M89" s="44"/>
      <c r="N89" s="45" t="str">
        <f>_xlfn.IFNA(IF(VLOOKUP(tabPontoPed[[#This Row],[CÓDIGO]],Excluir_do_Estoque!$A$4:$A$4004,1,FALSE),"sim",""),"")</f>
        <v/>
      </c>
      <c r="O89" s="10" t="str">
        <f t="shared" si="1"/>
        <v>*</v>
      </c>
    </row>
    <row r="90" spans="1:15" x14ac:dyDescent="0.25">
      <c r="A90" s="2">
        <v>13116</v>
      </c>
      <c r="B90" s="4" t="s">
        <v>787</v>
      </c>
      <c r="C90" s="41" t="s">
        <v>1345</v>
      </c>
      <c r="D90" s="42">
        <v>61</v>
      </c>
      <c r="E90" s="43">
        <v>15</v>
      </c>
      <c r="F90" s="50" t="str">
        <f>VLOOKUP(tabPontoPed[[#This Row],[GRUPO]],tabGrupos[#Data],2,FALSE)</f>
        <v>MATERIAL HIDRAULICO, CANOS, TUBOS, MANGUEIRAS, CONEXOES E ACESS.</v>
      </c>
      <c r="G90" s="42" t="str">
        <f>VLOOKUP(tabPontoPed[[#This Row],[GRUPO]],tabGrupos[#Data],3,FALSE)</f>
        <v>MHI</v>
      </c>
      <c r="H90" s="41" t="s">
        <v>1339</v>
      </c>
      <c r="I90" s="9">
        <v>4</v>
      </c>
      <c r="J90" s="51">
        <v>3</v>
      </c>
      <c r="K90" s="7">
        <f>tabPontoPed[[#This Row],[QTDMÊS]] * tabPontoPed[[#This Row],[MENSAL]]</f>
        <v>12</v>
      </c>
      <c r="L90" s="13" t="s">
        <v>1012</v>
      </c>
      <c r="M90" s="44"/>
      <c r="N90" s="45" t="str">
        <f>_xlfn.IFNA(IF(VLOOKUP(tabPontoPed[[#This Row],[CÓDIGO]],Excluir_do_Estoque!$A$4:$A$4004,1,FALSE),"sim",""),"")</f>
        <v/>
      </c>
      <c r="O90" s="10" t="str">
        <f t="shared" si="1"/>
        <v>*</v>
      </c>
    </row>
    <row r="91" spans="1:15" x14ac:dyDescent="0.25">
      <c r="A91" s="2">
        <v>13117</v>
      </c>
      <c r="B91" s="4" t="s">
        <v>318</v>
      </c>
      <c r="C91" s="41" t="s">
        <v>1345</v>
      </c>
      <c r="D91" s="42">
        <v>61</v>
      </c>
      <c r="E91" s="43">
        <v>15</v>
      </c>
      <c r="F91" s="50" t="str">
        <f>VLOOKUP(tabPontoPed[[#This Row],[GRUPO]],tabGrupos[#Data],2,FALSE)</f>
        <v>MATERIAL HIDRAULICO, CANOS, TUBOS, MANGUEIRAS, CONEXOES E ACESS.</v>
      </c>
      <c r="G91" s="42" t="str">
        <f>VLOOKUP(tabPontoPed[[#This Row],[GRUPO]],tabGrupos[#Data],3,FALSE)</f>
        <v>MHI</v>
      </c>
      <c r="H91" s="41" t="s">
        <v>1339</v>
      </c>
      <c r="I91" s="9">
        <v>4</v>
      </c>
      <c r="J91" s="51">
        <v>5</v>
      </c>
      <c r="K91" s="7">
        <f>tabPontoPed[[#This Row],[QTDMÊS]] * tabPontoPed[[#This Row],[MENSAL]]</f>
        <v>20</v>
      </c>
      <c r="L91" s="13" t="s">
        <v>1012</v>
      </c>
      <c r="M91" s="44"/>
      <c r="N91" s="45" t="str">
        <f>_xlfn.IFNA(IF(VLOOKUP(tabPontoPed[[#This Row],[CÓDIGO]],Excluir_do_Estoque!$A$4:$A$4004,1,FALSE),"sim",""),"")</f>
        <v/>
      </c>
      <c r="O91" s="10" t="str">
        <f t="shared" si="1"/>
        <v>*</v>
      </c>
    </row>
    <row r="92" spans="1:15" x14ac:dyDescent="0.25">
      <c r="A92" s="2">
        <v>13120</v>
      </c>
      <c r="B92" s="4" t="s">
        <v>788</v>
      </c>
      <c r="C92" s="41" t="s">
        <v>1345</v>
      </c>
      <c r="D92" s="42">
        <v>61</v>
      </c>
      <c r="E92" s="43">
        <v>15</v>
      </c>
      <c r="F92" s="50" t="str">
        <f>VLOOKUP(tabPontoPed[[#This Row],[GRUPO]],tabGrupos[#Data],2,FALSE)</f>
        <v>MATERIAL HIDRAULICO, CANOS, TUBOS, MANGUEIRAS, CONEXOES E ACESS.</v>
      </c>
      <c r="G92" s="42" t="str">
        <f>VLOOKUP(tabPontoPed[[#This Row],[GRUPO]],tabGrupos[#Data],3,FALSE)</f>
        <v>MHI</v>
      </c>
      <c r="H92" s="41" t="s">
        <v>1339</v>
      </c>
      <c r="I92" s="9">
        <v>4</v>
      </c>
      <c r="J92" s="51">
        <v>1</v>
      </c>
      <c r="K92" s="7">
        <f>tabPontoPed[[#This Row],[QTDMÊS]] * tabPontoPed[[#This Row],[MENSAL]]</f>
        <v>4</v>
      </c>
      <c r="L92" s="13" t="s">
        <v>1012</v>
      </c>
      <c r="M92" s="44"/>
      <c r="N92" s="45" t="str">
        <f>_xlfn.IFNA(IF(VLOOKUP(tabPontoPed[[#This Row],[CÓDIGO]],Excluir_do_Estoque!$A$4:$A$4004,1,FALSE),"sim",""),"")</f>
        <v/>
      </c>
      <c r="O92" s="10" t="str">
        <f t="shared" si="1"/>
        <v>*</v>
      </c>
    </row>
    <row r="93" spans="1:15" x14ac:dyDescent="0.25">
      <c r="A93" s="2">
        <v>13161</v>
      </c>
      <c r="B93" s="4" t="s">
        <v>781</v>
      </c>
      <c r="C93" s="41" t="s">
        <v>1345</v>
      </c>
      <c r="D93" s="42">
        <v>61</v>
      </c>
      <c r="E93" s="43">
        <v>14</v>
      </c>
      <c r="F93" s="50" t="str">
        <f>VLOOKUP(tabPontoPed[[#This Row],[GRUPO]],tabGrupos[#Data],2,FALSE)</f>
        <v>MATERIAL HIDRAULICO, CANOS, TUBOS, MANGUEIRAS, CONEXOES E ACESS.</v>
      </c>
      <c r="G93" s="42" t="str">
        <f>VLOOKUP(tabPontoPed[[#This Row],[GRUPO]],tabGrupos[#Data],3,FALSE)</f>
        <v>MHI</v>
      </c>
      <c r="H93" s="41" t="s">
        <v>1339</v>
      </c>
      <c r="I93" s="9">
        <v>4</v>
      </c>
      <c r="J93" s="51">
        <v>36</v>
      </c>
      <c r="K93" s="7">
        <f>tabPontoPed[[#This Row],[QTDMÊS]] * tabPontoPed[[#This Row],[MENSAL]]</f>
        <v>144</v>
      </c>
      <c r="L93" s="13" t="s">
        <v>1012</v>
      </c>
      <c r="M93" s="44"/>
      <c r="N93" s="45" t="str">
        <f>_xlfn.IFNA(IF(VLOOKUP(tabPontoPed[[#This Row],[CÓDIGO]],Excluir_do_Estoque!$A$4:$A$4004,1,FALSE),"sim",""),"")</f>
        <v/>
      </c>
      <c r="O93" s="10" t="str">
        <f t="shared" si="1"/>
        <v>*</v>
      </c>
    </row>
    <row r="94" spans="1:15" x14ac:dyDescent="0.25">
      <c r="A94" s="2">
        <v>13165</v>
      </c>
      <c r="B94" s="4" t="s">
        <v>782</v>
      </c>
      <c r="C94" s="41" t="s">
        <v>1345</v>
      </c>
      <c r="D94" s="42">
        <v>61</v>
      </c>
      <c r="E94" s="43">
        <v>14</v>
      </c>
      <c r="F94" s="50" t="str">
        <f>VLOOKUP(tabPontoPed[[#This Row],[GRUPO]],tabGrupos[#Data],2,FALSE)</f>
        <v>MATERIAL HIDRAULICO, CANOS, TUBOS, MANGUEIRAS, CONEXOES E ACESS.</v>
      </c>
      <c r="G94" s="42" t="str">
        <f>VLOOKUP(tabPontoPed[[#This Row],[GRUPO]],tabGrupos[#Data],3,FALSE)</f>
        <v>MHI</v>
      </c>
      <c r="H94" s="41" t="s">
        <v>1339</v>
      </c>
      <c r="I94" s="9">
        <v>4</v>
      </c>
      <c r="J94" s="51">
        <v>52</v>
      </c>
      <c r="K94" s="7">
        <f>tabPontoPed[[#This Row],[QTDMÊS]] * tabPontoPed[[#This Row],[MENSAL]]</f>
        <v>208</v>
      </c>
      <c r="L94" s="13" t="s">
        <v>1012</v>
      </c>
      <c r="M94" s="44"/>
      <c r="N94" s="45" t="str">
        <f>_xlfn.IFNA(IF(VLOOKUP(tabPontoPed[[#This Row],[CÓDIGO]],Excluir_do_Estoque!$A$4:$A$4004,1,FALSE),"sim",""),"")</f>
        <v/>
      </c>
      <c r="O94" s="10" t="str">
        <f t="shared" si="1"/>
        <v>*</v>
      </c>
    </row>
    <row r="95" spans="1:15" x14ac:dyDescent="0.25">
      <c r="A95" s="2">
        <v>13175</v>
      </c>
      <c r="B95" s="4" t="s">
        <v>783</v>
      </c>
      <c r="C95" s="41" t="s">
        <v>1345</v>
      </c>
      <c r="D95" s="42">
        <v>61</v>
      </c>
      <c r="E95" s="43">
        <v>14</v>
      </c>
      <c r="F95" s="50" t="str">
        <f>VLOOKUP(tabPontoPed[[#This Row],[GRUPO]],tabGrupos[#Data],2,FALSE)</f>
        <v>MATERIAL HIDRAULICO, CANOS, TUBOS, MANGUEIRAS, CONEXOES E ACESS.</v>
      </c>
      <c r="G95" s="42" t="str">
        <f>VLOOKUP(tabPontoPed[[#This Row],[GRUPO]],tabGrupos[#Data],3,FALSE)</f>
        <v>MHI</v>
      </c>
      <c r="H95" s="41" t="s">
        <v>1339</v>
      </c>
      <c r="I95" s="9">
        <v>4</v>
      </c>
      <c r="J95" s="51">
        <v>28</v>
      </c>
      <c r="K95" s="7">
        <f>tabPontoPed[[#This Row],[QTDMÊS]] * tabPontoPed[[#This Row],[MENSAL]]</f>
        <v>112</v>
      </c>
      <c r="L95" s="13" t="s">
        <v>1012</v>
      </c>
      <c r="M95" s="44"/>
      <c r="N95" s="45" t="str">
        <f>_xlfn.IFNA(IF(VLOOKUP(tabPontoPed[[#This Row],[CÓDIGO]],Excluir_do_Estoque!$A$4:$A$4004,1,FALSE),"sim",""),"")</f>
        <v/>
      </c>
      <c r="O95" s="10" t="str">
        <f t="shared" si="1"/>
        <v>*</v>
      </c>
    </row>
    <row r="96" spans="1:15" x14ac:dyDescent="0.25">
      <c r="A96" s="2">
        <v>13178</v>
      </c>
      <c r="B96" s="4" t="s">
        <v>853</v>
      </c>
      <c r="C96" s="41" t="s">
        <v>1345</v>
      </c>
      <c r="D96" s="42">
        <v>67</v>
      </c>
      <c r="E96" s="43">
        <v>9</v>
      </c>
      <c r="F96" s="50" t="str">
        <f>VLOOKUP(tabPontoPed[[#This Row],[GRUPO]],tabGrupos[#Data],2,FALSE)</f>
        <v>PARAFUSOS ELEM. VEDACAO UNIAO CONEX . FIXACAO</v>
      </c>
      <c r="G96" s="42" t="str">
        <f>VLOOKUP(tabPontoPed[[#This Row],[GRUPO]],tabGrupos[#Data],3,FALSE)</f>
        <v>MSE</v>
      </c>
      <c r="H96" s="41" t="s">
        <v>1339</v>
      </c>
      <c r="I96" s="9">
        <v>4</v>
      </c>
      <c r="J96" s="51">
        <v>581</v>
      </c>
      <c r="K96" s="7">
        <f>tabPontoPed[[#This Row],[QTDMÊS]] * tabPontoPed[[#This Row],[MENSAL]]</f>
        <v>2324</v>
      </c>
      <c r="L96" s="13" t="s">
        <v>1012</v>
      </c>
      <c r="M96" s="44"/>
      <c r="N96" s="45" t="str">
        <f>_xlfn.IFNA(IF(VLOOKUP(tabPontoPed[[#This Row],[CÓDIGO]],Excluir_do_Estoque!$A$4:$A$4004,1,FALSE),"sim",""),"")</f>
        <v/>
      </c>
      <c r="O96" s="10" t="str">
        <f t="shared" si="1"/>
        <v>*</v>
      </c>
    </row>
    <row r="97" spans="1:15" x14ac:dyDescent="0.25">
      <c r="A97" s="2">
        <v>13180</v>
      </c>
      <c r="B97" s="4" t="s">
        <v>513</v>
      </c>
      <c r="C97" s="41" t="s">
        <v>1345</v>
      </c>
      <c r="D97" s="42">
        <v>51</v>
      </c>
      <c r="E97" s="43">
        <v>12</v>
      </c>
      <c r="F97" s="50" t="str">
        <f>VLOOKUP(tabPontoPed[[#This Row],[GRUPO]],tabGrupos[#Data],2,FALSE)</f>
        <v>MAT.E EQUIP. P/ CONSTR.CIVIL E CONSERV. DE VIAS PUBL.</v>
      </c>
      <c r="G97" s="42" t="str">
        <f>VLOOKUP(tabPontoPed[[#This Row],[GRUPO]],tabGrupos[#Data],3,FALSE)</f>
        <v>MCO</v>
      </c>
      <c r="H97" s="41" t="s">
        <v>1339</v>
      </c>
      <c r="I97" s="9">
        <v>4</v>
      </c>
      <c r="J97" s="51">
        <v>20</v>
      </c>
      <c r="K97" s="7">
        <f>tabPontoPed[[#This Row],[QTDMÊS]] * tabPontoPed[[#This Row],[MENSAL]]</f>
        <v>80</v>
      </c>
      <c r="L97" s="13" t="s">
        <v>1012</v>
      </c>
      <c r="M97" s="44"/>
      <c r="N97" s="45" t="str">
        <f>_xlfn.IFNA(IF(VLOOKUP(tabPontoPed[[#This Row],[CÓDIGO]],Excluir_do_Estoque!$A$4:$A$4004,1,FALSE),"sim",""),"")</f>
        <v/>
      </c>
      <c r="O97" s="10" t="str">
        <f t="shared" si="1"/>
        <v>*</v>
      </c>
    </row>
    <row r="98" spans="1:15" x14ac:dyDescent="0.25">
      <c r="A98" s="2">
        <v>13181</v>
      </c>
      <c r="B98" s="4" t="s">
        <v>514</v>
      </c>
      <c r="C98" s="41" t="s">
        <v>1345</v>
      </c>
      <c r="D98" s="42">
        <v>51</v>
      </c>
      <c r="E98" s="43">
        <v>12</v>
      </c>
      <c r="F98" s="50" t="str">
        <f>VLOOKUP(tabPontoPed[[#This Row],[GRUPO]],tabGrupos[#Data],2,FALSE)</f>
        <v>MAT.E EQUIP. P/ CONSTR.CIVIL E CONSERV. DE VIAS PUBL.</v>
      </c>
      <c r="G98" s="42" t="str">
        <f>VLOOKUP(tabPontoPed[[#This Row],[GRUPO]],tabGrupos[#Data],3,FALSE)</f>
        <v>MCO</v>
      </c>
      <c r="H98" s="41" t="s">
        <v>1339</v>
      </c>
      <c r="I98" s="9">
        <v>4</v>
      </c>
      <c r="J98" s="51">
        <v>5</v>
      </c>
      <c r="K98" s="7">
        <f>tabPontoPed[[#This Row],[QTDMÊS]] * tabPontoPed[[#This Row],[MENSAL]]</f>
        <v>20</v>
      </c>
      <c r="L98" s="13" t="s">
        <v>1012</v>
      </c>
      <c r="M98" s="44"/>
      <c r="N98" s="45" t="str">
        <f>_xlfn.IFNA(IF(VLOOKUP(tabPontoPed[[#This Row],[CÓDIGO]],Excluir_do_Estoque!$A$4:$A$4004,1,FALSE),"sim",""),"")</f>
        <v/>
      </c>
      <c r="O98" s="10" t="str">
        <f t="shared" si="1"/>
        <v>*</v>
      </c>
    </row>
    <row r="99" spans="1:15" x14ac:dyDescent="0.25">
      <c r="A99" s="2">
        <v>13186</v>
      </c>
      <c r="B99" s="4" t="s">
        <v>950</v>
      </c>
      <c r="C99" s="41" t="s">
        <v>1345</v>
      </c>
      <c r="D99" s="42">
        <v>74</v>
      </c>
      <c r="E99" s="43">
        <v>4</v>
      </c>
      <c r="F99" s="50" t="str">
        <f>VLOOKUP(tabPontoPed[[#This Row],[GRUPO]],tabGrupos[#Data],2,FALSE)</f>
        <v>MADEIRAS,LAMINADOS,COMPENSADOS E AGLOMERADOS</v>
      </c>
      <c r="G99" s="42" t="str">
        <f>VLOOKUP(tabPontoPed[[#This Row],[GRUPO]],tabGrupos[#Data],3,FALSE)</f>
        <v>MCO</v>
      </c>
      <c r="H99" s="41" t="s">
        <v>1339</v>
      </c>
      <c r="I99" s="9">
        <v>4</v>
      </c>
      <c r="J99" s="51">
        <v>6</v>
      </c>
      <c r="K99" s="7">
        <f>tabPontoPed[[#This Row],[QTDMÊS]] * tabPontoPed[[#This Row],[MENSAL]]</f>
        <v>24</v>
      </c>
      <c r="L99" s="13" t="s">
        <v>1012</v>
      </c>
      <c r="M99" s="44"/>
      <c r="N99" s="45" t="str">
        <f>_xlfn.IFNA(IF(VLOOKUP(tabPontoPed[[#This Row],[CÓDIGO]],Excluir_do_Estoque!$A$4:$A$4004,1,FALSE),"sim",""),"")</f>
        <v/>
      </c>
      <c r="O99" s="10" t="str">
        <f t="shared" si="1"/>
        <v>*</v>
      </c>
    </row>
    <row r="100" spans="1:15" x14ac:dyDescent="0.25">
      <c r="A100" s="2">
        <v>13192</v>
      </c>
      <c r="B100" s="4" t="s">
        <v>555</v>
      </c>
      <c r="C100" s="41" t="s">
        <v>1345</v>
      </c>
      <c r="D100" s="42">
        <v>51</v>
      </c>
      <c r="E100" s="43">
        <v>35</v>
      </c>
      <c r="F100" s="50" t="str">
        <f>VLOOKUP(tabPontoPed[[#This Row],[GRUPO]],tabGrupos[#Data],2,FALSE)</f>
        <v>MAT.E EQUIP. P/ CONSTR.CIVIL E CONSERV. DE VIAS PUBL.</v>
      </c>
      <c r="G100" s="42" t="str">
        <f>VLOOKUP(tabPontoPed[[#This Row],[GRUPO]],tabGrupos[#Data],3,FALSE)</f>
        <v>MCO</v>
      </c>
      <c r="H100" s="41" t="s">
        <v>1339</v>
      </c>
      <c r="I100" s="9">
        <v>4</v>
      </c>
      <c r="J100" s="51">
        <v>5</v>
      </c>
      <c r="K100" s="7">
        <f>tabPontoPed[[#This Row],[QTDMÊS]] * tabPontoPed[[#This Row],[MENSAL]]</f>
        <v>20</v>
      </c>
      <c r="L100" s="13" t="s">
        <v>1012</v>
      </c>
      <c r="M100" s="44"/>
      <c r="N100" s="45" t="str">
        <f>_xlfn.IFNA(IF(VLOOKUP(tabPontoPed[[#This Row],[CÓDIGO]],Excluir_do_Estoque!$A$4:$A$4004,1,FALSE),"sim",""),"")</f>
        <v/>
      </c>
      <c r="O100" s="10" t="str">
        <f t="shared" si="1"/>
        <v>*</v>
      </c>
    </row>
    <row r="101" spans="1:15" x14ac:dyDescent="0.25">
      <c r="A101" s="2">
        <v>13197</v>
      </c>
      <c r="B101" s="4" t="s">
        <v>504</v>
      </c>
      <c r="C101" s="41" t="s">
        <v>1345</v>
      </c>
      <c r="D101" s="42">
        <v>51</v>
      </c>
      <c r="E101" s="43">
        <v>8</v>
      </c>
      <c r="F101" s="50" t="str">
        <f>VLOOKUP(tabPontoPed[[#This Row],[GRUPO]],tabGrupos[#Data],2,FALSE)</f>
        <v>MAT.E EQUIP. P/ CONSTR.CIVIL E CONSERV. DE VIAS PUBL.</v>
      </c>
      <c r="G101" s="42" t="str">
        <f>VLOOKUP(tabPontoPed[[#This Row],[GRUPO]],tabGrupos[#Data],3,FALSE)</f>
        <v>MCO</v>
      </c>
      <c r="H101" s="41" t="s">
        <v>1339</v>
      </c>
      <c r="I101" s="9">
        <v>4</v>
      </c>
      <c r="J101" s="51">
        <v>0</v>
      </c>
      <c r="K101" s="7">
        <f>tabPontoPed[[#This Row],[QTDMÊS]] * tabPontoPed[[#This Row],[MENSAL]]</f>
        <v>0</v>
      </c>
      <c r="L101" s="13" t="s">
        <v>1012</v>
      </c>
      <c r="M101" s="44"/>
      <c r="N101" s="45" t="str">
        <f>_xlfn.IFNA(IF(VLOOKUP(tabPontoPed[[#This Row],[CÓDIGO]],Excluir_do_Estoque!$A$4:$A$4004,1,FALSE),"sim",""),"")</f>
        <v/>
      </c>
      <c r="O101" s="10" t="str">
        <f t="shared" si="1"/>
        <v>*</v>
      </c>
    </row>
    <row r="102" spans="1:15" x14ac:dyDescent="0.25">
      <c r="A102" s="2">
        <v>13199</v>
      </c>
      <c r="B102" s="4" t="s">
        <v>147</v>
      </c>
      <c r="C102" s="41" t="s">
        <v>1345</v>
      </c>
      <c r="D102" s="42">
        <v>51</v>
      </c>
      <c r="E102" s="43">
        <v>8</v>
      </c>
      <c r="F102" s="50" t="str">
        <f>VLOOKUP(tabPontoPed[[#This Row],[GRUPO]],tabGrupos[#Data],2,FALSE)</f>
        <v>MAT.E EQUIP. P/ CONSTR.CIVIL E CONSERV. DE VIAS PUBL.</v>
      </c>
      <c r="G102" s="42" t="str">
        <f>VLOOKUP(tabPontoPed[[#This Row],[GRUPO]],tabGrupos[#Data],3,FALSE)</f>
        <v>MCO</v>
      </c>
      <c r="H102" s="41" t="s">
        <v>1339</v>
      </c>
      <c r="I102" s="9">
        <v>4</v>
      </c>
      <c r="J102" s="51">
        <v>22</v>
      </c>
      <c r="K102" s="7">
        <f>tabPontoPed[[#This Row],[QTDMÊS]] * tabPontoPed[[#This Row],[MENSAL]]</f>
        <v>88</v>
      </c>
      <c r="L102" s="13" t="s">
        <v>1012</v>
      </c>
      <c r="M102" s="44"/>
      <c r="N102" s="45" t="str">
        <f>_xlfn.IFNA(IF(VLOOKUP(tabPontoPed[[#This Row],[CÓDIGO]],Excluir_do_Estoque!$A$4:$A$4004,1,FALSE),"sim",""),"")</f>
        <v/>
      </c>
      <c r="O102" s="10" t="str">
        <f t="shared" si="1"/>
        <v>*</v>
      </c>
    </row>
    <row r="103" spans="1:15" x14ac:dyDescent="0.25">
      <c r="A103" s="2">
        <v>13218</v>
      </c>
      <c r="B103" s="4" t="s">
        <v>161</v>
      </c>
      <c r="C103" s="41" t="s">
        <v>1345</v>
      </c>
      <c r="D103" s="42">
        <v>83</v>
      </c>
      <c r="E103" s="43">
        <v>2</v>
      </c>
      <c r="F103" s="50" t="str">
        <f>VLOOKUP(tabPontoPed[[#This Row],[GRUPO]],tabGrupos[#Data],2,FALSE)</f>
        <v>ABRASIVOS</v>
      </c>
      <c r="G103" s="42" t="str">
        <f>VLOOKUP(tabPontoPed[[#This Row],[GRUPO]],tabGrupos[#Data],3,FALSE)</f>
        <v>MAN</v>
      </c>
      <c r="H103" s="41" t="s">
        <v>1339</v>
      </c>
      <c r="I103" s="9">
        <v>4</v>
      </c>
      <c r="J103" s="51">
        <v>18</v>
      </c>
      <c r="K103" s="7">
        <f>tabPontoPed[[#This Row],[QTDMÊS]] * tabPontoPed[[#This Row],[MENSAL]]</f>
        <v>72</v>
      </c>
      <c r="L103" s="13" t="s">
        <v>1012</v>
      </c>
      <c r="M103" s="44"/>
      <c r="N103" s="45" t="str">
        <f>_xlfn.IFNA(IF(VLOOKUP(tabPontoPed[[#This Row],[CÓDIGO]],Excluir_do_Estoque!$A$4:$A$4004,1,FALSE),"sim",""),"")</f>
        <v/>
      </c>
      <c r="O103" s="10" t="str">
        <f t="shared" si="1"/>
        <v>*</v>
      </c>
    </row>
    <row r="104" spans="1:15" x14ac:dyDescent="0.25">
      <c r="A104" s="2">
        <v>13221</v>
      </c>
      <c r="B104" s="4" t="s">
        <v>818</v>
      </c>
      <c r="C104" s="41" t="s">
        <v>1345</v>
      </c>
      <c r="D104" s="42">
        <v>67</v>
      </c>
      <c r="E104" s="43">
        <v>1</v>
      </c>
      <c r="F104" s="50" t="str">
        <f>VLOOKUP(tabPontoPed[[#This Row],[GRUPO]],tabGrupos[#Data],2,FALSE)</f>
        <v>PARAFUSOS ELEM. VEDACAO UNIAO CONEX . FIXACAO</v>
      </c>
      <c r="G104" s="42" t="str">
        <f>VLOOKUP(tabPontoPed[[#This Row],[GRUPO]],tabGrupos[#Data],3,FALSE)</f>
        <v>MSE</v>
      </c>
      <c r="H104" s="41" t="s">
        <v>1339</v>
      </c>
      <c r="I104" s="9">
        <v>4</v>
      </c>
      <c r="J104" s="51">
        <v>135</v>
      </c>
      <c r="K104" s="7">
        <f>tabPontoPed[[#This Row],[QTDMÊS]] * tabPontoPed[[#This Row],[MENSAL]]</f>
        <v>540</v>
      </c>
      <c r="L104" s="13" t="s">
        <v>1012</v>
      </c>
      <c r="M104" s="44"/>
      <c r="N104" s="45" t="str">
        <f>_xlfn.IFNA(IF(VLOOKUP(tabPontoPed[[#This Row],[CÓDIGO]],Excluir_do_Estoque!$A$4:$A$4004,1,FALSE),"sim",""),"")</f>
        <v/>
      </c>
      <c r="O104" s="10" t="str">
        <f t="shared" si="1"/>
        <v>*</v>
      </c>
    </row>
    <row r="105" spans="1:15" x14ac:dyDescent="0.25">
      <c r="A105" s="2">
        <v>13222</v>
      </c>
      <c r="B105" s="4" t="s">
        <v>819</v>
      </c>
      <c r="C105" s="41" t="s">
        <v>1345</v>
      </c>
      <c r="D105" s="42">
        <v>67</v>
      </c>
      <c r="E105" s="43">
        <v>1</v>
      </c>
      <c r="F105" s="50" t="str">
        <f>VLOOKUP(tabPontoPed[[#This Row],[GRUPO]],tabGrupos[#Data],2,FALSE)</f>
        <v>PARAFUSOS ELEM. VEDACAO UNIAO CONEX . FIXACAO</v>
      </c>
      <c r="G105" s="42" t="str">
        <f>VLOOKUP(tabPontoPed[[#This Row],[GRUPO]],tabGrupos[#Data],3,FALSE)</f>
        <v>MSE</v>
      </c>
      <c r="H105" s="41" t="s">
        <v>1339</v>
      </c>
      <c r="I105" s="9">
        <v>4</v>
      </c>
      <c r="J105" s="51">
        <v>20</v>
      </c>
      <c r="K105" s="7">
        <f>tabPontoPed[[#This Row],[QTDMÊS]] * tabPontoPed[[#This Row],[MENSAL]]</f>
        <v>80</v>
      </c>
      <c r="L105" s="13" t="s">
        <v>1012</v>
      </c>
      <c r="M105" s="44"/>
      <c r="N105" s="45" t="str">
        <f>_xlfn.IFNA(IF(VLOOKUP(tabPontoPed[[#This Row],[CÓDIGO]],Excluir_do_Estoque!$A$4:$A$4004,1,FALSE),"sim",""),"")</f>
        <v/>
      </c>
      <c r="O105" s="10" t="str">
        <f t="shared" si="1"/>
        <v>*</v>
      </c>
    </row>
    <row r="106" spans="1:15" x14ac:dyDescent="0.25">
      <c r="A106" s="2">
        <v>13225</v>
      </c>
      <c r="B106" s="4" t="s">
        <v>508</v>
      </c>
      <c r="C106" s="41" t="s">
        <v>1345</v>
      </c>
      <c r="D106" s="42">
        <v>51</v>
      </c>
      <c r="E106" s="43">
        <v>11</v>
      </c>
      <c r="F106" s="50" t="str">
        <f>VLOOKUP(tabPontoPed[[#This Row],[GRUPO]],tabGrupos[#Data],2,FALSE)</f>
        <v>MAT.E EQUIP. P/ CONSTR.CIVIL E CONSERV. DE VIAS PUBL.</v>
      </c>
      <c r="G106" s="42" t="str">
        <f>VLOOKUP(tabPontoPed[[#This Row],[GRUPO]],tabGrupos[#Data],3,FALSE)</f>
        <v>MCO</v>
      </c>
      <c r="H106" s="41" t="s">
        <v>1339</v>
      </c>
      <c r="I106" s="9">
        <v>4</v>
      </c>
      <c r="J106" s="51">
        <v>19</v>
      </c>
      <c r="K106" s="7">
        <f>tabPontoPed[[#This Row],[QTDMÊS]] * tabPontoPed[[#This Row],[MENSAL]]</f>
        <v>76</v>
      </c>
      <c r="L106" s="13" t="s">
        <v>1012</v>
      </c>
      <c r="M106" s="44"/>
      <c r="N106" s="45" t="str">
        <f>_xlfn.IFNA(IF(VLOOKUP(tabPontoPed[[#This Row],[CÓDIGO]],Excluir_do_Estoque!$A$4:$A$4004,1,FALSE),"sim",""),"")</f>
        <v/>
      </c>
      <c r="O106" s="10" t="str">
        <f t="shared" si="1"/>
        <v>*</v>
      </c>
    </row>
    <row r="107" spans="1:15" x14ac:dyDescent="0.25">
      <c r="A107" s="2">
        <v>13517</v>
      </c>
      <c r="B107" s="4" t="s">
        <v>745</v>
      </c>
      <c r="C107" s="41" t="s">
        <v>1345</v>
      </c>
      <c r="D107" s="42">
        <v>61</v>
      </c>
      <c r="E107" s="43">
        <v>8</v>
      </c>
      <c r="F107" s="50" t="str">
        <f>VLOOKUP(tabPontoPed[[#This Row],[GRUPO]],tabGrupos[#Data],2,FALSE)</f>
        <v>MATERIAL HIDRAULICO, CANOS, TUBOS, MANGUEIRAS, CONEXOES E ACESS.</v>
      </c>
      <c r="G107" s="42" t="str">
        <f>VLOOKUP(tabPontoPed[[#This Row],[GRUPO]],tabGrupos[#Data],3,FALSE)</f>
        <v>MHI</v>
      </c>
      <c r="H107" s="41" t="s">
        <v>1339</v>
      </c>
      <c r="I107" s="9">
        <v>4</v>
      </c>
      <c r="J107" s="51">
        <v>3</v>
      </c>
      <c r="K107" s="7">
        <f>tabPontoPed[[#This Row],[QTDMÊS]] * tabPontoPed[[#This Row],[MENSAL]]</f>
        <v>12</v>
      </c>
      <c r="L107" s="13" t="s">
        <v>1012</v>
      </c>
      <c r="M107" s="44"/>
      <c r="N107" s="45" t="str">
        <f>_xlfn.IFNA(IF(VLOOKUP(tabPontoPed[[#This Row],[CÓDIGO]],Excluir_do_Estoque!$A$4:$A$4004,1,FALSE),"sim",""),"")</f>
        <v/>
      </c>
      <c r="O107" s="10" t="str">
        <f t="shared" si="1"/>
        <v>*</v>
      </c>
    </row>
    <row r="108" spans="1:15" x14ac:dyDescent="0.25">
      <c r="A108" s="2">
        <v>13518</v>
      </c>
      <c r="B108" s="4" t="s">
        <v>746</v>
      </c>
      <c r="C108" s="41" t="s">
        <v>1345</v>
      </c>
      <c r="D108" s="42">
        <v>61</v>
      </c>
      <c r="E108" s="43">
        <v>8</v>
      </c>
      <c r="F108" s="50" t="str">
        <f>VLOOKUP(tabPontoPed[[#This Row],[GRUPO]],tabGrupos[#Data],2,FALSE)</f>
        <v>MATERIAL HIDRAULICO, CANOS, TUBOS, MANGUEIRAS, CONEXOES E ACESS.</v>
      </c>
      <c r="G108" s="42" t="str">
        <f>VLOOKUP(tabPontoPed[[#This Row],[GRUPO]],tabGrupos[#Data],3,FALSE)</f>
        <v>MHI</v>
      </c>
      <c r="H108" s="41" t="s">
        <v>1339</v>
      </c>
      <c r="I108" s="9">
        <v>4</v>
      </c>
      <c r="J108" s="51">
        <v>5</v>
      </c>
      <c r="K108" s="7">
        <f>tabPontoPed[[#This Row],[QTDMÊS]] * tabPontoPed[[#This Row],[MENSAL]]</f>
        <v>20</v>
      </c>
      <c r="L108" s="13" t="s">
        <v>1012</v>
      </c>
      <c r="M108" s="44"/>
      <c r="N108" s="45" t="str">
        <f>_xlfn.IFNA(IF(VLOOKUP(tabPontoPed[[#This Row],[CÓDIGO]],Excluir_do_Estoque!$A$4:$A$4004,1,FALSE),"sim",""),"")</f>
        <v/>
      </c>
      <c r="O108" s="10" t="str">
        <f t="shared" si="1"/>
        <v>*</v>
      </c>
    </row>
    <row r="109" spans="1:15" x14ac:dyDescent="0.25">
      <c r="A109" s="2">
        <v>13539</v>
      </c>
      <c r="B109" s="4" t="s">
        <v>479</v>
      </c>
      <c r="C109" s="41" t="s">
        <v>1345</v>
      </c>
      <c r="D109" s="42">
        <v>45</v>
      </c>
      <c r="E109" s="43">
        <v>17</v>
      </c>
      <c r="F109" s="50" t="str">
        <f>VLOOKUP(tabPontoPed[[#This Row],[GRUPO]],tabGrupos[#Data],2,FALSE)</f>
        <v>MAQ., EQUIP., COMP., ACES., MAT. PARA ESCRIT.E ESCOLAR</v>
      </c>
      <c r="G109" s="42" t="str">
        <f>VLOOKUP(tabPontoPed[[#This Row],[GRUPO]],tabGrupos[#Data],3,FALSE)</f>
        <v>EDU</v>
      </c>
      <c r="H109" s="41" t="s">
        <v>1339</v>
      </c>
      <c r="I109" s="9">
        <v>4</v>
      </c>
      <c r="J109" s="51">
        <v>240</v>
      </c>
      <c r="K109" s="7">
        <f>tabPontoPed[[#This Row],[QTDMÊS]] * tabPontoPed[[#This Row],[MENSAL]]</f>
        <v>960</v>
      </c>
      <c r="L109" s="13" t="s">
        <v>1012</v>
      </c>
      <c r="M109" s="44"/>
      <c r="N109" s="45" t="str">
        <f>_xlfn.IFNA(IF(VLOOKUP(tabPontoPed[[#This Row],[CÓDIGO]],Excluir_do_Estoque!$A$4:$A$4004,1,FALSE),"sim",""),"")</f>
        <v/>
      </c>
      <c r="O109" s="10" t="str">
        <f t="shared" si="1"/>
        <v>*</v>
      </c>
    </row>
    <row r="110" spans="1:15" x14ac:dyDescent="0.25">
      <c r="A110" s="2">
        <v>13556</v>
      </c>
      <c r="B110" s="4" t="s">
        <v>725</v>
      </c>
      <c r="C110" s="41" t="s">
        <v>1345</v>
      </c>
      <c r="D110" s="42">
        <v>61</v>
      </c>
      <c r="E110" s="43">
        <v>3</v>
      </c>
      <c r="F110" s="50" t="str">
        <f>VLOOKUP(tabPontoPed[[#This Row],[GRUPO]],tabGrupos[#Data],2,FALSE)</f>
        <v>MATERIAL HIDRAULICO, CANOS, TUBOS, MANGUEIRAS, CONEXOES E ACESS.</v>
      </c>
      <c r="G110" s="42" t="str">
        <f>VLOOKUP(tabPontoPed[[#This Row],[GRUPO]],tabGrupos[#Data],3,FALSE)</f>
        <v>MHI</v>
      </c>
      <c r="H110" s="41" t="s">
        <v>1339</v>
      </c>
      <c r="I110" s="9">
        <v>4</v>
      </c>
      <c r="J110" s="51">
        <v>3</v>
      </c>
      <c r="K110" s="7">
        <f>tabPontoPed[[#This Row],[QTDMÊS]] * tabPontoPed[[#This Row],[MENSAL]]</f>
        <v>12</v>
      </c>
      <c r="L110" s="13" t="s">
        <v>1012</v>
      </c>
      <c r="M110" s="44"/>
      <c r="N110" s="45" t="str">
        <f>_xlfn.IFNA(IF(VLOOKUP(tabPontoPed[[#This Row],[CÓDIGO]],Excluir_do_Estoque!$A$4:$A$4004,1,FALSE),"sim",""),"")</f>
        <v/>
      </c>
      <c r="O110" s="10" t="str">
        <f t="shared" si="1"/>
        <v>*</v>
      </c>
    </row>
    <row r="111" spans="1:15" x14ac:dyDescent="0.25">
      <c r="A111" s="2">
        <v>13558</v>
      </c>
      <c r="B111" s="4" t="s">
        <v>251</v>
      </c>
      <c r="C111" s="41" t="s">
        <v>1345</v>
      </c>
      <c r="D111" s="42">
        <v>61</v>
      </c>
      <c r="E111" s="43">
        <v>2</v>
      </c>
      <c r="F111" s="50" t="str">
        <f>VLOOKUP(tabPontoPed[[#This Row],[GRUPO]],tabGrupos[#Data],2,FALSE)</f>
        <v>MATERIAL HIDRAULICO, CANOS, TUBOS, MANGUEIRAS, CONEXOES E ACESS.</v>
      </c>
      <c r="G111" s="42" t="str">
        <f>VLOOKUP(tabPontoPed[[#This Row],[GRUPO]],tabGrupos[#Data],3,FALSE)</f>
        <v>MHI</v>
      </c>
      <c r="H111" s="41" t="s">
        <v>1339</v>
      </c>
      <c r="I111" s="9">
        <v>4</v>
      </c>
      <c r="J111" s="51">
        <v>4</v>
      </c>
      <c r="K111" s="7">
        <f>tabPontoPed[[#This Row],[QTDMÊS]] * tabPontoPed[[#This Row],[MENSAL]]</f>
        <v>16</v>
      </c>
      <c r="L111" s="13" t="s">
        <v>1012</v>
      </c>
      <c r="M111" s="44"/>
      <c r="N111" s="45" t="str">
        <f>_xlfn.IFNA(IF(VLOOKUP(tabPontoPed[[#This Row],[CÓDIGO]],Excluir_do_Estoque!$A$4:$A$4004,1,FALSE),"sim",""),"")</f>
        <v/>
      </c>
      <c r="O111" s="10" t="str">
        <f t="shared" si="1"/>
        <v>*</v>
      </c>
    </row>
    <row r="112" spans="1:15" x14ac:dyDescent="0.25">
      <c r="A112" s="2">
        <v>13559</v>
      </c>
      <c r="B112" s="4" t="s">
        <v>252</v>
      </c>
      <c r="C112" s="41" t="s">
        <v>1345</v>
      </c>
      <c r="D112" s="42">
        <v>61</v>
      </c>
      <c r="E112" s="43">
        <v>2</v>
      </c>
      <c r="F112" s="50" t="str">
        <f>VLOOKUP(tabPontoPed[[#This Row],[GRUPO]],tabGrupos[#Data],2,FALSE)</f>
        <v>MATERIAL HIDRAULICO, CANOS, TUBOS, MANGUEIRAS, CONEXOES E ACESS.</v>
      </c>
      <c r="G112" s="42" t="str">
        <f>VLOOKUP(tabPontoPed[[#This Row],[GRUPO]],tabGrupos[#Data],3,FALSE)</f>
        <v>MHI</v>
      </c>
      <c r="H112" s="41" t="s">
        <v>1339</v>
      </c>
      <c r="I112" s="9">
        <v>4</v>
      </c>
      <c r="J112" s="51">
        <v>12</v>
      </c>
      <c r="K112" s="7">
        <f>tabPontoPed[[#This Row],[QTDMÊS]] * tabPontoPed[[#This Row],[MENSAL]]</f>
        <v>48</v>
      </c>
      <c r="L112" s="13" t="s">
        <v>1012</v>
      </c>
      <c r="M112" s="44"/>
      <c r="N112" s="45" t="str">
        <f>_xlfn.IFNA(IF(VLOOKUP(tabPontoPed[[#This Row],[CÓDIGO]],Excluir_do_Estoque!$A$4:$A$4004,1,FALSE),"sim",""),"")</f>
        <v/>
      </c>
      <c r="O112" s="10" t="str">
        <f t="shared" si="1"/>
        <v>*</v>
      </c>
    </row>
    <row r="113" spans="1:15" x14ac:dyDescent="0.25">
      <c r="A113" s="2">
        <v>13560</v>
      </c>
      <c r="B113" s="4" t="s">
        <v>253</v>
      </c>
      <c r="C113" s="41" t="s">
        <v>1345</v>
      </c>
      <c r="D113" s="42">
        <v>61</v>
      </c>
      <c r="E113" s="43">
        <v>2</v>
      </c>
      <c r="F113" s="50" t="str">
        <f>VLOOKUP(tabPontoPed[[#This Row],[GRUPO]],tabGrupos[#Data],2,FALSE)</f>
        <v>MATERIAL HIDRAULICO, CANOS, TUBOS, MANGUEIRAS, CONEXOES E ACESS.</v>
      </c>
      <c r="G113" s="42" t="str">
        <f>VLOOKUP(tabPontoPed[[#This Row],[GRUPO]],tabGrupos[#Data],3,FALSE)</f>
        <v>MHI</v>
      </c>
      <c r="H113" s="41" t="s">
        <v>1339</v>
      </c>
      <c r="I113" s="9">
        <v>4</v>
      </c>
      <c r="J113" s="51">
        <v>2</v>
      </c>
      <c r="K113" s="7">
        <f>tabPontoPed[[#This Row],[QTDMÊS]] * tabPontoPed[[#This Row],[MENSAL]]</f>
        <v>8</v>
      </c>
      <c r="L113" s="13" t="s">
        <v>1012</v>
      </c>
      <c r="M113" s="44"/>
      <c r="N113" s="45" t="str">
        <f>_xlfn.IFNA(IF(VLOOKUP(tabPontoPed[[#This Row],[CÓDIGO]],Excluir_do_Estoque!$A$4:$A$4004,1,FALSE),"sim",""),"")</f>
        <v/>
      </c>
      <c r="O113" s="10" t="str">
        <f t="shared" si="1"/>
        <v>*</v>
      </c>
    </row>
    <row r="114" spans="1:15" x14ac:dyDescent="0.25">
      <c r="A114" s="2">
        <v>13561</v>
      </c>
      <c r="B114" s="4" t="s">
        <v>254</v>
      </c>
      <c r="C114" s="41" t="s">
        <v>1345</v>
      </c>
      <c r="D114" s="42">
        <v>61</v>
      </c>
      <c r="E114" s="43">
        <v>2</v>
      </c>
      <c r="F114" s="50" t="str">
        <f>VLOOKUP(tabPontoPed[[#This Row],[GRUPO]],tabGrupos[#Data],2,FALSE)</f>
        <v>MATERIAL HIDRAULICO, CANOS, TUBOS, MANGUEIRAS, CONEXOES E ACESS.</v>
      </c>
      <c r="G114" s="42" t="str">
        <f>VLOOKUP(tabPontoPed[[#This Row],[GRUPO]],tabGrupos[#Data],3,FALSE)</f>
        <v>MHI</v>
      </c>
      <c r="H114" s="41" t="s">
        <v>1339</v>
      </c>
      <c r="I114" s="9">
        <v>4</v>
      </c>
      <c r="J114" s="51">
        <v>7</v>
      </c>
      <c r="K114" s="7">
        <f>tabPontoPed[[#This Row],[QTDMÊS]] * tabPontoPed[[#This Row],[MENSAL]]</f>
        <v>28</v>
      </c>
      <c r="L114" s="13" t="s">
        <v>1012</v>
      </c>
      <c r="M114" s="44"/>
      <c r="N114" s="45" t="str">
        <f>_xlfn.IFNA(IF(VLOOKUP(tabPontoPed[[#This Row],[CÓDIGO]],Excluir_do_Estoque!$A$4:$A$4004,1,FALSE),"sim",""),"")</f>
        <v/>
      </c>
      <c r="O114" s="10" t="str">
        <f t="shared" si="1"/>
        <v>*</v>
      </c>
    </row>
    <row r="115" spans="1:15" x14ac:dyDescent="0.25">
      <c r="A115" s="2">
        <v>13562</v>
      </c>
      <c r="B115" s="4" t="s">
        <v>255</v>
      </c>
      <c r="C115" s="41" t="s">
        <v>1345</v>
      </c>
      <c r="D115" s="42">
        <v>61</v>
      </c>
      <c r="E115" s="43">
        <v>2</v>
      </c>
      <c r="F115" s="50" t="str">
        <f>VLOOKUP(tabPontoPed[[#This Row],[GRUPO]],tabGrupos[#Data],2,FALSE)</f>
        <v>MATERIAL HIDRAULICO, CANOS, TUBOS, MANGUEIRAS, CONEXOES E ACESS.</v>
      </c>
      <c r="G115" s="42" t="str">
        <f>VLOOKUP(tabPontoPed[[#This Row],[GRUPO]],tabGrupos[#Data],3,FALSE)</f>
        <v>MHI</v>
      </c>
      <c r="H115" s="41" t="s">
        <v>1339</v>
      </c>
      <c r="I115" s="9">
        <v>4</v>
      </c>
      <c r="J115" s="51">
        <v>14</v>
      </c>
      <c r="K115" s="7">
        <f>tabPontoPed[[#This Row],[QTDMÊS]] * tabPontoPed[[#This Row],[MENSAL]]</f>
        <v>56</v>
      </c>
      <c r="L115" s="13" t="s">
        <v>1012</v>
      </c>
      <c r="M115" s="44"/>
      <c r="N115" s="45" t="str">
        <f>_xlfn.IFNA(IF(VLOOKUP(tabPontoPed[[#This Row],[CÓDIGO]],Excluir_do_Estoque!$A$4:$A$4004,1,FALSE),"sim",""),"")</f>
        <v/>
      </c>
      <c r="O115" s="10" t="str">
        <f t="shared" si="1"/>
        <v>*</v>
      </c>
    </row>
    <row r="116" spans="1:15" x14ac:dyDescent="0.25">
      <c r="A116" s="2">
        <v>13563</v>
      </c>
      <c r="B116" s="4" t="s">
        <v>789</v>
      </c>
      <c r="C116" s="41" t="s">
        <v>1345</v>
      </c>
      <c r="D116" s="42">
        <v>61</v>
      </c>
      <c r="E116" s="43">
        <v>15</v>
      </c>
      <c r="F116" s="50" t="str">
        <f>VLOOKUP(tabPontoPed[[#This Row],[GRUPO]],tabGrupos[#Data],2,FALSE)</f>
        <v>MATERIAL HIDRAULICO, CANOS, TUBOS, MANGUEIRAS, CONEXOES E ACESS.</v>
      </c>
      <c r="G116" s="42" t="str">
        <f>VLOOKUP(tabPontoPed[[#This Row],[GRUPO]],tabGrupos[#Data],3,FALSE)</f>
        <v>MHI</v>
      </c>
      <c r="H116" s="41" t="s">
        <v>1339</v>
      </c>
      <c r="I116" s="9">
        <v>4</v>
      </c>
      <c r="J116" s="51">
        <v>24</v>
      </c>
      <c r="K116" s="7">
        <f>tabPontoPed[[#This Row],[QTDMÊS]] * tabPontoPed[[#This Row],[MENSAL]]</f>
        <v>96</v>
      </c>
      <c r="L116" s="13" t="s">
        <v>1012</v>
      </c>
      <c r="M116" s="44"/>
      <c r="N116" s="45" t="str">
        <f>_xlfn.IFNA(IF(VLOOKUP(tabPontoPed[[#This Row],[CÓDIGO]],Excluir_do_Estoque!$A$4:$A$4004,1,FALSE),"sim",""),"")</f>
        <v/>
      </c>
      <c r="O116" s="10" t="str">
        <f t="shared" si="1"/>
        <v>*</v>
      </c>
    </row>
    <row r="117" spans="1:15" x14ac:dyDescent="0.25">
      <c r="A117" s="2">
        <v>13655</v>
      </c>
      <c r="B117" s="4" t="s">
        <v>441</v>
      </c>
      <c r="C117" s="41" t="s">
        <v>1345</v>
      </c>
      <c r="D117" s="42">
        <v>45</v>
      </c>
      <c r="E117" s="43">
        <v>11</v>
      </c>
      <c r="F117" s="50" t="str">
        <f>VLOOKUP(tabPontoPed[[#This Row],[GRUPO]],tabGrupos[#Data],2,FALSE)</f>
        <v>MAQ., EQUIP., COMP., ACES., MAT. PARA ESCRIT.E ESCOLAR</v>
      </c>
      <c r="G117" s="42" t="str">
        <f>VLOOKUP(tabPontoPed[[#This Row],[GRUPO]],tabGrupos[#Data],3,FALSE)</f>
        <v>EDU</v>
      </c>
      <c r="H117" s="41" t="s">
        <v>1339</v>
      </c>
      <c r="I117" s="9">
        <v>4</v>
      </c>
      <c r="J117" s="51">
        <v>477</v>
      </c>
      <c r="K117" s="7">
        <f>tabPontoPed[[#This Row],[QTDMÊS]] * tabPontoPed[[#This Row],[MENSAL]]</f>
        <v>1908</v>
      </c>
      <c r="L117" s="13" t="s">
        <v>1012</v>
      </c>
      <c r="M117" s="44"/>
      <c r="N117" s="45" t="str">
        <f>_xlfn.IFNA(IF(VLOOKUP(tabPontoPed[[#This Row],[CÓDIGO]],Excluir_do_Estoque!$A$4:$A$4004,1,FALSE),"sim",""),"")</f>
        <v/>
      </c>
      <c r="O117" s="10" t="str">
        <f t="shared" si="1"/>
        <v>*</v>
      </c>
    </row>
    <row r="118" spans="1:15" x14ac:dyDescent="0.25">
      <c r="A118" s="2">
        <v>13768</v>
      </c>
      <c r="B118" s="4" t="s">
        <v>442</v>
      </c>
      <c r="C118" s="41" t="s">
        <v>1345</v>
      </c>
      <c r="D118" s="42">
        <v>45</v>
      </c>
      <c r="E118" s="43">
        <v>11</v>
      </c>
      <c r="F118" s="50" t="str">
        <f>VLOOKUP(tabPontoPed[[#This Row],[GRUPO]],tabGrupos[#Data],2,FALSE)</f>
        <v>MAQ., EQUIP., COMP., ACES., MAT. PARA ESCRIT.E ESCOLAR</v>
      </c>
      <c r="G118" s="42" t="str">
        <f>VLOOKUP(tabPontoPed[[#This Row],[GRUPO]],tabGrupos[#Data],3,FALSE)</f>
        <v>EDU</v>
      </c>
      <c r="H118" s="41" t="s">
        <v>1339</v>
      </c>
      <c r="I118" s="9">
        <v>4</v>
      </c>
      <c r="J118" s="51">
        <v>229</v>
      </c>
      <c r="K118" s="7">
        <f>tabPontoPed[[#This Row],[QTDMÊS]] * tabPontoPed[[#This Row],[MENSAL]]</f>
        <v>916</v>
      </c>
      <c r="L118" s="13" t="s">
        <v>1012</v>
      </c>
      <c r="M118" s="44"/>
      <c r="N118" s="45" t="str">
        <f>_xlfn.IFNA(IF(VLOOKUP(tabPontoPed[[#This Row],[CÓDIGO]],Excluir_do_Estoque!$A$4:$A$4004,1,FALSE),"sim",""),"")</f>
        <v/>
      </c>
      <c r="O118" s="10" t="str">
        <f t="shared" si="1"/>
        <v>*</v>
      </c>
    </row>
    <row r="119" spans="1:15" x14ac:dyDescent="0.25">
      <c r="A119" s="2">
        <v>13905</v>
      </c>
      <c r="B119" s="4" t="s">
        <v>387</v>
      </c>
      <c r="C119" s="41" t="s">
        <v>1345</v>
      </c>
      <c r="D119" s="42">
        <v>72</v>
      </c>
      <c r="E119" s="43">
        <v>10</v>
      </c>
      <c r="F119" s="50" t="str">
        <f>VLOOKUP(tabPontoPed[[#This Row],[GRUPO]],tabGrupos[#Data],2,FALSE)</f>
        <v>MAQ.EQUIP.E MATERIAIS P/ HIGIEN.LIMP.POLIM.E LUBR.</v>
      </c>
      <c r="G119" s="42" t="str">
        <f>VLOOKUP(tabPontoPed[[#This Row],[GRUPO]],tabGrupos[#Data],3,FALSE)</f>
        <v>ADM</v>
      </c>
      <c r="H119" s="41" t="s">
        <v>1339</v>
      </c>
      <c r="I119" s="9">
        <v>4</v>
      </c>
      <c r="J119" s="51">
        <v>460</v>
      </c>
      <c r="K119" s="7">
        <f>tabPontoPed[[#This Row],[QTDMÊS]] * tabPontoPed[[#This Row],[MENSAL]]</f>
        <v>1840</v>
      </c>
      <c r="L119" s="13" t="s">
        <v>1012</v>
      </c>
      <c r="M119" s="44"/>
      <c r="N119" s="45" t="str">
        <f>_xlfn.IFNA(IF(VLOOKUP(tabPontoPed[[#This Row],[CÓDIGO]],Excluir_do_Estoque!$A$4:$A$4004,1,FALSE),"sim",""),"")</f>
        <v/>
      </c>
      <c r="O119" s="10" t="str">
        <f t="shared" si="1"/>
        <v>*</v>
      </c>
    </row>
    <row r="120" spans="1:15" x14ac:dyDescent="0.25">
      <c r="A120" s="2">
        <v>13975</v>
      </c>
      <c r="B120" s="4" t="s">
        <v>196</v>
      </c>
      <c r="C120" s="41" t="s">
        <v>1345</v>
      </c>
      <c r="D120" s="42">
        <v>72</v>
      </c>
      <c r="E120" s="43">
        <v>6</v>
      </c>
      <c r="F120" s="50" t="str">
        <f>VLOOKUP(tabPontoPed[[#This Row],[GRUPO]],tabGrupos[#Data],2,FALSE)</f>
        <v>MAQ.EQUIP.E MATERIAIS P/ HIGIEN.LIMP.POLIM.E LUBR.</v>
      </c>
      <c r="G120" s="42" t="str">
        <f>VLOOKUP(tabPontoPed[[#This Row],[GRUPO]],tabGrupos[#Data],3,FALSE)</f>
        <v>ADM</v>
      </c>
      <c r="H120" s="41" t="s">
        <v>1339</v>
      </c>
      <c r="I120" s="9">
        <v>4</v>
      </c>
      <c r="J120" s="51">
        <v>12</v>
      </c>
      <c r="K120" s="7">
        <f>tabPontoPed[[#This Row],[QTDMÊS]] * tabPontoPed[[#This Row],[MENSAL]]</f>
        <v>48</v>
      </c>
      <c r="L120" s="13" t="s">
        <v>1012</v>
      </c>
      <c r="M120" s="44"/>
      <c r="N120" s="45" t="str">
        <f>_xlfn.IFNA(IF(VLOOKUP(tabPontoPed[[#This Row],[CÓDIGO]],Excluir_do_Estoque!$A$4:$A$4004,1,FALSE),"sim",""),"")</f>
        <v/>
      </c>
      <c r="O120" s="10" t="str">
        <f t="shared" si="1"/>
        <v>*</v>
      </c>
    </row>
    <row r="121" spans="1:15" x14ac:dyDescent="0.25">
      <c r="A121" s="2">
        <v>13991</v>
      </c>
      <c r="B121" s="4" t="s">
        <v>193</v>
      </c>
      <c r="C121" s="41" t="s">
        <v>1345</v>
      </c>
      <c r="D121" s="42">
        <v>72</v>
      </c>
      <c r="E121" s="43">
        <v>6</v>
      </c>
      <c r="F121" s="50" t="str">
        <f>VLOOKUP(tabPontoPed[[#This Row],[GRUPO]],tabGrupos[#Data],2,FALSE)</f>
        <v>MAQ.EQUIP.E MATERIAIS P/ HIGIEN.LIMP.POLIM.E LUBR.</v>
      </c>
      <c r="G121" s="42" t="str">
        <f>VLOOKUP(tabPontoPed[[#This Row],[GRUPO]],tabGrupos[#Data],3,FALSE)</f>
        <v>ADM</v>
      </c>
      <c r="H121" s="41" t="s">
        <v>1339</v>
      </c>
      <c r="I121" s="9">
        <v>4</v>
      </c>
      <c r="J121" s="51">
        <v>31</v>
      </c>
      <c r="K121" s="7">
        <f>tabPontoPed[[#This Row],[QTDMÊS]] * tabPontoPed[[#This Row],[MENSAL]]</f>
        <v>124</v>
      </c>
      <c r="L121" s="13" t="s">
        <v>1012</v>
      </c>
      <c r="M121" s="44"/>
      <c r="N121" s="45" t="str">
        <f>_xlfn.IFNA(IF(VLOOKUP(tabPontoPed[[#This Row],[CÓDIGO]],Excluir_do_Estoque!$A$4:$A$4004,1,FALSE),"sim",""),"")</f>
        <v/>
      </c>
      <c r="O121" s="10" t="str">
        <f t="shared" si="1"/>
        <v>*</v>
      </c>
    </row>
    <row r="122" spans="1:15" x14ac:dyDescent="0.25">
      <c r="A122" s="2">
        <v>14001</v>
      </c>
      <c r="B122" s="4" t="s">
        <v>497</v>
      </c>
      <c r="C122" s="41" t="s">
        <v>1345</v>
      </c>
      <c r="D122" s="42">
        <v>51</v>
      </c>
      <c r="E122" s="43">
        <v>3</v>
      </c>
      <c r="F122" s="50" t="str">
        <f>VLOOKUP(tabPontoPed[[#This Row],[GRUPO]],tabGrupos[#Data],2,FALSE)</f>
        <v>MAT.E EQUIP. P/ CONSTR.CIVIL E CONSERV. DE VIAS PUBL.</v>
      </c>
      <c r="G122" s="42" t="str">
        <f>VLOOKUP(tabPontoPed[[#This Row],[GRUPO]],tabGrupos[#Data],3,FALSE)</f>
        <v>MCO</v>
      </c>
      <c r="H122" s="41" t="s">
        <v>1339</v>
      </c>
      <c r="I122" s="9">
        <v>4</v>
      </c>
      <c r="J122" s="51">
        <v>15</v>
      </c>
      <c r="K122" s="7">
        <f>tabPontoPed[[#This Row],[QTDMÊS]] * tabPontoPed[[#This Row],[MENSAL]]</f>
        <v>60</v>
      </c>
      <c r="L122" s="13" t="s">
        <v>1012</v>
      </c>
      <c r="M122" s="44"/>
      <c r="N122" s="45" t="str">
        <f>_xlfn.IFNA(IF(VLOOKUP(tabPontoPed[[#This Row],[CÓDIGO]],Excluir_do_Estoque!$A$4:$A$4004,1,FALSE),"sim",""),"")</f>
        <v/>
      </c>
      <c r="O122" s="10" t="str">
        <f t="shared" si="1"/>
        <v>*</v>
      </c>
    </row>
    <row r="123" spans="1:15" x14ac:dyDescent="0.25">
      <c r="A123" s="2">
        <v>14012</v>
      </c>
      <c r="B123" s="4" t="s">
        <v>686</v>
      </c>
      <c r="C123" s="41" t="s">
        <v>1345</v>
      </c>
      <c r="D123" s="42">
        <v>55</v>
      </c>
      <c r="E123" s="43">
        <v>46</v>
      </c>
      <c r="F123" s="50" t="str">
        <f>VLOOKUP(tabPontoPed[[#This Row],[GRUPO]],tabGrupos[#Data],2,FALSE)</f>
        <v>EQUIP. MAT. P/ GERACAO, TRANSM. DISTR. RETIF...</v>
      </c>
      <c r="G123" s="42" t="str">
        <f>VLOOKUP(tabPontoPed[[#This Row],[GRUPO]],tabGrupos[#Data],3,FALSE)</f>
        <v>MEL</v>
      </c>
      <c r="H123" s="41" t="s">
        <v>1339</v>
      </c>
      <c r="I123" s="9">
        <v>4</v>
      </c>
      <c r="J123" s="51">
        <v>32</v>
      </c>
      <c r="K123" s="7">
        <f>tabPontoPed[[#This Row],[QTDMÊS]] * tabPontoPed[[#This Row],[MENSAL]]</f>
        <v>128</v>
      </c>
      <c r="L123" s="13" t="s">
        <v>1012</v>
      </c>
      <c r="M123" s="44"/>
      <c r="N123" s="45" t="str">
        <f>_xlfn.IFNA(IF(VLOOKUP(tabPontoPed[[#This Row],[CÓDIGO]],Excluir_do_Estoque!$A$4:$A$4004,1,FALSE),"sim",""),"")</f>
        <v/>
      </c>
      <c r="O123" s="10" t="str">
        <f t="shared" si="1"/>
        <v>*</v>
      </c>
    </row>
    <row r="124" spans="1:15" x14ac:dyDescent="0.25">
      <c r="A124" s="2">
        <v>14013</v>
      </c>
      <c r="B124" s="4" t="s">
        <v>35</v>
      </c>
      <c r="C124" s="41" t="s">
        <v>1345</v>
      </c>
      <c r="D124" s="42">
        <v>55</v>
      </c>
      <c r="E124" s="43">
        <v>46</v>
      </c>
      <c r="F124" s="50" t="str">
        <f>VLOOKUP(tabPontoPed[[#This Row],[GRUPO]],tabGrupos[#Data],2,FALSE)</f>
        <v>EQUIP. MAT. P/ GERACAO, TRANSM. DISTR. RETIF...</v>
      </c>
      <c r="G124" s="42" t="str">
        <f>VLOOKUP(tabPontoPed[[#This Row],[GRUPO]],tabGrupos[#Data],3,FALSE)</f>
        <v>MEL</v>
      </c>
      <c r="H124" s="41" t="s">
        <v>1339</v>
      </c>
      <c r="I124" s="9">
        <v>4</v>
      </c>
      <c r="J124" s="51">
        <v>14</v>
      </c>
      <c r="K124" s="7">
        <f>tabPontoPed[[#This Row],[QTDMÊS]] * tabPontoPed[[#This Row],[MENSAL]]</f>
        <v>56</v>
      </c>
      <c r="L124" s="13" t="s">
        <v>1012</v>
      </c>
      <c r="M124" s="44"/>
      <c r="N124" s="45" t="str">
        <f>_xlfn.IFNA(IF(VLOOKUP(tabPontoPed[[#This Row],[CÓDIGO]],Excluir_do_Estoque!$A$4:$A$4004,1,FALSE),"sim",""),"")</f>
        <v/>
      </c>
      <c r="O124" s="10" t="str">
        <f t="shared" si="1"/>
        <v>*</v>
      </c>
    </row>
    <row r="125" spans="1:15" x14ac:dyDescent="0.25">
      <c r="A125" s="2">
        <v>14014</v>
      </c>
      <c r="B125" s="4" t="s">
        <v>687</v>
      </c>
      <c r="C125" s="41" t="s">
        <v>1345</v>
      </c>
      <c r="D125" s="42">
        <v>55</v>
      </c>
      <c r="E125" s="43">
        <v>46</v>
      </c>
      <c r="F125" s="50" t="str">
        <f>VLOOKUP(tabPontoPed[[#This Row],[GRUPO]],tabGrupos[#Data],2,FALSE)</f>
        <v>EQUIP. MAT. P/ GERACAO, TRANSM. DISTR. RETIF...</v>
      </c>
      <c r="G125" s="42" t="str">
        <f>VLOOKUP(tabPontoPed[[#This Row],[GRUPO]],tabGrupos[#Data],3,FALSE)</f>
        <v>MEL</v>
      </c>
      <c r="H125" s="41" t="s">
        <v>1339</v>
      </c>
      <c r="I125" s="9">
        <v>4</v>
      </c>
      <c r="J125" s="51">
        <v>1</v>
      </c>
      <c r="K125" s="7">
        <f>tabPontoPed[[#This Row],[QTDMÊS]] * tabPontoPed[[#This Row],[MENSAL]]</f>
        <v>4</v>
      </c>
      <c r="L125" s="13" t="s">
        <v>1012</v>
      </c>
      <c r="M125" s="44"/>
      <c r="N125" s="45" t="str">
        <f>_xlfn.IFNA(IF(VLOOKUP(tabPontoPed[[#This Row],[CÓDIGO]],Excluir_do_Estoque!$A$4:$A$4004,1,FALSE),"sim",""),"")</f>
        <v/>
      </c>
      <c r="O125" s="10" t="str">
        <f t="shared" si="1"/>
        <v>*</v>
      </c>
    </row>
    <row r="126" spans="1:15" x14ac:dyDescent="0.25">
      <c r="A126" s="2">
        <v>14055</v>
      </c>
      <c r="B126" s="4" t="s">
        <v>838</v>
      </c>
      <c r="C126" s="41" t="s">
        <v>1345</v>
      </c>
      <c r="D126" s="42">
        <v>67</v>
      </c>
      <c r="E126" s="43">
        <v>6</v>
      </c>
      <c r="F126" s="50" t="str">
        <f>VLOOKUP(tabPontoPed[[#This Row],[GRUPO]],tabGrupos[#Data],2,FALSE)</f>
        <v>PARAFUSOS ELEM. VEDACAO UNIAO CONEX . FIXACAO</v>
      </c>
      <c r="G126" s="42" t="str">
        <f>VLOOKUP(tabPontoPed[[#This Row],[GRUPO]],tabGrupos[#Data],3,FALSE)</f>
        <v>MSE</v>
      </c>
      <c r="H126" s="41" t="s">
        <v>1339</v>
      </c>
      <c r="I126" s="9">
        <v>4</v>
      </c>
      <c r="J126" s="51">
        <v>3</v>
      </c>
      <c r="K126" s="7">
        <f>tabPontoPed[[#This Row],[QTDMÊS]] * tabPontoPed[[#This Row],[MENSAL]]</f>
        <v>12</v>
      </c>
      <c r="L126" s="13" t="s">
        <v>1012</v>
      </c>
      <c r="M126" s="44"/>
      <c r="N126" s="45" t="str">
        <f>_xlfn.IFNA(IF(VLOOKUP(tabPontoPed[[#This Row],[CÓDIGO]],Excluir_do_Estoque!$A$4:$A$4004,1,FALSE),"sim",""),"")</f>
        <v/>
      </c>
      <c r="O126" s="10" t="str">
        <f t="shared" si="1"/>
        <v>*</v>
      </c>
    </row>
    <row r="127" spans="1:15" x14ac:dyDescent="0.25">
      <c r="A127" s="2">
        <v>14056</v>
      </c>
      <c r="B127" s="4" t="s">
        <v>515</v>
      </c>
      <c r="C127" s="41" t="s">
        <v>1345</v>
      </c>
      <c r="D127" s="42">
        <v>51</v>
      </c>
      <c r="E127" s="43">
        <v>12</v>
      </c>
      <c r="F127" s="50" t="str">
        <f>VLOOKUP(tabPontoPed[[#This Row],[GRUPO]],tabGrupos[#Data],2,FALSE)</f>
        <v>MAT.E EQUIP. P/ CONSTR.CIVIL E CONSERV. DE VIAS PUBL.</v>
      </c>
      <c r="G127" s="42" t="str">
        <f>VLOOKUP(tabPontoPed[[#This Row],[GRUPO]],tabGrupos[#Data],3,FALSE)</f>
        <v>MCO</v>
      </c>
      <c r="H127" s="41" t="s">
        <v>1339</v>
      </c>
      <c r="I127" s="9">
        <v>4</v>
      </c>
      <c r="J127" s="51">
        <v>0</v>
      </c>
      <c r="K127" s="7">
        <f>tabPontoPed[[#This Row],[QTDMÊS]] * tabPontoPed[[#This Row],[MENSAL]]</f>
        <v>0</v>
      </c>
      <c r="L127" s="13" t="s">
        <v>1012</v>
      </c>
      <c r="M127" s="44"/>
      <c r="N127" s="45" t="str">
        <f>_xlfn.IFNA(IF(VLOOKUP(tabPontoPed[[#This Row],[CÓDIGO]],Excluir_do_Estoque!$A$4:$A$4004,1,FALSE),"sim",""),"")</f>
        <v/>
      </c>
      <c r="O127" s="10" t="str">
        <f t="shared" si="1"/>
        <v>*</v>
      </c>
    </row>
    <row r="128" spans="1:15" x14ac:dyDescent="0.25">
      <c r="A128" s="2">
        <v>14121</v>
      </c>
      <c r="B128" s="4" t="s">
        <v>935</v>
      </c>
      <c r="C128" s="41" t="s">
        <v>1345</v>
      </c>
      <c r="D128" s="42">
        <v>72</v>
      </c>
      <c r="E128" s="43">
        <v>6</v>
      </c>
      <c r="F128" s="50" t="str">
        <f>VLOOKUP(tabPontoPed[[#This Row],[GRUPO]],tabGrupos[#Data],2,FALSE)</f>
        <v>MAQ.EQUIP.E MATERIAIS P/ HIGIEN.LIMP.POLIM.E LUBR.</v>
      </c>
      <c r="G128" s="42" t="str">
        <f>VLOOKUP(tabPontoPed[[#This Row],[GRUPO]],tabGrupos[#Data],3,FALSE)</f>
        <v>ADM</v>
      </c>
      <c r="H128" s="41" t="s">
        <v>1339</v>
      </c>
      <c r="I128" s="9">
        <v>4</v>
      </c>
      <c r="J128" s="51">
        <v>4083</v>
      </c>
      <c r="K128" s="7">
        <f>tabPontoPed[[#This Row],[QTDMÊS]] * tabPontoPed[[#This Row],[MENSAL]]</f>
        <v>16332</v>
      </c>
      <c r="L128" s="13" t="s">
        <v>1012</v>
      </c>
      <c r="M128" s="44"/>
      <c r="N128" s="45" t="str">
        <f>_xlfn.IFNA(IF(VLOOKUP(tabPontoPed[[#This Row],[CÓDIGO]],Excluir_do_Estoque!$A$4:$A$4004,1,FALSE),"sim",""),"")</f>
        <v/>
      </c>
      <c r="O128" s="10" t="str">
        <f t="shared" si="1"/>
        <v>*</v>
      </c>
    </row>
    <row r="129" spans="1:15" x14ac:dyDescent="0.25">
      <c r="A129" s="2">
        <v>14154</v>
      </c>
      <c r="B129" s="4" t="s">
        <v>194</v>
      </c>
      <c r="C129" s="41" t="s">
        <v>1345</v>
      </c>
      <c r="D129" s="42">
        <v>72</v>
      </c>
      <c r="E129" s="43">
        <v>6</v>
      </c>
      <c r="F129" s="50" t="str">
        <f>VLOOKUP(tabPontoPed[[#This Row],[GRUPO]],tabGrupos[#Data],2,FALSE)</f>
        <v>MAQ.EQUIP.E MATERIAIS P/ HIGIEN.LIMP.POLIM.E LUBR.</v>
      </c>
      <c r="G129" s="42" t="str">
        <f>VLOOKUP(tabPontoPed[[#This Row],[GRUPO]],tabGrupos[#Data],3,FALSE)</f>
        <v>ADM</v>
      </c>
      <c r="H129" s="41" t="s">
        <v>1339</v>
      </c>
      <c r="I129" s="9">
        <v>4</v>
      </c>
      <c r="J129" s="51">
        <v>658</v>
      </c>
      <c r="K129" s="7">
        <f>tabPontoPed[[#This Row],[QTDMÊS]] * tabPontoPed[[#This Row],[MENSAL]]</f>
        <v>2632</v>
      </c>
      <c r="L129" s="13" t="s">
        <v>1012</v>
      </c>
      <c r="M129" s="44"/>
      <c r="N129" s="45" t="str">
        <f>_xlfn.IFNA(IF(VLOOKUP(tabPontoPed[[#This Row],[CÓDIGO]],Excluir_do_Estoque!$A$4:$A$4004,1,FALSE),"sim",""),"")</f>
        <v/>
      </c>
      <c r="O129" s="10" t="str">
        <f t="shared" si="1"/>
        <v>*</v>
      </c>
    </row>
    <row r="130" spans="1:15" x14ac:dyDescent="0.25">
      <c r="A130" s="2">
        <v>14199</v>
      </c>
      <c r="B130" s="4" t="s">
        <v>384</v>
      </c>
      <c r="C130" s="41" t="s">
        <v>1345</v>
      </c>
      <c r="D130" s="42">
        <v>72</v>
      </c>
      <c r="E130" s="43">
        <v>9</v>
      </c>
      <c r="F130" s="50" t="str">
        <f>VLOOKUP(tabPontoPed[[#This Row],[GRUPO]],tabGrupos[#Data],2,FALSE)</f>
        <v>MAQ.EQUIP.E MATERIAIS P/ HIGIEN.LIMP.POLIM.E LUBR.</v>
      </c>
      <c r="G130" s="42" t="str">
        <f>VLOOKUP(tabPontoPed[[#This Row],[GRUPO]],tabGrupos[#Data],3,FALSE)</f>
        <v>ADM</v>
      </c>
      <c r="H130" s="41" t="s">
        <v>1339</v>
      </c>
      <c r="I130" s="9">
        <v>4</v>
      </c>
      <c r="J130" s="51">
        <v>114</v>
      </c>
      <c r="K130" s="7">
        <f>tabPontoPed[[#This Row],[QTDMÊS]] * tabPontoPed[[#This Row],[MENSAL]]</f>
        <v>456</v>
      </c>
      <c r="L130" s="13" t="s">
        <v>1012</v>
      </c>
      <c r="M130" s="44"/>
      <c r="N130" s="45" t="str">
        <f>_xlfn.IFNA(IF(VLOOKUP(tabPontoPed[[#This Row],[CÓDIGO]],Excluir_do_Estoque!$A$4:$A$4004,1,FALSE),"sim",""),"")</f>
        <v/>
      </c>
      <c r="O130" s="10" t="str">
        <f t="shared" si="1"/>
        <v>*</v>
      </c>
    </row>
    <row r="131" spans="1:15" x14ac:dyDescent="0.25">
      <c r="A131" s="2">
        <v>14662</v>
      </c>
      <c r="B131" s="4" t="s">
        <v>498</v>
      </c>
      <c r="C131" s="41" t="s">
        <v>1345</v>
      </c>
      <c r="D131" s="42">
        <v>51</v>
      </c>
      <c r="E131" s="43">
        <v>3</v>
      </c>
      <c r="F131" s="50" t="str">
        <f>VLOOKUP(tabPontoPed[[#This Row],[GRUPO]],tabGrupos[#Data],2,FALSE)</f>
        <v>MAT.E EQUIP. P/ CONSTR.CIVIL E CONSERV. DE VIAS PUBL.</v>
      </c>
      <c r="G131" s="42" t="str">
        <f>VLOOKUP(tabPontoPed[[#This Row],[GRUPO]],tabGrupos[#Data],3,FALSE)</f>
        <v>MCO</v>
      </c>
      <c r="H131" s="41" t="s">
        <v>1339</v>
      </c>
      <c r="I131" s="9">
        <v>4</v>
      </c>
      <c r="J131" s="51">
        <v>206</v>
      </c>
      <c r="K131" s="7">
        <f>tabPontoPed[[#This Row],[QTDMÊS]] * tabPontoPed[[#This Row],[MENSAL]]</f>
        <v>824</v>
      </c>
      <c r="L131" s="13" t="s">
        <v>1012</v>
      </c>
      <c r="M131" s="44"/>
      <c r="N131" s="45" t="str">
        <f>_xlfn.IFNA(IF(VLOOKUP(tabPontoPed[[#This Row],[CÓDIGO]],Excluir_do_Estoque!$A$4:$A$4004,1,FALSE),"sim",""),"")</f>
        <v/>
      </c>
      <c r="O131" s="10" t="str">
        <f t="shared" si="1"/>
        <v>*</v>
      </c>
    </row>
    <row r="132" spans="1:15" x14ac:dyDescent="0.25">
      <c r="A132" s="2">
        <v>14737</v>
      </c>
      <c r="B132" s="4" t="s">
        <v>179</v>
      </c>
      <c r="C132" s="41" t="s">
        <v>1345</v>
      </c>
      <c r="D132" s="42">
        <v>76</v>
      </c>
      <c r="E132" s="43">
        <v>5</v>
      </c>
      <c r="F132" s="50" t="str">
        <f>VLOOKUP(tabPontoPed[[#This Row],[GRUPO]],tabGrupos[#Data],2,FALSE)</f>
        <v>EQUIP. E MATERIAIS P/PINTURAS E IMPERMEABILIZACAO</v>
      </c>
      <c r="G132" s="42" t="str">
        <f>VLOOKUP(tabPontoPed[[#This Row],[GRUPO]],tabGrupos[#Data],3,FALSE)</f>
        <v>MPI</v>
      </c>
      <c r="H132" s="41" t="s">
        <v>1339</v>
      </c>
      <c r="I132" s="9">
        <v>4</v>
      </c>
      <c r="J132" s="51">
        <v>3</v>
      </c>
      <c r="K132" s="7">
        <f>tabPontoPed[[#This Row],[QTDMÊS]] * tabPontoPed[[#This Row],[MENSAL]]</f>
        <v>12</v>
      </c>
      <c r="L132" s="13" t="s">
        <v>1012</v>
      </c>
      <c r="M132" s="44"/>
      <c r="N132" s="45" t="str">
        <f>_xlfn.IFNA(IF(VLOOKUP(tabPontoPed[[#This Row],[CÓDIGO]],Excluir_do_Estoque!$A$4:$A$4004,1,FALSE),"sim",""),"")</f>
        <v/>
      </c>
      <c r="O132" s="10" t="str">
        <f t="shared" ref="O132:O195" si="2">"*"</f>
        <v>*</v>
      </c>
    </row>
    <row r="133" spans="1:15" x14ac:dyDescent="0.25">
      <c r="A133" s="2">
        <v>14754</v>
      </c>
      <c r="B133" s="4" t="s">
        <v>682</v>
      </c>
      <c r="C133" s="41" t="s">
        <v>1345</v>
      </c>
      <c r="D133" s="42">
        <v>55</v>
      </c>
      <c r="E133" s="43">
        <v>40</v>
      </c>
      <c r="F133" s="50" t="str">
        <f>VLOOKUP(tabPontoPed[[#This Row],[GRUPO]],tabGrupos[#Data],2,FALSE)</f>
        <v>EQUIP. MAT. P/ GERACAO, TRANSM. DISTR. RETIF...</v>
      </c>
      <c r="G133" s="42" t="str">
        <f>VLOOKUP(tabPontoPed[[#This Row],[GRUPO]],tabGrupos[#Data],3,FALSE)</f>
        <v>MEL</v>
      </c>
      <c r="H133" s="41" t="s">
        <v>1339</v>
      </c>
      <c r="I133" s="9">
        <v>4</v>
      </c>
      <c r="J133" s="51">
        <v>5</v>
      </c>
      <c r="K133" s="7">
        <f>tabPontoPed[[#This Row],[QTDMÊS]] * tabPontoPed[[#This Row],[MENSAL]]</f>
        <v>20</v>
      </c>
      <c r="L133" s="13" t="s">
        <v>1012</v>
      </c>
      <c r="M133" s="44"/>
      <c r="N133" s="45" t="str">
        <f>_xlfn.IFNA(IF(VLOOKUP(tabPontoPed[[#This Row],[CÓDIGO]],Excluir_do_Estoque!$A$4:$A$4004,1,FALSE),"sim",""),"")</f>
        <v/>
      </c>
      <c r="O133" s="10" t="str">
        <f t="shared" si="2"/>
        <v>*</v>
      </c>
    </row>
    <row r="134" spans="1:15" x14ac:dyDescent="0.25">
      <c r="A134" s="2">
        <v>14784</v>
      </c>
      <c r="B134" s="4" t="s">
        <v>649</v>
      </c>
      <c r="C134" s="41" t="s">
        <v>1345</v>
      </c>
      <c r="D134" s="42">
        <v>55</v>
      </c>
      <c r="E134" s="43">
        <v>32</v>
      </c>
      <c r="F134" s="50" t="str">
        <f>VLOOKUP(tabPontoPed[[#This Row],[GRUPO]],tabGrupos[#Data],2,FALSE)</f>
        <v>EQUIP. MAT. P/ GERACAO, TRANSM. DISTR. RETIF...</v>
      </c>
      <c r="G134" s="42" t="str">
        <f>VLOOKUP(tabPontoPed[[#This Row],[GRUPO]],tabGrupos[#Data],3,FALSE)</f>
        <v>MEL</v>
      </c>
      <c r="H134" s="41" t="s">
        <v>1339</v>
      </c>
      <c r="I134" s="9">
        <v>4</v>
      </c>
      <c r="J134" s="51">
        <v>3</v>
      </c>
      <c r="K134" s="7">
        <f>tabPontoPed[[#This Row],[QTDMÊS]] * tabPontoPed[[#This Row],[MENSAL]]</f>
        <v>12</v>
      </c>
      <c r="L134" s="13" t="s">
        <v>1012</v>
      </c>
      <c r="M134" s="44"/>
      <c r="N134" s="45" t="str">
        <f>_xlfn.IFNA(IF(VLOOKUP(tabPontoPed[[#This Row],[CÓDIGO]],Excluir_do_Estoque!$A$4:$A$4004,1,FALSE),"sim",""),"")</f>
        <v/>
      </c>
      <c r="O134" s="10" t="str">
        <f t="shared" si="2"/>
        <v>*</v>
      </c>
    </row>
    <row r="135" spans="1:15" x14ac:dyDescent="0.25">
      <c r="A135" s="2">
        <v>14831</v>
      </c>
      <c r="B135" s="4" t="s">
        <v>20</v>
      </c>
      <c r="C135" s="41" t="s">
        <v>1345</v>
      </c>
      <c r="D135" s="42">
        <v>55</v>
      </c>
      <c r="E135" s="43">
        <v>27</v>
      </c>
      <c r="F135" s="50" t="str">
        <f>VLOOKUP(tabPontoPed[[#This Row],[GRUPO]],tabGrupos[#Data],2,FALSE)</f>
        <v>EQUIP. MAT. P/ GERACAO, TRANSM. DISTR. RETIF...</v>
      </c>
      <c r="G135" s="42" t="str">
        <f>VLOOKUP(tabPontoPed[[#This Row],[GRUPO]],tabGrupos[#Data],3,FALSE)</f>
        <v>MEL</v>
      </c>
      <c r="H135" s="41" t="s">
        <v>1339</v>
      </c>
      <c r="I135" s="9">
        <v>4</v>
      </c>
      <c r="J135" s="51">
        <v>27</v>
      </c>
      <c r="K135" s="7">
        <f>tabPontoPed[[#This Row],[QTDMÊS]] * tabPontoPed[[#This Row],[MENSAL]]</f>
        <v>108</v>
      </c>
      <c r="L135" s="13" t="s">
        <v>1012</v>
      </c>
      <c r="M135" s="44"/>
      <c r="N135" s="45" t="str">
        <f>_xlfn.IFNA(IF(VLOOKUP(tabPontoPed[[#This Row],[CÓDIGO]],Excluir_do_Estoque!$A$4:$A$4004,1,FALSE),"sim",""),"")</f>
        <v/>
      </c>
      <c r="O135" s="10" t="str">
        <f t="shared" si="2"/>
        <v>*</v>
      </c>
    </row>
    <row r="136" spans="1:15" x14ac:dyDescent="0.25">
      <c r="A136" s="2">
        <v>14885</v>
      </c>
      <c r="B136" s="4" t="s">
        <v>137</v>
      </c>
      <c r="C136" s="41" t="s">
        <v>1345</v>
      </c>
      <c r="D136" s="42">
        <v>55</v>
      </c>
      <c r="E136" s="43">
        <v>32</v>
      </c>
      <c r="F136" s="50" t="str">
        <f>VLOOKUP(tabPontoPed[[#This Row],[GRUPO]],tabGrupos[#Data],2,FALSE)</f>
        <v>EQUIP. MAT. P/ GERACAO, TRANSM. DISTR. RETIF...</v>
      </c>
      <c r="G136" s="42" t="str">
        <f>VLOOKUP(tabPontoPed[[#This Row],[GRUPO]],tabGrupos[#Data],3,FALSE)</f>
        <v>MEL</v>
      </c>
      <c r="H136" s="41" t="s">
        <v>1339</v>
      </c>
      <c r="I136" s="9">
        <v>4</v>
      </c>
      <c r="J136" s="51">
        <v>2</v>
      </c>
      <c r="K136" s="7">
        <f>tabPontoPed[[#This Row],[QTDMÊS]] * tabPontoPed[[#This Row],[MENSAL]]</f>
        <v>8</v>
      </c>
      <c r="L136" s="13" t="s">
        <v>1012</v>
      </c>
      <c r="M136" s="44"/>
      <c r="N136" s="45" t="str">
        <f>_xlfn.IFNA(IF(VLOOKUP(tabPontoPed[[#This Row],[CÓDIGO]],Excluir_do_Estoque!$A$4:$A$4004,1,FALSE),"sim",""),"")</f>
        <v/>
      </c>
      <c r="O136" s="10" t="str">
        <f t="shared" si="2"/>
        <v>*</v>
      </c>
    </row>
    <row r="137" spans="1:15" x14ac:dyDescent="0.25">
      <c r="A137" s="2">
        <v>14887</v>
      </c>
      <c r="B137" s="4" t="s">
        <v>22</v>
      </c>
      <c r="C137" s="41" t="s">
        <v>1345</v>
      </c>
      <c r="D137" s="42">
        <v>55</v>
      </c>
      <c r="E137" s="43">
        <v>32</v>
      </c>
      <c r="F137" s="50" t="str">
        <f>VLOOKUP(tabPontoPed[[#This Row],[GRUPO]],tabGrupos[#Data],2,FALSE)</f>
        <v>EQUIP. MAT. P/ GERACAO, TRANSM. DISTR. RETIF...</v>
      </c>
      <c r="G137" s="42" t="str">
        <f>VLOOKUP(tabPontoPed[[#This Row],[GRUPO]],tabGrupos[#Data],3,FALSE)</f>
        <v>MEL</v>
      </c>
      <c r="H137" s="41" t="s">
        <v>1339</v>
      </c>
      <c r="I137" s="9">
        <v>4</v>
      </c>
      <c r="J137" s="51">
        <v>33</v>
      </c>
      <c r="K137" s="7">
        <f>tabPontoPed[[#This Row],[QTDMÊS]] * tabPontoPed[[#This Row],[MENSAL]]</f>
        <v>132</v>
      </c>
      <c r="L137" s="13" t="s">
        <v>1012</v>
      </c>
      <c r="M137" s="44"/>
      <c r="N137" s="45" t="str">
        <f>_xlfn.IFNA(IF(VLOOKUP(tabPontoPed[[#This Row],[CÓDIGO]],Excluir_do_Estoque!$A$4:$A$4004,1,FALSE),"sim",""),"")</f>
        <v/>
      </c>
      <c r="O137" s="10" t="str">
        <f t="shared" si="2"/>
        <v>*</v>
      </c>
    </row>
    <row r="138" spans="1:15" x14ac:dyDescent="0.25">
      <c r="A138" s="2">
        <v>14921</v>
      </c>
      <c r="B138" s="4" t="s">
        <v>683</v>
      </c>
      <c r="C138" s="41" t="s">
        <v>1345</v>
      </c>
      <c r="D138" s="42">
        <v>55</v>
      </c>
      <c r="E138" s="43">
        <v>40</v>
      </c>
      <c r="F138" s="50" t="str">
        <f>VLOOKUP(tabPontoPed[[#This Row],[GRUPO]],tabGrupos[#Data],2,FALSE)</f>
        <v>EQUIP. MAT. P/ GERACAO, TRANSM. DISTR. RETIF...</v>
      </c>
      <c r="G138" s="42" t="str">
        <f>VLOOKUP(tabPontoPed[[#This Row],[GRUPO]],tabGrupos[#Data],3,FALSE)</f>
        <v>MEL</v>
      </c>
      <c r="H138" s="41" t="s">
        <v>1339</v>
      </c>
      <c r="I138" s="9">
        <v>4</v>
      </c>
      <c r="J138" s="51">
        <v>95</v>
      </c>
      <c r="K138" s="7">
        <f>tabPontoPed[[#This Row],[QTDMÊS]] * tabPontoPed[[#This Row],[MENSAL]]</f>
        <v>380</v>
      </c>
      <c r="L138" s="13" t="s">
        <v>1012</v>
      </c>
      <c r="M138" s="44"/>
      <c r="N138" s="45" t="str">
        <f>_xlfn.IFNA(IF(VLOOKUP(tabPontoPed[[#This Row],[CÓDIGO]],Excluir_do_Estoque!$A$4:$A$4004,1,FALSE),"sim",""),"")</f>
        <v/>
      </c>
      <c r="O138" s="10" t="str">
        <f t="shared" si="2"/>
        <v>*</v>
      </c>
    </row>
    <row r="139" spans="1:15" x14ac:dyDescent="0.25">
      <c r="A139" s="2">
        <v>14977</v>
      </c>
      <c r="B139" s="4" t="s">
        <v>562</v>
      </c>
      <c r="C139" s="41" t="s">
        <v>1345</v>
      </c>
      <c r="D139" s="42">
        <v>51</v>
      </c>
      <c r="E139" s="43">
        <v>37</v>
      </c>
      <c r="F139" s="50" t="str">
        <f>VLOOKUP(tabPontoPed[[#This Row],[GRUPO]],tabGrupos[#Data],2,FALSE)</f>
        <v>MAT.E EQUIP. P/ CONSTR.CIVIL E CONSERV. DE VIAS PUBL.</v>
      </c>
      <c r="G139" s="42" t="str">
        <f>VLOOKUP(tabPontoPed[[#This Row],[GRUPO]],tabGrupos[#Data],3,FALSE)</f>
        <v>MCO</v>
      </c>
      <c r="H139" s="41" t="s">
        <v>1339</v>
      </c>
      <c r="I139" s="9">
        <v>4</v>
      </c>
      <c r="J139" s="51">
        <v>13</v>
      </c>
      <c r="K139" s="7">
        <f>tabPontoPed[[#This Row],[QTDMÊS]] * tabPontoPed[[#This Row],[MENSAL]]</f>
        <v>52</v>
      </c>
      <c r="L139" s="13" t="s">
        <v>1012</v>
      </c>
      <c r="M139" s="44"/>
      <c r="N139" s="45" t="str">
        <f>_xlfn.IFNA(IF(VLOOKUP(tabPontoPed[[#This Row],[CÓDIGO]],Excluir_do_Estoque!$A$4:$A$4004,1,FALSE),"sim",""),"")</f>
        <v/>
      </c>
      <c r="O139" s="10" t="str">
        <f t="shared" si="2"/>
        <v>*</v>
      </c>
    </row>
    <row r="140" spans="1:15" x14ac:dyDescent="0.25">
      <c r="A140" s="2">
        <v>15029</v>
      </c>
      <c r="B140" s="4" t="s">
        <v>306</v>
      </c>
      <c r="C140" s="41" t="s">
        <v>1345</v>
      </c>
      <c r="D140" s="42">
        <v>61</v>
      </c>
      <c r="E140" s="43">
        <v>10</v>
      </c>
      <c r="F140" s="50" t="str">
        <f>VLOOKUP(tabPontoPed[[#This Row],[GRUPO]],tabGrupos[#Data],2,FALSE)</f>
        <v>MATERIAL HIDRAULICO, CANOS, TUBOS, MANGUEIRAS, CONEXOES E ACESS.</v>
      </c>
      <c r="G140" s="42" t="str">
        <f>VLOOKUP(tabPontoPed[[#This Row],[GRUPO]],tabGrupos[#Data],3,FALSE)</f>
        <v>MHI</v>
      </c>
      <c r="H140" s="41" t="s">
        <v>1339</v>
      </c>
      <c r="I140" s="9">
        <v>4</v>
      </c>
      <c r="J140" s="51">
        <v>44</v>
      </c>
      <c r="K140" s="7">
        <f>tabPontoPed[[#This Row],[QTDMÊS]] * tabPontoPed[[#This Row],[MENSAL]]</f>
        <v>176</v>
      </c>
      <c r="L140" s="13" t="s">
        <v>1012</v>
      </c>
      <c r="M140" s="44"/>
      <c r="N140" s="45" t="str">
        <f>_xlfn.IFNA(IF(VLOOKUP(tabPontoPed[[#This Row],[CÓDIGO]],Excluir_do_Estoque!$A$4:$A$4004,1,FALSE),"sim",""),"")</f>
        <v/>
      </c>
      <c r="O140" s="10" t="str">
        <f t="shared" si="2"/>
        <v>*</v>
      </c>
    </row>
    <row r="141" spans="1:15" x14ac:dyDescent="0.25">
      <c r="A141" s="2">
        <v>15051</v>
      </c>
      <c r="B141" s="4" t="s">
        <v>779</v>
      </c>
      <c r="C141" s="41" t="s">
        <v>1345</v>
      </c>
      <c r="D141" s="42">
        <v>61</v>
      </c>
      <c r="E141" s="43">
        <v>11</v>
      </c>
      <c r="F141" s="50" t="str">
        <f>VLOOKUP(tabPontoPed[[#This Row],[GRUPO]],tabGrupos[#Data],2,FALSE)</f>
        <v>MATERIAL HIDRAULICO, CANOS, TUBOS, MANGUEIRAS, CONEXOES E ACESS.</v>
      </c>
      <c r="G141" s="42" t="str">
        <f>VLOOKUP(tabPontoPed[[#This Row],[GRUPO]],tabGrupos[#Data],3,FALSE)</f>
        <v>MHI</v>
      </c>
      <c r="H141" s="41" t="s">
        <v>1339</v>
      </c>
      <c r="I141" s="9">
        <v>4</v>
      </c>
      <c r="J141" s="51">
        <v>2</v>
      </c>
      <c r="K141" s="7">
        <f>tabPontoPed[[#This Row],[QTDMÊS]] * tabPontoPed[[#This Row],[MENSAL]]</f>
        <v>8</v>
      </c>
      <c r="L141" s="13" t="s">
        <v>1012</v>
      </c>
      <c r="M141" s="44"/>
      <c r="N141" s="45" t="str">
        <f>_xlfn.IFNA(IF(VLOOKUP(tabPontoPed[[#This Row],[CÓDIGO]],Excluir_do_Estoque!$A$4:$A$4004,1,FALSE),"sim",""),"")</f>
        <v/>
      </c>
      <c r="O141" s="10" t="str">
        <f t="shared" si="2"/>
        <v>*</v>
      </c>
    </row>
    <row r="142" spans="1:15" x14ac:dyDescent="0.25">
      <c r="A142" s="2">
        <v>15066</v>
      </c>
      <c r="B142" s="4" t="s">
        <v>319</v>
      </c>
      <c r="C142" s="41" t="s">
        <v>1345</v>
      </c>
      <c r="D142" s="42">
        <v>61</v>
      </c>
      <c r="E142" s="43">
        <v>15</v>
      </c>
      <c r="F142" s="50" t="str">
        <f>VLOOKUP(tabPontoPed[[#This Row],[GRUPO]],tabGrupos[#Data],2,FALSE)</f>
        <v>MATERIAL HIDRAULICO, CANOS, TUBOS, MANGUEIRAS, CONEXOES E ACESS.</v>
      </c>
      <c r="G142" s="42" t="str">
        <f>VLOOKUP(tabPontoPed[[#This Row],[GRUPO]],tabGrupos[#Data],3,FALSE)</f>
        <v>MHI</v>
      </c>
      <c r="H142" s="41" t="s">
        <v>1339</v>
      </c>
      <c r="I142" s="9">
        <v>4</v>
      </c>
      <c r="J142" s="51">
        <v>13</v>
      </c>
      <c r="K142" s="7">
        <f>tabPontoPed[[#This Row],[QTDMÊS]] * tabPontoPed[[#This Row],[MENSAL]]</f>
        <v>52</v>
      </c>
      <c r="L142" s="13" t="s">
        <v>1012</v>
      </c>
      <c r="M142" s="44"/>
      <c r="N142" s="45" t="str">
        <f>_xlfn.IFNA(IF(VLOOKUP(tabPontoPed[[#This Row],[CÓDIGO]],Excluir_do_Estoque!$A$4:$A$4004,1,FALSE),"sim",""),"")</f>
        <v/>
      </c>
      <c r="O142" s="10" t="str">
        <f t="shared" si="2"/>
        <v>*</v>
      </c>
    </row>
    <row r="143" spans="1:15" x14ac:dyDescent="0.25">
      <c r="A143" s="2">
        <v>15085</v>
      </c>
      <c r="B143" s="4" t="s">
        <v>790</v>
      </c>
      <c r="C143" s="41" t="s">
        <v>1345</v>
      </c>
      <c r="D143" s="42">
        <v>61</v>
      </c>
      <c r="E143" s="43">
        <v>15</v>
      </c>
      <c r="F143" s="50" t="str">
        <f>VLOOKUP(tabPontoPed[[#This Row],[GRUPO]],tabGrupos[#Data],2,FALSE)</f>
        <v>MATERIAL HIDRAULICO, CANOS, TUBOS, MANGUEIRAS, CONEXOES E ACESS.</v>
      </c>
      <c r="G143" s="42" t="str">
        <f>VLOOKUP(tabPontoPed[[#This Row],[GRUPO]],tabGrupos[#Data],3,FALSE)</f>
        <v>MHI</v>
      </c>
      <c r="H143" s="41" t="s">
        <v>1339</v>
      </c>
      <c r="I143" s="9">
        <v>4</v>
      </c>
      <c r="J143" s="51">
        <v>7</v>
      </c>
      <c r="K143" s="7">
        <f>tabPontoPed[[#This Row],[QTDMÊS]] * tabPontoPed[[#This Row],[MENSAL]]</f>
        <v>28</v>
      </c>
      <c r="L143" s="13" t="s">
        <v>1012</v>
      </c>
      <c r="M143" s="44"/>
      <c r="N143" s="45" t="str">
        <f>_xlfn.IFNA(IF(VLOOKUP(tabPontoPed[[#This Row],[CÓDIGO]],Excluir_do_Estoque!$A$4:$A$4004,1,FALSE),"sim",""),"")</f>
        <v/>
      </c>
      <c r="O143" s="10" t="str">
        <f t="shared" si="2"/>
        <v>*</v>
      </c>
    </row>
    <row r="144" spans="1:15" x14ac:dyDescent="0.25">
      <c r="A144" s="2">
        <v>15167</v>
      </c>
      <c r="B144" s="4" t="s">
        <v>366</v>
      </c>
      <c r="C144" s="41" t="s">
        <v>1345</v>
      </c>
      <c r="D144" s="42">
        <v>55</v>
      </c>
      <c r="E144" s="43">
        <v>49</v>
      </c>
      <c r="F144" s="50" t="str">
        <f>VLOOKUP(tabPontoPed[[#This Row],[GRUPO]],tabGrupos[#Data],2,FALSE)</f>
        <v>EQUIP. MAT. P/ GERACAO, TRANSM. DISTR. RETIF...</v>
      </c>
      <c r="G144" s="42" t="str">
        <f>VLOOKUP(tabPontoPed[[#This Row],[GRUPO]],tabGrupos[#Data],3,FALSE)</f>
        <v>MEL</v>
      </c>
      <c r="H144" s="41" t="s">
        <v>1339</v>
      </c>
      <c r="I144" s="9">
        <v>4</v>
      </c>
      <c r="J144" s="51">
        <v>54</v>
      </c>
      <c r="K144" s="7">
        <f>tabPontoPed[[#This Row],[QTDMÊS]] * tabPontoPed[[#This Row],[MENSAL]]</f>
        <v>216</v>
      </c>
      <c r="L144" s="13" t="s">
        <v>1012</v>
      </c>
      <c r="M144" s="44"/>
      <c r="N144" s="45" t="str">
        <f>_xlfn.IFNA(IF(VLOOKUP(tabPontoPed[[#This Row],[CÓDIGO]],Excluir_do_Estoque!$A$4:$A$4004,1,FALSE),"sim",""),"")</f>
        <v/>
      </c>
      <c r="O144" s="10" t="str">
        <f t="shared" si="2"/>
        <v>*</v>
      </c>
    </row>
    <row r="145" spans="1:15" x14ac:dyDescent="0.25">
      <c r="A145" s="2">
        <v>15267</v>
      </c>
      <c r="B145" s="4" t="s">
        <v>659</v>
      </c>
      <c r="C145" s="41" t="s">
        <v>1345</v>
      </c>
      <c r="D145" s="42">
        <v>55</v>
      </c>
      <c r="E145" s="43">
        <v>34</v>
      </c>
      <c r="F145" s="50" t="str">
        <f>VLOOKUP(tabPontoPed[[#This Row],[GRUPO]],tabGrupos[#Data],2,FALSE)</f>
        <v>EQUIP. MAT. P/ GERACAO, TRANSM. DISTR. RETIF...</v>
      </c>
      <c r="G145" s="42" t="str">
        <f>VLOOKUP(tabPontoPed[[#This Row],[GRUPO]],tabGrupos[#Data],3,FALSE)</f>
        <v>MEL</v>
      </c>
      <c r="H145" s="41" t="s">
        <v>1339</v>
      </c>
      <c r="I145" s="9">
        <v>4</v>
      </c>
      <c r="J145" s="51">
        <v>2</v>
      </c>
      <c r="K145" s="7">
        <f>tabPontoPed[[#This Row],[QTDMÊS]] * tabPontoPed[[#This Row],[MENSAL]]</f>
        <v>8</v>
      </c>
      <c r="L145" s="13" t="s">
        <v>1012</v>
      </c>
      <c r="M145" s="44"/>
      <c r="N145" s="45" t="str">
        <f>_xlfn.IFNA(IF(VLOOKUP(tabPontoPed[[#This Row],[CÓDIGO]],Excluir_do_Estoque!$A$4:$A$4004,1,FALSE),"sim",""),"")</f>
        <v/>
      </c>
      <c r="O145" s="10" t="str">
        <f t="shared" si="2"/>
        <v>*</v>
      </c>
    </row>
    <row r="146" spans="1:15" x14ac:dyDescent="0.25">
      <c r="A146" s="2">
        <v>15271</v>
      </c>
      <c r="B146" s="4" t="s">
        <v>660</v>
      </c>
      <c r="C146" s="41" t="s">
        <v>1345</v>
      </c>
      <c r="D146" s="42">
        <v>55</v>
      </c>
      <c r="E146" s="43">
        <v>34</v>
      </c>
      <c r="F146" s="50" t="str">
        <f>VLOOKUP(tabPontoPed[[#This Row],[GRUPO]],tabGrupos[#Data],2,FALSE)</f>
        <v>EQUIP. MAT. P/ GERACAO, TRANSM. DISTR. RETIF...</v>
      </c>
      <c r="G146" s="42" t="str">
        <f>VLOOKUP(tabPontoPed[[#This Row],[GRUPO]],tabGrupos[#Data],3,FALSE)</f>
        <v>MEL</v>
      </c>
      <c r="H146" s="41" t="s">
        <v>1339</v>
      </c>
      <c r="I146" s="9">
        <v>4</v>
      </c>
      <c r="J146" s="51">
        <v>0</v>
      </c>
      <c r="K146" s="7">
        <f>tabPontoPed[[#This Row],[QTDMÊS]] * tabPontoPed[[#This Row],[MENSAL]]</f>
        <v>0</v>
      </c>
      <c r="L146" s="13" t="s">
        <v>1012</v>
      </c>
      <c r="M146" s="44"/>
      <c r="N146" s="45" t="str">
        <f>_xlfn.IFNA(IF(VLOOKUP(tabPontoPed[[#This Row],[CÓDIGO]],Excluir_do_Estoque!$A$4:$A$4004,1,FALSE),"sim",""),"")</f>
        <v/>
      </c>
      <c r="O146" s="10" t="str">
        <f t="shared" si="2"/>
        <v>*</v>
      </c>
    </row>
    <row r="147" spans="1:15" x14ac:dyDescent="0.25">
      <c r="A147" s="2">
        <v>15272</v>
      </c>
      <c r="B147" s="4" t="s">
        <v>661</v>
      </c>
      <c r="C147" s="41" t="s">
        <v>1345</v>
      </c>
      <c r="D147" s="42">
        <v>55</v>
      </c>
      <c r="E147" s="43">
        <v>34</v>
      </c>
      <c r="F147" s="50" t="str">
        <f>VLOOKUP(tabPontoPed[[#This Row],[GRUPO]],tabGrupos[#Data],2,FALSE)</f>
        <v>EQUIP. MAT. P/ GERACAO, TRANSM. DISTR. RETIF...</v>
      </c>
      <c r="G147" s="42" t="str">
        <f>VLOOKUP(tabPontoPed[[#This Row],[GRUPO]],tabGrupos[#Data],3,FALSE)</f>
        <v>MEL</v>
      </c>
      <c r="H147" s="41" t="s">
        <v>1339</v>
      </c>
      <c r="I147" s="9">
        <v>4</v>
      </c>
      <c r="J147" s="51">
        <v>0</v>
      </c>
      <c r="K147" s="7">
        <f>tabPontoPed[[#This Row],[QTDMÊS]] * tabPontoPed[[#This Row],[MENSAL]]</f>
        <v>0</v>
      </c>
      <c r="L147" s="13" t="s">
        <v>1012</v>
      </c>
      <c r="M147" s="44"/>
      <c r="N147" s="45" t="str">
        <f>_xlfn.IFNA(IF(VLOOKUP(tabPontoPed[[#This Row],[CÓDIGO]],Excluir_do_Estoque!$A$4:$A$4004,1,FALSE),"sim",""),"")</f>
        <v/>
      </c>
      <c r="O147" s="10" t="str">
        <f t="shared" si="2"/>
        <v>*</v>
      </c>
    </row>
    <row r="148" spans="1:15" x14ac:dyDescent="0.25">
      <c r="A148" s="2">
        <v>15299</v>
      </c>
      <c r="B148" s="4" t="s">
        <v>620</v>
      </c>
      <c r="C148" s="41" t="s">
        <v>1345</v>
      </c>
      <c r="D148" s="42">
        <v>55</v>
      </c>
      <c r="E148" s="43">
        <v>7</v>
      </c>
      <c r="F148" s="50" t="str">
        <f>VLOOKUP(tabPontoPed[[#This Row],[GRUPO]],tabGrupos[#Data],2,FALSE)</f>
        <v>EQUIP. MAT. P/ GERACAO, TRANSM. DISTR. RETIF...</v>
      </c>
      <c r="G148" s="42" t="str">
        <f>VLOOKUP(tabPontoPed[[#This Row],[GRUPO]],tabGrupos[#Data],3,FALSE)</f>
        <v>MEL</v>
      </c>
      <c r="H148" s="41" t="s">
        <v>1339</v>
      </c>
      <c r="I148" s="9">
        <v>4</v>
      </c>
      <c r="J148" s="51">
        <v>33</v>
      </c>
      <c r="K148" s="7">
        <f>tabPontoPed[[#This Row],[QTDMÊS]] * tabPontoPed[[#This Row],[MENSAL]]</f>
        <v>132</v>
      </c>
      <c r="L148" s="13" t="s">
        <v>1012</v>
      </c>
      <c r="M148" s="44"/>
      <c r="N148" s="45" t="str">
        <f>_xlfn.IFNA(IF(VLOOKUP(tabPontoPed[[#This Row],[CÓDIGO]],Excluir_do_Estoque!$A$4:$A$4004,1,FALSE),"sim",""),"")</f>
        <v/>
      </c>
      <c r="O148" s="10" t="str">
        <f t="shared" si="2"/>
        <v>*</v>
      </c>
    </row>
    <row r="149" spans="1:15" x14ac:dyDescent="0.25">
      <c r="A149" s="2">
        <v>15436</v>
      </c>
      <c r="B149" s="4" t="s">
        <v>149</v>
      </c>
      <c r="C149" s="41" t="s">
        <v>1345</v>
      </c>
      <c r="D149" s="42">
        <v>51</v>
      </c>
      <c r="E149" s="43">
        <v>9</v>
      </c>
      <c r="F149" s="50" t="str">
        <f>VLOOKUP(tabPontoPed[[#This Row],[GRUPO]],tabGrupos[#Data],2,FALSE)</f>
        <v>MAT.E EQUIP. P/ CONSTR.CIVIL E CONSERV. DE VIAS PUBL.</v>
      </c>
      <c r="G149" s="42" t="str">
        <f>VLOOKUP(tabPontoPed[[#This Row],[GRUPO]],tabGrupos[#Data],3,FALSE)</f>
        <v>MCO</v>
      </c>
      <c r="H149" s="41" t="s">
        <v>1339</v>
      </c>
      <c r="I149" s="9">
        <v>4</v>
      </c>
      <c r="J149" s="51">
        <v>53</v>
      </c>
      <c r="K149" s="7">
        <f>tabPontoPed[[#This Row],[QTDMÊS]] * tabPontoPed[[#This Row],[MENSAL]]</f>
        <v>212</v>
      </c>
      <c r="L149" s="13" t="s">
        <v>1012</v>
      </c>
      <c r="M149" s="44"/>
      <c r="N149" s="45" t="str">
        <f>_xlfn.IFNA(IF(VLOOKUP(tabPontoPed[[#This Row],[CÓDIGO]],Excluir_do_Estoque!$A$4:$A$4004,1,FALSE),"sim",""),"")</f>
        <v/>
      </c>
      <c r="O149" s="10" t="str">
        <f t="shared" si="2"/>
        <v>*</v>
      </c>
    </row>
    <row r="150" spans="1:15" x14ac:dyDescent="0.25">
      <c r="A150" s="2">
        <v>15464</v>
      </c>
      <c r="B150" s="4" t="s">
        <v>660</v>
      </c>
      <c r="C150" s="41" t="s">
        <v>1345</v>
      </c>
      <c r="D150" s="42">
        <v>55</v>
      </c>
      <c r="E150" s="43">
        <v>34</v>
      </c>
      <c r="F150" s="50" t="str">
        <f>VLOOKUP(tabPontoPed[[#This Row],[GRUPO]],tabGrupos[#Data],2,FALSE)</f>
        <v>EQUIP. MAT. P/ GERACAO, TRANSM. DISTR. RETIF...</v>
      </c>
      <c r="G150" s="42" t="str">
        <f>VLOOKUP(tabPontoPed[[#This Row],[GRUPO]],tabGrupos[#Data],3,FALSE)</f>
        <v>MEL</v>
      </c>
      <c r="H150" s="41" t="s">
        <v>1339</v>
      </c>
      <c r="I150" s="9">
        <v>4</v>
      </c>
      <c r="J150" s="51">
        <v>0</v>
      </c>
      <c r="K150" s="7">
        <f>tabPontoPed[[#This Row],[QTDMÊS]] * tabPontoPed[[#This Row],[MENSAL]]</f>
        <v>0</v>
      </c>
      <c r="L150" s="13" t="s">
        <v>1012</v>
      </c>
      <c r="M150" s="44"/>
      <c r="N150" s="45" t="str">
        <f>_xlfn.IFNA(IF(VLOOKUP(tabPontoPed[[#This Row],[CÓDIGO]],Excluir_do_Estoque!$A$4:$A$4004,1,FALSE),"sim",""),"")</f>
        <v/>
      </c>
      <c r="O150" s="10" t="str">
        <f t="shared" si="2"/>
        <v>*</v>
      </c>
    </row>
    <row r="151" spans="1:15" x14ac:dyDescent="0.25">
      <c r="A151" s="2">
        <v>15465</v>
      </c>
      <c r="B151" s="4" t="s">
        <v>662</v>
      </c>
      <c r="C151" s="41" t="s">
        <v>1345</v>
      </c>
      <c r="D151" s="42">
        <v>55</v>
      </c>
      <c r="E151" s="43">
        <v>34</v>
      </c>
      <c r="F151" s="50" t="str">
        <f>VLOOKUP(tabPontoPed[[#This Row],[GRUPO]],tabGrupos[#Data],2,FALSE)</f>
        <v>EQUIP. MAT. P/ GERACAO, TRANSM. DISTR. RETIF...</v>
      </c>
      <c r="G151" s="42" t="str">
        <f>VLOOKUP(tabPontoPed[[#This Row],[GRUPO]],tabGrupos[#Data],3,FALSE)</f>
        <v>MEL</v>
      </c>
      <c r="H151" s="41" t="s">
        <v>1339</v>
      </c>
      <c r="I151" s="9">
        <v>4</v>
      </c>
      <c r="J151" s="51">
        <v>0</v>
      </c>
      <c r="K151" s="7">
        <f>tabPontoPed[[#This Row],[QTDMÊS]] * tabPontoPed[[#This Row],[MENSAL]]</f>
        <v>0</v>
      </c>
      <c r="L151" s="13" t="s">
        <v>1012</v>
      </c>
      <c r="M151" s="44"/>
      <c r="N151" s="45" t="str">
        <f>_xlfn.IFNA(IF(VLOOKUP(tabPontoPed[[#This Row],[CÓDIGO]],Excluir_do_Estoque!$A$4:$A$4004,1,FALSE),"sim",""),"")</f>
        <v/>
      </c>
      <c r="O151" s="10" t="str">
        <f t="shared" si="2"/>
        <v>*</v>
      </c>
    </row>
    <row r="152" spans="1:15" x14ac:dyDescent="0.25">
      <c r="A152" s="2">
        <v>15466</v>
      </c>
      <c r="B152" s="4" t="s">
        <v>663</v>
      </c>
      <c r="C152" s="41" t="s">
        <v>1345</v>
      </c>
      <c r="D152" s="42">
        <v>55</v>
      </c>
      <c r="E152" s="43">
        <v>34</v>
      </c>
      <c r="F152" s="50" t="str">
        <f>VLOOKUP(tabPontoPed[[#This Row],[GRUPO]],tabGrupos[#Data],2,FALSE)</f>
        <v>EQUIP. MAT. P/ GERACAO, TRANSM. DISTR. RETIF...</v>
      </c>
      <c r="G152" s="42" t="str">
        <f>VLOOKUP(tabPontoPed[[#This Row],[GRUPO]],tabGrupos[#Data],3,FALSE)</f>
        <v>MEL</v>
      </c>
      <c r="H152" s="41" t="s">
        <v>1339</v>
      </c>
      <c r="I152" s="9">
        <v>4</v>
      </c>
      <c r="J152" s="51">
        <v>1</v>
      </c>
      <c r="K152" s="7">
        <f>tabPontoPed[[#This Row],[QTDMÊS]] * tabPontoPed[[#This Row],[MENSAL]]</f>
        <v>4</v>
      </c>
      <c r="L152" s="13" t="s">
        <v>1012</v>
      </c>
      <c r="M152" s="44"/>
      <c r="N152" s="45" t="str">
        <f>_xlfn.IFNA(IF(VLOOKUP(tabPontoPed[[#This Row],[CÓDIGO]],Excluir_do_Estoque!$A$4:$A$4004,1,FALSE),"sim",""),"")</f>
        <v/>
      </c>
      <c r="O152" s="10" t="str">
        <f t="shared" si="2"/>
        <v>*</v>
      </c>
    </row>
    <row r="153" spans="1:15" x14ac:dyDescent="0.25">
      <c r="A153" s="2">
        <v>15467</v>
      </c>
      <c r="B153" s="4" t="s">
        <v>664</v>
      </c>
      <c r="C153" s="41" t="s">
        <v>1345</v>
      </c>
      <c r="D153" s="42">
        <v>55</v>
      </c>
      <c r="E153" s="43">
        <v>34</v>
      </c>
      <c r="F153" s="50" t="str">
        <f>VLOOKUP(tabPontoPed[[#This Row],[GRUPO]],tabGrupos[#Data],2,FALSE)</f>
        <v>EQUIP. MAT. P/ GERACAO, TRANSM. DISTR. RETIF...</v>
      </c>
      <c r="G153" s="42" t="str">
        <f>VLOOKUP(tabPontoPed[[#This Row],[GRUPO]],tabGrupos[#Data],3,FALSE)</f>
        <v>MEL</v>
      </c>
      <c r="H153" s="41" t="s">
        <v>1339</v>
      </c>
      <c r="I153" s="9">
        <v>4</v>
      </c>
      <c r="J153" s="51">
        <v>2</v>
      </c>
      <c r="K153" s="7">
        <f>tabPontoPed[[#This Row],[QTDMÊS]] * tabPontoPed[[#This Row],[MENSAL]]</f>
        <v>8</v>
      </c>
      <c r="L153" s="13" t="s">
        <v>1012</v>
      </c>
      <c r="M153" s="44"/>
      <c r="N153" s="45" t="str">
        <f>_xlfn.IFNA(IF(VLOOKUP(tabPontoPed[[#This Row],[CÓDIGO]],Excluir_do_Estoque!$A$4:$A$4004,1,FALSE),"sim",""),"")</f>
        <v/>
      </c>
      <c r="O153" s="10" t="str">
        <f t="shared" si="2"/>
        <v>*</v>
      </c>
    </row>
    <row r="154" spans="1:15" x14ac:dyDescent="0.25">
      <c r="A154" s="2">
        <v>15469</v>
      </c>
      <c r="B154" s="4" t="s">
        <v>665</v>
      </c>
      <c r="C154" s="41" t="s">
        <v>1345</v>
      </c>
      <c r="D154" s="42">
        <v>55</v>
      </c>
      <c r="E154" s="43">
        <v>34</v>
      </c>
      <c r="F154" s="50" t="str">
        <f>VLOOKUP(tabPontoPed[[#This Row],[GRUPO]],tabGrupos[#Data],2,FALSE)</f>
        <v>EQUIP. MAT. P/ GERACAO, TRANSM. DISTR. RETIF...</v>
      </c>
      <c r="G154" s="42" t="str">
        <f>VLOOKUP(tabPontoPed[[#This Row],[GRUPO]],tabGrupos[#Data],3,FALSE)</f>
        <v>MEL</v>
      </c>
      <c r="H154" s="41" t="s">
        <v>1339</v>
      </c>
      <c r="I154" s="9">
        <v>4</v>
      </c>
      <c r="J154" s="51">
        <v>4</v>
      </c>
      <c r="K154" s="7">
        <f>tabPontoPed[[#This Row],[QTDMÊS]] * tabPontoPed[[#This Row],[MENSAL]]</f>
        <v>16</v>
      </c>
      <c r="L154" s="13" t="s">
        <v>1012</v>
      </c>
      <c r="M154" s="44"/>
      <c r="N154" s="45" t="str">
        <f>_xlfn.IFNA(IF(VLOOKUP(tabPontoPed[[#This Row],[CÓDIGO]],Excluir_do_Estoque!$A$4:$A$4004,1,FALSE),"sim",""),"")</f>
        <v/>
      </c>
      <c r="O154" s="10" t="str">
        <f t="shared" si="2"/>
        <v>*</v>
      </c>
    </row>
    <row r="155" spans="1:15" x14ac:dyDescent="0.25">
      <c r="A155" s="2">
        <v>15473</v>
      </c>
      <c r="B155" s="4" t="s">
        <v>666</v>
      </c>
      <c r="C155" s="41" t="s">
        <v>1345</v>
      </c>
      <c r="D155" s="42">
        <v>55</v>
      </c>
      <c r="E155" s="43">
        <v>34</v>
      </c>
      <c r="F155" s="50" t="str">
        <f>VLOOKUP(tabPontoPed[[#This Row],[GRUPO]],tabGrupos[#Data],2,FALSE)</f>
        <v>EQUIP. MAT. P/ GERACAO, TRANSM. DISTR. RETIF...</v>
      </c>
      <c r="G155" s="42" t="str">
        <f>VLOOKUP(tabPontoPed[[#This Row],[GRUPO]],tabGrupos[#Data],3,FALSE)</f>
        <v>MEL</v>
      </c>
      <c r="H155" s="41" t="s">
        <v>1339</v>
      </c>
      <c r="I155" s="9">
        <v>4</v>
      </c>
      <c r="J155" s="51">
        <v>1</v>
      </c>
      <c r="K155" s="7">
        <f>tabPontoPed[[#This Row],[QTDMÊS]] * tabPontoPed[[#This Row],[MENSAL]]</f>
        <v>4</v>
      </c>
      <c r="L155" s="13" t="s">
        <v>1012</v>
      </c>
      <c r="M155" s="44"/>
      <c r="N155" s="45" t="str">
        <f>_xlfn.IFNA(IF(VLOOKUP(tabPontoPed[[#This Row],[CÓDIGO]],Excluir_do_Estoque!$A$4:$A$4004,1,FALSE),"sim",""),"")</f>
        <v/>
      </c>
      <c r="O155" s="10" t="str">
        <f t="shared" si="2"/>
        <v>*</v>
      </c>
    </row>
    <row r="156" spans="1:15" x14ac:dyDescent="0.25">
      <c r="A156" s="2">
        <v>15475</v>
      </c>
      <c r="B156" s="4" t="s">
        <v>667</v>
      </c>
      <c r="C156" s="41" t="s">
        <v>1345</v>
      </c>
      <c r="D156" s="42">
        <v>55</v>
      </c>
      <c r="E156" s="43">
        <v>34</v>
      </c>
      <c r="F156" s="50" t="str">
        <f>VLOOKUP(tabPontoPed[[#This Row],[GRUPO]],tabGrupos[#Data],2,FALSE)</f>
        <v>EQUIP. MAT. P/ GERACAO, TRANSM. DISTR. RETIF...</v>
      </c>
      <c r="G156" s="42" t="str">
        <f>VLOOKUP(tabPontoPed[[#This Row],[GRUPO]],tabGrupos[#Data],3,FALSE)</f>
        <v>MEL</v>
      </c>
      <c r="H156" s="41" t="s">
        <v>1339</v>
      </c>
      <c r="I156" s="9">
        <v>4</v>
      </c>
      <c r="J156" s="51">
        <v>2</v>
      </c>
      <c r="K156" s="7">
        <f>tabPontoPed[[#This Row],[QTDMÊS]] * tabPontoPed[[#This Row],[MENSAL]]</f>
        <v>8</v>
      </c>
      <c r="L156" s="13" t="s">
        <v>1012</v>
      </c>
      <c r="M156" s="44"/>
      <c r="N156" s="45" t="str">
        <f>_xlfn.IFNA(IF(VLOOKUP(tabPontoPed[[#This Row],[CÓDIGO]],Excluir_do_Estoque!$A$4:$A$4004,1,FALSE),"sim",""),"")</f>
        <v/>
      </c>
      <c r="O156" s="10" t="str">
        <f t="shared" si="2"/>
        <v>*</v>
      </c>
    </row>
    <row r="157" spans="1:15" x14ac:dyDescent="0.25">
      <c r="A157" s="2">
        <v>15648</v>
      </c>
      <c r="B157" s="4" t="s">
        <v>670</v>
      </c>
      <c r="C157" s="41" t="s">
        <v>1345</v>
      </c>
      <c r="D157" s="42">
        <v>55</v>
      </c>
      <c r="E157" s="43">
        <v>35</v>
      </c>
      <c r="F157" s="50" t="str">
        <f>VLOOKUP(tabPontoPed[[#This Row],[GRUPO]],tabGrupos[#Data],2,FALSE)</f>
        <v>EQUIP. MAT. P/ GERACAO, TRANSM. DISTR. RETIF...</v>
      </c>
      <c r="G157" s="42" t="str">
        <f>VLOOKUP(tabPontoPed[[#This Row],[GRUPO]],tabGrupos[#Data],3,FALSE)</f>
        <v>MEL</v>
      </c>
      <c r="H157" s="41" t="s">
        <v>1339</v>
      </c>
      <c r="I157" s="9">
        <v>4</v>
      </c>
      <c r="J157" s="51">
        <v>2</v>
      </c>
      <c r="K157" s="7">
        <f>tabPontoPed[[#This Row],[QTDMÊS]] * tabPontoPed[[#This Row],[MENSAL]]</f>
        <v>8</v>
      </c>
      <c r="L157" s="13" t="s">
        <v>1012</v>
      </c>
      <c r="M157" s="44"/>
      <c r="N157" s="45" t="str">
        <f>_xlfn.IFNA(IF(VLOOKUP(tabPontoPed[[#This Row],[CÓDIGO]],Excluir_do_Estoque!$A$4:$A$4004,1,FALSE),"sim",""),"")</f>
        <v/>
      </c>
      <c r="O157" s="10" t="str">
        <f t="shared" si="2"/>
        <v>*</v>
      </c>
    </row>
    <row r="158" spans="1:15" x14ac:dyDescent="0.25">
      <c r="A158" s="2">
        <v>15656</v>
      </c>
      <c r="B158" s="4" t="s">
        <v>671</v>
      </c>
      <c r="C158" s="41" t="s">
        <v>1345</v>
      </c>
      <c r="D158" s="42">
        <v>55</v>
      </c>
      <c r="E158" s="43">
        <v>35</v>
      </c>
      <c r="F158" s="50" t="str">
        <f>VLOOKUP(tabPontoPed[[#This Row],[GRUPO]],tabGrupos[#Data],2,FALSE)</f>
        <v>EQUIP. MAT. P/ GERACAO, TRANSM. DISTR. RETIF...</v>
      </c>
      <c r="G158" s="42" t="str">
        <f>VLOOKUP(tabPontoPed[[#This Row],[GRUPO]],tabGrupos[#Data],3,FALSE)</f>
        <v>MEL</v>
      </c>
      <c r="H158" s="41" t="s">
        <v>1339</v>
      </c>
      <c r="I158" s="9">
        <v>4</v>
      </c>
      <c r="J158" s="51">
        <v>0</v>
      </c>
      <c r="K158" s="7">
        <f>tabPontoPed[[#This Row],[QTDMÊS]] * tabPontoPed[[#This Row],[MENSAL]]</f>
        <v>0</v>
      </c>
      <c r="L158" s="13" t="s">
        <v>1012</v>
      </c>
      <c r="M158" s="44"/>
      <c r="N158" s="45" t="str">
        <f>_xlfn.IFNA(IF(VLOOKUP(tabPontoPed[[#This Row],[CÓDIGO]],Excluir_do_Estoque!$A$4:$A$4004,1,FALSE),"sim",""),"")</f>
        <v/>
      </c>
      <c r="O158" s="10" t="str">
        <f t="shared" si="2"/>
        <v>*</v>
      </c>
    </row>
    <row r="159" spans="1:15" x14ac:dyDescent="0.25">
      <c r="A159" s="2">
        <v>15664</v>
      </c>
      <c r="B159" s="4" t="s">
        <v>30</v>
      </c>
      <c r="C159" s="41" t="s">
        <v>1345</v>
      </c>
      <c r="D159" s="42">
        <v>55</v>
      </c>
      <c r="E159" s="43">
        <v>35</v>
      </c>
      <c r="F159" s="50" t="str">
        <f>VLOOKUP(tabPontoPed[[#This Row],[GRUPO]],tabGrupos[#Data],2,FALSE)</f>
        <v>EQUIP. MAT. P/ GERACAO, TRANSM. DISTR. RETIF...</v>
      </c>
      <c r="G159" s="42" t="str">
        <f>VLOOKUP(tabPontoPed[[#This Row],[GRUPO]],tabGrupos[#Data],3,FALSE)</f>
        <v>MEL</v>
      </c>
      <c r="H159" s="41" t="s">
        <v>1339</v>
      </c>
      <c r="I159" s="9">
        <v>4</v>
      </c>
      <c r="J159" s="51">
        <v>2</v>
      </c>
      <c r="K159" s="7">
        <f>tabPontoPed[[#This Row],[QTDMÊS]] * tabPontoPed[[#This Row],[MENSAL]]</f>
        <v>8</v>
      </c>
      <c r="L159" s="13" t="s">
        <v>1012</v>
      </c>
      <c r="M159" s="44"/>
      <c r="N159" s="45" t="str">
        <f>_xlfn.IFNA(IF(VLOOKUP(tabPontoPed[[#This Row],[CÓDIGO]],Excluir_do_Estoque!$A$4:$A$4004,1,FALSE),"sim",""),"")</f>
        <v/>
      </c>
      <c r="O159" s="10" t="str">
        <f t="shared" si="2"/>
        <v>*</v>
      </c>
    </row>
    <row r="160" spans="1:15" x14ac:dyDescent="0.25">
      <c r="A160" s="2">
        <v>15668</v>
      </c>
      <c r="B160" s="4" t="s">
        <v>31</v>
      </c>
      <c r="C160" s="41" t="s">
        <v>1345</v>
      </c>
      <c r="D160" s="42">
        <v>55</v>
      </c>
      <c r="E160" s="43">
        <v>35</v>
      </c>
      <c r="F160" s="50" t="str">
        <f>VLOOKUP(tabPontoPed[[#This Row],[GRUPO]],tabGrupos[#Data],2,FALSE)</f>
        <v>EQUIP. MAT. P/ GERACAO, TRANSM. DISTR. RETIF...</v>
      </c>
      <c r="G160" s="42" t="str">
        <f>VLOOKUP(tabPontoPed[[#This Row],[GRUPO]],tabGrupos[#Data],3,FALSE)</f>
        <v>MEL</v>
      </c>
      <c r="H160" s="41" t="s">
        <v>1339</v>
      </c>
      <c r="I160" s="9">
        <v>4</v>
      </c>
      <c r="J160" s="51">
        <v>0</v>
      </c>
      <c r="K160" s="7">
        <f>tabPontoPed[[#This Row],[QTDMÊS]] * tabPontoPed[[#This Row],[MENSAL]]</f>
        <v>0</v>
      </c>
      <c r="L160" s="13" t="s">
        <v>1012</v>
      </c>
      <c r="M160" s="44"/>
      <c r="N160" s="45" t="str">
        <f>_xlfn.IFNA(IF(VLOOKUP(tabPontoPed[[#This Row],[CÓDIGO]],Excluir_do_Estoque!$A$4:$A$4004,1,FALSE),"sim",""),"")</f>
        <v/>
      </c>
      <c r="O160" s="10" t="str">
        <f t="shared" si="2"/>
        <v>*</v>
      </c>
    </row>
    <row r="161" spans="1:15" x14ac:dyDescent="0.25">
      <c r="A161" s="2">
        <v>15672</v>
      </c>
      <c r="B161" s="4" t="s">
        <v>32</v>
      </c>
      <c r="C161" s="41" t="s">
        <v>1345</v>
      </c>
      <c r="D161" s="42">
        <v>55</v>
      </c>
      <c r="E161" s="43">
        <v>35</v>
      </c>
      <c r="F161" s="50" t="str">
        <f>VLOOKUP(tabPontoPed[[#This Row],[GRUPO]],tabGrupos[#Data],2,FALSE)</f>
        <v>EQUIP. MAT. P/ GERACAO, TRANSM. DISTR. RETIF...</v>
      </c>
      <c r="G161" s="42" t="str">
        <f>VLOOKUP(tabPontoPed[[#This Row],[GRUPO]],tabGrupos[#Data],3,FALSE)</f>
        <v>MEL</v>
      </c>
      <c r="H161" s="41" t="s">
        <v>1339</v>
      </c>
      <c r="I161" s="9">
        <v>4</v>
      </c>
      <c r="J161" s="51">
        <v>0</v>
      </c>
      <c r="K161" s="7">
        <f>tabPontoPed[[#This Row],[QTDMÊS]] * tabPontoPed[[#This Row],[MENSAL]]</f>
        <v>0</v>
      </c>
      <c r="L161" s="13" t="s">
        <v>1012</v>
      </c>
      <c r="M161" s="44"/>
      <c r="N161" s="45" t="str">
        <f>_xlfn.IFNA(IF(VLOOKUP(tabPontoPed[[#This Row],[CÓDIGO]],Excluir_do_Estoque!$A$4:$A$4004,1,FALSE),"sim",""),"")</f>
        <v/>
      </c>
      <c r="O161" s="10" t="str">
        <f t="shared" si="2"/>
        <v>*</v>
      </c>
    </row>
    <row r="162" spans="1:15" x14ac:dyDescent="0.25">
      <c r="A162" s="2">
        <v>15673</v>
      </c>
      <c r="B162" s="4" t="s">
        <v>33</v>
      </c>
      <c r="C162" s="41" t="s">
        <v>1345</v>
      </c>
      <c r="D162" s="42">
        <v>55</v>
      </c>
      <c r="E162" s="43">
        <v>35</v>
      </c>
      <c r="F162" s="50" t="str">
        <f>VLOOKUP(tabPontoPed[[#This Row],[GRUPO]],tabGrupos[#Data],2,FALSE)</f>
        <v>EQUIP. MAT. P/ GERACAO, TRANSM. DISTR. RETIF...</v>
      </c>
      <c r="G162" s="42" t="str">
        <f>VLOOKUP(tabPontoPed[[#This Row],[GRUPO]],tabGrupos[#Data],3,FALSE)</f>
        <v>MEL</v>
      </c>
      <c r="H162" s="41" t="s">
        <v>1339</v>
      </c>
      <c r="I162" s="9">
        <v>4</v>
      </c>
      <c r="J162" s="51">
        <v>1</v>
      </c>
      <c r="K162" s="7">
        <f>tabPontoPed[[#This Row],[QTDMÊS]] * tabPontoPed[[#This Row],[MENSAL]]</f>
        <v>4</v>
      </c>
      <c r="L162" s="13" t="s">
        <v>1012</v>
      </c>
      <c r="M162" s="44"/>
      <c r="N162" s="45" t="str">
        <f>_xlfn.IFNA(IF(VLOOKUP(tabPontoPed[[#This Row],[CÓDIGO]],Excluir_do_Estoque!$A$4:$A$4004,1,FALSE),"sim",""),"")</f>
        <v/>
      </c>
      <c r="O162" s="10" t="str">
        <f t="shared" si="2"/>
        <v>*</v>
      </c>
    </row>
    <row r="163" spans="1:15" x14ac:dyDescent="0.25">
      <c r="A163" s="2">
        <v>15680</v>
      </c>
      <c r="B163" s="4" t="s">
        <v>34</v>
      </c>
      <c r="C163" s="41" t="s">
        <v>1345</v>
      </c>
      <c r="D163" s="42">
        <v>55</v>
      </c>
      <c r="E163" s="43">
        <v>35</v>
      </c>
      <c r="F163" s="50" t="str">
        <f>VLOOKUP(tabPontoPed[[#This Row],[GRUPO]],tabGrupos[#Data],2,FALSE)</f>
        <v>EQUIP. MAT. P/ GERACAO, TRANSM. DISTR. RETIF...</v>
      </c>
      <c r="G163" s="42" t="str">
        <f>VLOOKUP(tabPontoPed[[#This Row],[GRUPO]],tabGrupos[#Data],3,FALSE)</f>
        <v>MEL</v>
      </c>
      <c r="H163" s="41" t="s">
        <v>1339</v>
      </c>
      <c r="I163" s="9">
        <v>4</v>
      </c>
      <c r="J163" s="51">
        <v>0</v>
      </c>
      <c r="K163" s="7">
        <f>tabPontoPed[[#This Row],[QTDMÊS]] * tabPontoPed[[#This Row],[MENSAL]]</f>
        <v>0</v>
      </c>
      <c r="L163" s="13" t="s">
        <v>1012</v>
      </c>
      <c r="M163" s="44"/>
      <c r="N163" s="45" t="str">
        <f>_xlfn.IFNA(IF(VLOOKUP(tabPontoPed[[#This Row],[CÓDIGO]],Excluir_do_Estoque!$A$4:$A$4004,1,FALSE),"sim",""),"")</f>
        <v/>
      </c>
      <c r="O163" s="10" t="str">
        <f t="shared" si="2"/>
        <v>*</v>
      </c>
    </row>
    <row r="164" spans="1:15" x14ac:dyDescent="0.25">
      <c r="A164" s="2">
        <v>15761</v>
      </c>
      <c r="B164" s="4" t="s">
        <v>287</v>
      </c>
      <c r="C164" s="41" t="s">
        <v>1345</v>
      </c>
      <c r="D164" s="42">
        <v>61</v>
      </c>
      <c r="E164" s="43">
        <v>8</v>
      </c>
      <c r="F164" s="50" t="str">
        <f>VLOOKUP(tabPontoPed[[#This Row],[GRUPO]],tabGrupos[#Data],2,FALSE)</f>
        <v>MATERIAL HIDRAULICO, CANOS, TUBOS, MANGUEIRAS, CONEXOES E ACESS.</v>
      </c>
      <c r="G164" s="42" t="str">
        <f>VLOOKUP(tabPontoPed[[#This Row],[GRUPO]],tabGrupos[#Data],3,FALSE)</f>
        <v>MHI</v>
      </c>
      <c r="H164" s="41" t="s">
        <v>1339</v>
      </c>
      <c r="I164" s="9">
        <v>4</v>
      </c>
      <c r="J164" s="51">
        <v>9</v>
      </c>
      <c r="K164" s="7">
        <f>tabPontoPed[[#This Row],[QTDMÊS]] * tabPontoPed[[#This Row],[MENSAL]]</f>
        <v>36</v>
      </c>
      <c r="L164" s="13" t="s">
        <v>1012</v>
      </c>
      <c r="M164" s="44"/>
      <c r="N164" s="45" t="str">
        <f>_xlfn.IFNA(IF(VLOOKUP(tabPontoPed[[#This Row],[CÓDIGO]],Excluir_do_Estoque!$A$4:$A$4004,1,FALSE),"sim",""),"")</f>
        <v/>
      </c>
      <c r="O164" s="10" t="str">
        <f t="shared" si="2"/>
        <v>*</v>
      </c>
    </row>
    <row r="165" spans="1:15" x14ac:dyDescent="0.25">
      <c r="A165" s="2">
        <v>15813</v>
      </c>
      <c r="B165" s="4" t="s">
        <v>502</v>
      </c>
      <c r="C165" s="41" t="s">
        <v>1345</v>
      </c>
      <c r="D165" s="42">
        <v>51</v>
      </c>
      <c r="E165" s="43">
        <v>6</v>
      </c>
      <c r="F165" s="50" t="str">
        <f>VLOOKUP(tabPontoPed[[#This Row],[GRUPO]],tabGrupos[#Data],2,FALSE)</f>
        <v>MAT.E EQUIP. P/ CONSTR.CIVIL E CONSERV. DE VIAS PUBL.</v>
      </c>
      <c r="G165" s="42" t="str">
        <f>VLOOKUP(tabPontoPed[[#This Row],[GRUPO]],tabGrupos[#Data],3,FALSE)</f>
        <v>MCO</v>
      </c>
      <c r="H165" s="41" t="s">
        <v>1339</v>
      </c>
      <c r="I165" s="9">
        <v>4</v>
      </c>
      <c r="J165" s="51">
        <v>448</v>
      </c>
      <c r="K165" s="7">
        <f>tabPontoPed[[#This Row],[QTDMÊS]] * tabPontoPed[[#This Row],[MENSAL]]</f>
        <v>1792</v>
      </c>
      <c r="L165" s="13" t="s">
        <v>1012</v>
      </c>
      <c r="M165" s="44"/>
      <c r="N165" s="45" t="str">
        <f>_xlfn.IFNA(IF(VLOOKUP(tabPontoPed[[#This Row],[CÓDIGO]],Excluir_do_Estoque!$A$4:$A$4004,1,FALSE),"sim",""),"")</f>
        <v/>
      </c>
      <c r="O165" s="10" t="str">
        <f t="shared" si="2"/>
        <v>*</v>
      </c>
    </row>
    <row r="166" spans="1:15" x14ac:dyDescent="0.25">
      <c r="A166" s="2">
        <v>16053</v>
      </c>
      <c r="B166" s="4" t="s">
        <v>551</v>
      </c>
      <c r="C166" s="41" t="s">
        <v>1345</v>
      </c>
      <c r="D166" s="42">
        <v>51</v>
      </c>
      <c r="E166" s="43">
        <v>33</v>
      </c>
      <c r="F166" s="50" t="str">
        <f>VLOOKUP(tabPontoPed[[#This Row],[GRUPO]],tabGrupos[#Data],2,FALSE)</f>
        <v>MAT.E EQUIP. P/ CONSTR.CIVIL E CONSERV. DE VIAS PUBL.</v>
      </c>
      <c r="G166" s="42" t="str">
        <f>VLOOKUP(tabPontoPed[[#This Row],[GRUPO]],tabGrupos[#Data],3,FALSE)</f>
        <v>MCO</v>
      </c>
      <c r="H166" s="41" t="s">
        <v>1339</v>
      </c>
      <c r="I166" s="9">
        <v>4</v>
      </c>
      <c r="J166" s="51">
        <v>7</v>
      </c>
      <c r="K166" s="7">
        <f>tabPontoPed[[#This Row],[QTDMÊS]] * tabPontoPed[[#This Row],[MENSAL]]</f>
        <v>28</v>
      </c>
      <c r="L166" s="13" t="s">
        <v>1012</v>
      </c>
      <c r="M166" s="44"/>
      <c r="N166" s="45" t="str">
        <f>_xlfn.IFNA(IF(VLOOKUP(tabPontoPed[[#This Row],[CÓDIGO]],Excluir_do_Estoque!$A$4:$A$4004,1,FALSE),"sim",""),"")</f>
        <v/>
      </c>
      <c r="O166" s="10" t="str">
        <f t="shared" si="2"/>
        <v>*</v>
      </c>
    </row>
    <row r="167" spans="1:15" x14ac:dyDescent="0.25">
      <c r="A167" s="2">
        <v>16363</v>
      </c>
      <c r="B167" s="4" t="s">
        <v>226</v>
      </c>
      <c r="C167" s="41" t="s">
        <v>1345</v>
      </c>
      <c r="D167" s="42">
        <v>74</v>
      </c>
      <c r="E167" s="43">
        <v>8</v>
      </c>
      <c r="F167" s="50" t="str">
        <f>VLOOKUP(tabPontoPed[[#This Row],[GRUPO]],tabGrupos[#Data],2,FALSE)</f>
        <v>MADEIRAS,LAMINADOS,COMPENSADOS E AGLOMERADOS</v>
      </c>
      <c r="G167" s="42" t="str">
        <f>VLOOKUP(tabPontoPed[[#This Row],[GRUPO]],tabGrupos[#Data],3,FALSE)</f>
        <v>MCO</v>
      </c>
      <c r="H167" s="41" t="s">
        <v>1339</v>
      </c>
      <c r="I167" s="9">
        <v>4</v>
      </c>
      <c r="J167" s="51">
        <v>16</v>
      </c>
      <c r="K167" s="7">
        <f>tabPontoPed[[#This Row],[QTDMÊS]] * tabPontoPed[[#This Row],[MENSAL]]</f>
        <v>64</v>
      </c>
      <c r="L167" s="13" t="s">
        <v>1012</v>
      </c>
      <c r="M167" s="44"/>
      <c r="N167" s="45" t="str">
        <f>_xlfn.IFNA(IF(VLOOKUP(tabPontoPed[[#This Row],[CÓDIGO]],Excluir_do_Estoque!$A$4:$A$4004,1,FALSE),"sim",""),"")</f>
        <v/>
      </c>
      <c r="O167" s="10" t="str">
        <f t="shared" si="2"/>
        <v>*</v>
      </c>
    </row>
    <row r="168" spans="1:15" x14ac:dyDescent="0.25">
      <c r="A168" s="2">
        <v>16365</v>
      </c>
      <c r="B168" s="4" t="s">
        <v>227</v>
      </c>
      <c r="C168" s="41" t="s">
        <v>1345</v>
      </c>
      <c r="D168" s="42">
        <v>74</v>
      </c>
      <c r="E168" s="43">
        <v>8</v>
      </c>
      <c r="F168" s="50" t="str">
        <f>VLOOKUP(tabPontoPed[[#This Row],[GRUPO]],tabGrupos[#Data],2,FALSE)</f>
        <v>MADEIRAS,LAMINADOS,COMPENSADOS E AGLOMERADOS</v>
      </c>
      <c r="G168" s="42" t="str">
        <f>VLOOKUP(tabPontoPed[[#This Row],[GRUPO]],tabGrupos[#Data],3,FALSE)</f>
        <v>MCO</v>
      </c>
      <c r="H168" s="41" t="s">
        <v>1339</v>
      </c>
      <c r="I168" s="9">
        <v>4</v>
      </c>
      <c r="J168" s="51">
        <v>11</v>
      </c>
      <c r="K168" s="7">
        <f>tabPontoPed[[#This Row],[QTDMÊS]] * tabPontoPed[[#This Row],[MENSAL]]</f>
        <v>44</v>
      </c>
      <c r="L168" s="13" t="s">
        <v>1012</v>
      </c>
      <c r="M168" s="44"/>
      <c r="N168" s="45" t="str">
        <f>_xlfn.IFNA(IF(VLOOKUP(tabPontoPed[[#This Row],[CÓDIGO]],Excluir_do_Estoque!$A$4:$A$4004,1,FALSE),"sim",""),"")</f>
        <v/>
      </c>
      <c r="O168" s="10" t="str">
        <f t="shared" si="2"/>
        <v>*</v>
      </c>
    </row>
    <row r="169" spans="1:15" x14ac:dyDescent="0.25">
      <c r="A169" s="2">
        <v>16512</v>
      </c>
      <c r="B169" s="4" t="s">
        <v>480</v>
      </c>
      <c r="C169" s="41" t="s">
        <v>1345</v>
      </c>
      <c r="D169" s="42">
        <v>45</v>
      </c>
      <c r="E169" s="43">
        <v>17</v>
      </c>
      <c r="F169" s="50" t="str">
        <f>VLOOKUP(tabPontoPed[[#This Row],[GRUPO]],tabGrupos[#Data],2,FALSE)</f>
        <v>MAQ., EQUIP., COMP., ACES., MAT. PARA ESCRIT.E ESCOLAR</v>
      </c>
      <c r="G169" s="42" t="str">
        <f>VLOOKUP(tabPontoPed[[#This Row],[GRUPO]],tabGrupos[#Data],3,FALSE)</f>
        <v>EDU</v>
      </c>
      <c r="H169" s="41" t="s">
        <v>1339</v>
      </c>
      <c r="I169" s="9">
        <v>4</v>
      </c>
      <c r="J169" s="51">
        <v>82</v>
      </c>
      <c r="K169" s="7">
        <f>tabPontoPed[[#This Row],[QTDMÊS]] * tabPontoPed[[#This Row],[MENSAL]]</f>
        <v>328</v>
      </c>
      <c r="L169" s="13" t="s">
        <v>1012</v>
      </c>
      <c r="M169" s="44"/>
      <c r="N169" s="45" t="str">
        <f>_xlfn.IFNA(IF(VLOOKUP(tabPontoPed[[#This Row],[CÓDIGO]],Excluir_do_Estoque!$A$4:$A$4004,1,FALSE),"sim",""),"")</f>
        <v/>
      </c>
      <c r="O169" s="10" t="str">
        <f t="shared" si="2"/>
        <v>*</v>
      </c>
    </row>
    <row r="170" spans="1:15" x14ac:dyDescent="0.25">
      <c r="A170" s="2">
        <v>16528</v>
      </c>
      <c r="B170" s="4" t="s">
        <v>401</v>
      </c>
      <c r="C170" s="41" t="s">
        <v>1345</v>
      </c>
      <c r="D170" s="42">
        <v>73</v>
      </c>
      <c r="E170" s="43">
        <v>4</v>
      </c>
      <c r="F170" s="50" t="str">
        <f>VLOOKUP(tabPontoPed[[#This Row],[GRUPO]],tabGrupos[#Data],2,FALSE)</f>
        <v>EMBALAG., RECIP., ACESSOR., EQUIP., MATER. P/ACONDICIO</v>
      </c>
      <c r="G170" s="42" t="str">
        <f>VLOOKUP(tabPontoPed[[#This Row],[GRUPO]],tabGrupos[#Data],3,FALSE)</f>
        <v>EDU</v>
      </c>
      <c r="H170" s="41" t="s">
        <v>1339</v>
      </c>
      <c r="I170" s="9">
        <v>4</v>
      </c>
      <c r="J170" s="51">
        <v>75</v>
      </c>
      <c r="K170" s="7">
        <f>tabPontoPed[[#This Row],[QTDMÊS]] * tabPontoPed[[#This Row],[MENSAL]]</f>
        <v>300</v>
      </c>
      <c r="L170" s="13" t="s">
        <v>1012</v>
      </c>
      <c r="M170" s="44"/>
      <c r="N170" s="45" t="str">
        <f>_xlfn.IFNA(IF(VLOOKUP(tabPontoPed[[#This Row],[CÓDIGO]],Excluir_do_Estoque!$A$4:$A$4004,1,FALSE),"sim",""),"")</f>
        <v/>
      </c>
      <c r="O170" s="10" t="str">
        <f t="shared" si="2"/>
        <v>*</v>
      </c>
    </row>
    <row r="171" spans="1:15" x14ac:dyDescent="0.25">
      <c r="A171" s="2">
        <v>16571</v>
      </c>
      <c r="B171" s="4" t="s">
        <v>334</v>
      </c>
      <c r="C171" s="41" t="s">
        <v>1345</v>
      </c>
      <c r="D171" s="42">
        <v>48</v>
      </c>
      <c r="E171" s="43">
        <v>24</v>
      </c>
      <c r="F171" s="50" t="str">
        <f>VLOOKUP(tabPontoPed[[#This Row],[GRUPO]],tabGrupos[#Data],2,FALSE)</f>
        <v>MAQ.EQUIP.E MAT.P/ CULTURA ANIMAL E VEGETAL</v>
      </c>
      <c r="G171" s="42" t="str">
        <f>VLOOKUP(tabPontoPed[[#This Row],[GRUPO]],tabGrupos[#Data],3,FALSE)</f>
        <v>MAN</v>
      </c>
      <c r="H171" s="41" t="s">
        <v>1339</v>
      </c>
      <c r="I171" s="9">
        <v>4</v>
      </c>
      <c r="J171" s="51">
        <v>165</v>
      </c>
      <c r="K171" s="7">
        <f>tabPontoPed[[#This Row],[QTDMÊS]] * tabPontoPed[[#This Row],[MENSAL]]</f>
        <v>660</v>
      </c>
      <c r="L171" s="13" t="s">
        <v>1012</v>
      </c>
      <c r="M171" s="44"/>
      <c r="N171" s="45" t="str">
        <f>_xlfn.IFNA(IF(VLOOKUP(tabPontoPed[[#This Row],[CÓDIGO]],Excluir_do_Estoque!$A$4:$A$4004,1,FALSE),"sim",""),"")</f>
        <v/>
      </c>
      <c r="O171" s="10" t="str">
        <f t="shared" si="2"/>
        <v>*</v>
      </c>
    </row>
    <row r="172" spans="1:15" x14ac:dyDescent="0.25">
      <c r="A172" s="2">
        <v>16956</v>
      </c>
      <c r="B172" s="4" t="s">
        <v>747</v>
      </c>
      <c r="C172" s="41" t="s">
        <v>1345</v>
      </c>
      <c r="D172" s="42">
        <v>61</v>
      </c>
      <c r="E172" s="43">
        <v>8</v>
      </c>
      <c r="F172" s="50" t="str">
        <f>VLOOKUP(tabPontoPed[[#This Row],[GRUPO]],tabGrupos[#Data],2,FALSE)</f>
        <v>MATERIAL HIDRAULICO, CANOS, TUBOS, MANGUEIRAS, CONEXOES E ACESS.</v>
      </c>
      <c r="G172" s="42" t="str">
        <f>VLOOKUP(tabPontoPed[[#This Row],[GRUPO]],tabGrupos[#Data],3,FALSE)</f>
        <v>MHI</v>
      </c>
      <c r="H172" s="41" t="s">
        <v>1339</v>
      </c>
      <c r="I172" s="9">
        <v>4</v>
      </c>
      <c r="J172" s="51">
        <v>10</v>
      </c>
      <c r="K172" s="7">
        <f>tabPontoPed[[#This Row],[QTDMÊS]] * tabPontoPed[[#This Row],[MENSAL]]</f>
        <v>40</v>
      </c>
      <c r="L172" s="13" t="s">
        <v>1012</v>
      </c>
      <c r="M172" s="44"/>
      <c r="N172" s="45" t="str">
        <f>_xlfn.IFNA(IF(VLOOKUP(tabPontoPed[[#This Row],[CÓDIGO]],Excluir_do_Estoque!$A$4:$A$4004,1,FALSE),"sim",""),"")</f>
        <v/>
      </c>
      <c r="O172" s="10" t="str">
        <f t="shared" si="2"/>
        <v>*</v>
      </c>
    </row>
    <row r="173" spans="1:15" x14ac:dyDescent="0.25">
      <c r="A173" s="2">
        <v>16978</v>
      </c>
      <c r="B173" s="4" t="s">
        <v>748</v>
      </c>
      <c r="C173" s="41" t="s">
        <v>1345</v>
      </c>
      <c r="D173" s="42">
        <v>61</v>
      </c>
      <c r="E173" s="43">
        <v>8</v>
      </c>
      <c r="F173" s="50" t="str">
        <f>VLOOKUP(tabPontoPed[[#This Row],[GRUPO]],tabGrupos[#Data],2,FALSE)</f>
        <v>MATERIAL HIDRAULICO, CANOS, TUBOS, MANGUEIRAS, CONEXOES E ACESS.</v>
      </c>
      <c r="G173" s="42" t="str">
        <f>VLOOKUP(tabPontoPed[[#This Row],[GRUPO]],tabGrupos[#Data],3,FALSE)</f>
        <v>MHI</v>
      </c>
      <c r="H173" s="41" t="s">
        <v>1339</v>
      </c>
      <c r="I173" s="9">
        <v>4</v>
      </c>
      <c r="J173" s="51">
        <v>8</v>
      </c>
      <c r="K173" s="7">
        <f>tabPontoPed[[#This Row],[QTDMÊS]] * tabPontoPed[[#This Row],[MENSAL]]</f>
        <v>32</v>
      </c>
      <c r="L173" s="13" t="s">
        <v>1012</v>
      </c>
      <c r="M173" s="44"/>
      <c r="N173" s="45" t="str">
        <f>_xlfn.IFNA(IF(VLOOKUP(tabPontoPed[[#This Row],[CÓDIGO]],Excluir_do_Estoque!$A$4:$A$4004,1,FALSE),"sim",""),"")</f>
        <v/>
      </c>
      <c r="O173" s="10" t="str">
        <f t="shared" si="2"/>
        <v>*</v>
      </c>
    </row>
    <row r="174" spans="1:15" x14ac:dyDescent="0.25">
      <c r="A174" s="2">
        <v>17115</v>
      </c>
      <c r="B174" s="4" t="s">
        <v>214</v>
      </c>
      <c r="C174" s="41" t="s">
        <v>1345</v>
      </c>
      <c r="D174" s="42">
        <v>79</v>
      </c>
      <c r="E174" s="43">
        <v>1</v>
      </c>
      <c r="F174" s="50" t="str">
        <f>VLOOKUP(tabPontoPed[[#This Row],[GRUPO]],tabGrupos[#Data],2,FALSE)</f>
        <v>ART. DOMEST. DECO. GUARNI. DE AMBI.TECI. VEICULOS</v>
      </c>
      <c r="G174" s="42" t="str">
        <f>VLOOKUP(tabPontoPed[[#This Row],[GRUPO]],tabGrupos[#Data],3,FALSE)</f>
        <v>ADM</v>
      </c>
      <c r="H174" s="41" t="s">
        <v>1339</v>
      </c>
      <c r="I174" s="9">
        <v>4</v>
      </c>
      <c r="J174" s="51">
        <v>663</v>
      </c>
      <c r="K174" s="7">
        <f>tabPontoPed[[#This Row],[QTDMÊS]] * tabPontoPed[[#This Row],[MENSAL]]</f>
        <v>2652</v>
      </c>
      <c r="L174" s="13" t="s">
        <v>1012</v>
      </c>
      <c r="M174" s="44"/>
      <c r="N174" s="45" t="str">
        <f>_xlfn.IFNA(IF(VLOOKUP(tabPontoPed[[#This Row],[CÓDIGO]],Excluir_do_Estoque!$A$4:$A$4004,1,FALSE),"sim",""),"")</f>
        <v/>
      </c>
      <c r="O174" s="10" t="str">
        <f t="shared" si="2"/>
        <v>*</v>
      </c>
    </row>
    <row r="175" spans="1:15" x14ac:dyDescent="0.25">
      <c r="A175" s="2">
        <v>17132</v>
      </c>
      <c r="B175" s="4" t="s">
        <v>40</v>
      </c>
      <c r="C175" s="41" t="s">
        <v>1345</v>
      </c>
      <c r="D175" s="42">
        <v>45</v>
      </c>
      <c r="E175" s="43">
        <v>12</v>
      </c>
      <c r="F175" s="50" t="str">
        <f>VLOOKUP(tabPontoPed[[#This Row],[GRUPO]],tabGrupos[#Data],2,FALSE)</f>
        <v>MAQ., EQUIP., COMP., ACES., MAT. PARA ESCRIT.E ESCOLAR</v>
      </c>
      <c r="G175" s="42" t="str">
        <f>VLOOKUP(tabPontoPed[[#This Row],[GRUPO]],tabGrupos[#Data],3,FALSE)</f>
        <v>EDU</v>
      </c>
      <c r="H175" s="41" t="s">
        <v>1339</v>
      </c>
      <c r="I175" s="9">
        <v>4</v>
      </c>
      <c r="J175" s="51">
        <v>46</v>
      </c>
      <c r="K175" s="7">
        <f>tabPontoPed[[#This Row],[QTDMÊS]] * tabPontoPed[[#This Row],[MENSAL]]</f>
        <v>184</v>
      </c>
      <c r="L175" s="13" t="s">
        <v>1012</v>
      </c>
      <c r="M175" s="44"/>
      <c r="N175" s="45" t="str">
        <f>_xlfn.IFNA(IF(VLOOKUP(tabPontoPed[[#This Row],[CÓDIGO]],Excluir_do_Estoque!$A$4:$A$4004,1,FALSE),"sim",""),"")</f>
        <v/>
      </c>
      <c r="O175" s="10" t="str">
        <f t="shared" si="2"/>
        <v>*</v>
      </c>
    </row>
    <row r="176" spans="1:15" x14ac:dyDescent="0.25">
      <c r="A176" s="2">
        <v>17135</v>
      </c>
      <c r="B176" s="4" t="s">
        <v>462</v>
      </c>
      <c r="C176" s="41" t="s">
        <v>1345</v>
      </c>
      <c r="D176" s="42">
        <v>45</v>
      </c>
      <c r="E176" s="43">
        <v>12</v>
      </c>
      <c r="F176" s="50" t="str">
        <f>VLOOKUP(tabPontoPed[[#This Row],[GRUPO]],tabGrupos[#Data],2,FALSE)</f>
        <v>MAQ., EQUIP., COMP., ACES., MAT. PARA ESCRIT.E ESCOLAR</v>
      </c>
      <c r="G176" s="42" t="str">
        <f>VLOOKUP(tabPontoPed[[#This Row],[GRUPO]],tabGrupos[#Data],3,FALSE)</f>
        <v>EDU</v>
      </c>
      <c r="H176" s="41" t="s">
        <v>1339</v>
      </c>
      <c r="I176" s="9">
        <v>4</v>
      </c>
      <c r="J176" s="51">
        <v>156</v>
      </c>
      <c r="K176" s="7">
        <f>tabPontoPed[[#This Row],[QTDMÊS]] * tabPontoPed[[#This Row],[MENSAL]]</f>
        <v>624</v>
      </c>
      <c r="L176" s="13" t="s">
        <v>1012</v>
      </c>
      <c r="M176" s="44"/>
      <c r="N176" s="45" t="str">
        <f>_xlfn.IFNA(IF(VLOOKUP(tabPontoPed[[#This Row],[CÓDIGO]],Excluir_do_Estoque!$A$4:$A$4004,1,FALSE),"sim",""),"")</f>
        <v/>
      </c>
      <c r="O176" s="10" t="str">
        <f t="shared" si="2"/>
        <v>*</v>
      </c>
    </row>
    <row r="177" spans="1:15" x14ac:dyDescent="0.25">
      <c r="A177" s="2">
        <v>17136</v>
      </c>
      <c r="B177" s="4" t="s">
        <v>42</v>
      </c>
      <c r="C177" s="41" t="s">
        <v>1345</v>
      </c>
      <c r="D177" s="42">
        <v>45</v>
      </c>
      <c r="E177" s="43">
        <v>12</v>
      </c>
      <c r="F177" s="50" t="str">
        <f>VLOOKUP(tabPontoPed[[#This Row],[GRUPO]],tabGrupos[#Data],2,FALSE)</f>
        <v>MAQ., EQUIP., COMP., ACES., MAT. PARA ESCRIT.E ESCOLAR</v>
      </c>
      <c r="G177" s="42" t="str">
        <f>VLOOKUP(tabPontoPed[[#This Row],[GRUPO]],tabGrupos[#Data],3,FALSE)</f>
        <v>EDU</v>
      </c>
      <c r="H177" s="41" t="s">
        <v>1339</v>
      </c>
      <c r="I177" s="9">
        <v>4</v>
      </c>
      <c r="J177" s="51">
        <v>102</v>
      </c>
      <c r="K177" s="7">
        <f>tabPontoPed[[#This Row],[QTDMÊS]] * tabPontoPed[[#This Row],[MENSAL]]</f>
        <v>408</v>
      </c>
      <c r="L177" s="13" t="s">
        <v>1012</v>
      </c>
      <c r="M177" s="44"/>
      <c r="N177" s="45" t="str">
        <f>_xlfn.IFNA(IF(VLOOKUP(tabPontoPed[[#This Row],[CÓDIGO]],Excluir_do_Estoque!$A$4:$A$4004,1,FALSE),"sim",""),"")</f>
        <v/>
      </c>
      <c r="O177" s="10" t="str">
        <f t="shared" si="2"/>
        <v>*</v>
      </c>
    </row>
    <row r="178" spans="1:15" x14ac:dyDescent="0.25">
      <c r="A178" s="2">
        <v>17299</v>
      </c>
      <c r="B178" s="4" t="s">
        <v>99</v>
      </c>
      <c r="C178" s="41" t="s">
        <v>1345</v>
      </c>
      <c r="D178" s="42">
        <v>57</v>
      </c>
      <c r="E178" s="43">
        <v>18</v>
      </c>
      <c r="F178" s="50" t="str">
        <f>VLOOKUP(tabPontoPed[[#This Row],[GRUPO]],tabGrupos[#Data],2,FALSE)</f>
        <v>MAQ. E EQUIP. P/ IND. GRAFICA COMP. ACESS. E PAPEI</v>
      </c>
      <c r="G178" s="42" t="str">
        <f>VLOOKUP(tabPontoPed[[#This Row],[GRUPO]],tabGrupos[#Data],3,FALSE)</f>
        <v>EDU</v>
      </c>
      <c r="H178" s="41" t="s">
        <v>1339</v>
      </c>
      <c r="I178" s="9">
        <v>4</v>
      </c>
      <c r="J178" s="51">
        <v>3</v>
      </c>
      <c r="K178" s="7">
        <f>tabPontoPed[[#This Row],[QTDMÊS]] * tabPontoPed[[#This Row],[MENSAL]]</f>
        <v>12</v>
      </c>
      <c r="L178" s="13" t="s">
        <v>1012</v>
      </c>
      <c r="M178" s="44"/>
      <c r="N178" s="45" t="str">
        <f>_xlfn.IFNA(IF(VLOOKUP(tabPontoPed[[#This Row],[CÓDIGO]],Excluir_do_Estoque!$A$4:$A$4004,1,FALSE),"sim",""),"")</f>
        <v/>
      </c>
      <c r="O178" s="10" t="str">
        <f t="shared" si="2"/>
        <v>*</v>
      </c>
    </row>
    <row r="179" spans="1:15" x14ac:dyDescent="0.25">
      <c r="A179" s="2">
        <v>17362</v>
      </c>
      <c r="B179" s="4" t="s">
        <v>200</v>
      </c>
      <c r="C179" s="41" t="s">
        <v>1345</v>
      </c>
      <c r="D179" s="42">
        <v>57</v>
      </c>
      <c r="E179" s="43">
        <v>15</v>
      </c>
      <c r="F179" s="50" t="str">
        <f>VLOOKUP(tabPontoPed[[#This Row],[GRUPO]],tabGrupos[#Data],2,FALSE)</f>
        <v>MAQ. E EQUIP. P/ IND. GRAFICA COMP. ACESS. E PAPEI</v>
      </c>
      <c r="G179" s="42" t="str">
        <f>VLOOKUP(tabPontoPed[[#This Row],[GRUPO]],tabGrupos[#Data],3,FALSE)</f>
        <v>EDU</v>
      </c>
      <c r="H179" s="41" t="s">
        <v>1339</v>
      </c>
      <c r="I179" s="9">
        <v>4</v>
      </c>
      <c r="J179" s="51">
        <v>717</v>
      </c>
      <c r="K179" s="7">
        <f>tabPontoPed[[#This Row],[QTDMÊS]] * tabPontoPed[[#This Row],[MENSAL]]</f>
        <v>2868</v>
      </c>
      <c r="L179" s="13" t="s">
        <v>1012</v>
      </c>
      <c r="M179" s="44"/>
      <c r="N179" s="45" t="str">
        <f>_xlfn.IFNA(IF(VLOOKUP(tabPontoPed[[#This Row],[CÓDIGO]],Excluir_do_Estoque!$A$4:$A$4004,1,FALSE),"sim",""),"")</f>
        <v/>
      </c>
      <c r="O179" s="10" t="str">
        <f t="shared" si="2"/>
        <v>*</v>
      </c>
    </row>
    <row r="180" spans="1:15" x14ac:dyDescent="0.25">
      <c r="A180" s="2">
        <v>17370</v>
      </c>
      <c r="B180" s="4" t="s">
        <v>201</v>
      </c>
      <c r="C180" s="41" t="s">
        <v>1345</v>
      </c>
      <c r="D180" s="42">
        <v>57</v>
      </c>
      <c r="E180" s="43">
        <v>15</v>
      </c>
      <c r="F180" s="50" t="str">
        <f>VLOOKUP(tabPontoPed[[#This Row],[GRUPO]],tabGrupos[#Data],2,FALSE)</f>
        <v>MAQ. E EQUIP. P/ IND. GRAFICA COMP. ACESS. E PAPEI</v>
      </c>
      <c r="G180" s="42" t="str">
        <f>VLOOKUP(tabPontoPed[[#This Row],[GRUPO]],tabGrupos[#Data],3,FALSE)</f>
        <v>EDU</v>
      </c>
      <c r="H180" s="41" t="s">
        <v>1339</v>
      </c>
      <c r="I180" s="9">
        <v>4</v>
      </c>
      <c r="J180" s="51">
        <v>797</v>
      </c>
      <c r="K180" s="7">
        <f>tabPontoPed[[#This Row],[QTDMÊS]] * tabPontoPed[[#This Row],[MENSAL]]</f>
        <v>3188</v>
      </c>
      <c r="L180" s="13" t="s">
        <v>1012</v>
      </c>
      <c r="M180" s="44"/>
      <c r="N180" s="45" t="str">
        <f>_xlfn.IFNA(IF(VLOOKUP(tabPontoPed[[#This Row],[CÓDIGO]],Excluir_do_Estoque!$A$4:$A$4004,1,FALSE),"sim",""),"")</f>
        <v/>
      </c>
      <c r="O180" s="10" t="str">
        <f t="shared" si="2"/>
        <v>*</v>
      </c>
    </row>
    <row r="181" spans="1:15" x14ac:dyDescent="0.25">
      <c r="A181" s="2">
        <v>17371</v>
      </c>
      <c r="B181" s="4" t="s">
        <v>202</v>
      </c>
      <c r="C181" s="41" t="s">
        <v>1345</v>
      </c>
      <c r="D181" s="42">
        <v>57</v>
      </c>
      <c r="E181" s="43">
        <v>15</v>
      </c>
      <c r="F181" s="50" t="str">
        <f>VLOOKUP(tabPontoPed[[#This Row],[GRUPO]],tabGrupos[#Data],2,FALSE)</f>
        <v>MAQ. E EQUIP. P/ IND. GRAFICA COMP. ACESS. E PAPEI</v>
      </c>
      <c r="G181" s="42" t="str">
        <f>VLOOKUP(tabPontoPed[[#This Row],[GRUPO]],tabGrupos[#Data],3,FALSE)</f>
        <v>EDU</v>
      </c>
      <c r="H181" s="41" t="s">
        <v>1339</v>
      </c>
      <c r="I181" s="9">
        <v>4</v>
      </c>
      <c r="J181" s="51">
        <v>843</v>
      </c>
      <c r="K181" s="7">
        <f>tabPontoPed[[#This Row],[QTDMÊS]] * tabPontoPed[[#This Row],[MENSAL]]</f>
        <v>3372</v>
      </c>
      <c r="L181" s="13" t="s">
        <v>1012</v>
      </c>
      <c r="M181" s="44"/>
      <c r="N181" s="45" t="str">
        <f>_xlfn.IFNA(IF(VLOOKUP(tabPontoPed[[#This Row],[CÓDIGO]],Excluir_do_Estoque!$A$4:$A$4004,1,FALSE),"sim",""),"")</f>
        <v/>
      </c>
      <c r="O181" s="10" t="str">
        <f t="shared" si="2"/>
        <v>*</v>
      </c>
    </row>
    <row r="182" spans="1:15" x14ac:dyDescent="0.25">
      <c r="A182" s="2">
        <v>17422</v>
      </c>
      <c r="B182" s="4" t="s">
        <v>308</v>
      </c>
      <c r="C182" s="41" t="s">
        <v>1345</v>
      </c>
      <c r="D182" s="42">
        <v>61</v>
      </c>
      <c r="E182" s="43">
        <v>11</v>
      </c>
      <c r="F182" s="50" t="str">
        <f>VLOOKUP(tabPontoPed[[#This Row],[GRUPO]],tabGrupos[#Data],2,FALSE)</f>
        <v>MATERIAL HIDRAULICO, CANOS, TUBOS, MANGUEIRAS, CONEXOES E ACESS.</v>
      </c>
      <c r="G182" s="42" t="str">
        <f>VLOOKUP(tabPontoPed[[#This Row],[GRUPO]],tabGrupos[#Data],3,FALSE)</f>
        <v>MHI</v>
      </c>
      <c r="H182" s="41" t="s">
        <v>1339</v>
      </c>
      <c r="I182" s="9">
        <v>4</v>
      </c>
      <c r="J182" s="51">
        <v>2</v>
      </c>
      <c r="K182" s="7">
        <f>tabPontoPed[[#This Row],[QTDMÊS]] * tabPontoPed[[#This Row],[MENSAL]]</f>
        <v>8</v>
      </c>
      <c r="L182" s="13" t="s">
        <v>1012</v>
      </c>
      <c r="M182" s="44"/>
      <c r="N182" s="45" t="str">
        <f>_xlfn.IFNA(IF(VLOOKUP(tabPontoPed[[#This Row],[CÓDIGO]],Excluir_do_Estoque!$A$4:$A$4004,1,FALSE),"sim",""),"")</f>
        <v/>
      </c>
      <c r="O182" s="10" t="str">
        <f t="shared" si="2"/>
        <v>*</v>
      </c>
    </row>
    <row r="183" spans="1:15" x14ac:dyDescent="0.25">
      <c r="A183" s="2">
        <v>17426</v>
      </c>
      <c r="B183" s="4" t="s">
        <v>309</v>
      </c>
      <c r="C183" s="41" t="s">
        <v>1345</v>
      </c>
      <c r="D183" s="42">
        <v>61</v>
      </c>
      <c r="E183" s="43">
        <v>11</v>
      </c>
      <c r="F183" s="50" t="str">
        <f>VLOOKUP(tabPontoPed[[#This Row],[GRUPO]],tabGrupos[#Data],2,FALSE)</f>
        <v>MATERIAL HIDRAULICO, CANOS, TUBOS, MANGUEIRAS, CONEXOES E ACESS.</v>
      </c>
      <c r="G183" s="42" t="str">
        <f>VLOOKUP(tabPontoPed[[#This Row],[GRUPO]],tabGrupos[#Data],3,FALSE)</f>
        <v>MHI</v>
      </c>
      <c r="H183" s="41" t="s">
        <v>1339</v>
      </c>
      <c r="I183" s="9">
        <v>4</v>
      </c>
      <c r="J183" s="51">
        <v>1</v>
      </c>
      <c r="K183" s="7">
        <f>tabPontoPed[[#This Row],[QTDMÊS]] * tabPontoPed[[#This Row],[MENSAL]]</f>
        <v>4</v>
      </c>
      <c r="L183" s="13" t="s">
        <v>1012</v>
      </c>
      <c r="M183" s="44"/>
      <c r="N183" s="45" t="str">
        <f>_xlfn.IFNA(IF(VLOOKUP(tabPontoPed[[#This Row],[CÓDIGO]],Excluir_do_Estoque!$A$4:$A$4004,1,FALSE),"sim",""),"")</f>
        <v/>
      </c>
      <c r="O183" s="10" t="str">
        <f t="shared" si="2"/>
        <v>*</v>
      </c>
    </row>
    <row r="184" spans="1:15" x14ac:dyDescent="0.25">
      <c r="A184" s="2">
        <v>17454</v>
      </c>
      <c r="B184" s="4" t="s">
        <v>44</v>
      </c>
      <c r="C184" s="41" t="s">
        <v>1345</v>
      </c>
      <c r="D184" s="42">
        <v>57</v>
      </c>
      <c r="E184" s="43">
        <v>2</v>
      </c>
      <c r="F184" s="50" t="str">
        <f>VLOOKUP(tabPontoPed[[#This Row],[GRUPO]],tabGrupos[#Data],2,FALSE)</f>
        <v>MAQ. E EQUIP. P/ IND. GRAFICA COMP. ACESS. E PAPEI</v>
      </c>
      <c r="G184" s="42" t="str">
        <f>VLOOKUP(tabPontoPed[[#This Row],[GRUPO]],tabGrupos[#Data],3,FALSE)</f>
        <v>EDU</v>
      </c>
      <c r="H184" s="41" t="s">
        <v>1339</v>
      </c>
      <c r="I184" s="9">
        <v>4</v>
      </c>
      <c r="J184" s="51">
        <v>909</v>
      </c>
      <c r="K184" s="7">
        <f>tabPontoPed[[#This Row],[QTDMÊS]] * tabPontoPed[[#This Row],[MENSAL]]</f>
        <v>3636</v>
      </c>
      <c r="L184" s="13" t="s">
        <v>1012</v>
      </c>
      <c r="M184" s="44"/>
      <c r="N184" s="45" t="str">
        <f>_xlfn.IFNA(IF(VLOOKUP(tabPontoPed[[#This Row],[CÓDIGO]],Excluir_do_Estoque!$A$4:$A$4004,1,FALSE),"sim",""),"")</f>
        <v/>
      </c>
      <c r="O184" s="10" t="str">
        <f t="shared" si="2"/>
        <v>*</v>
      </c>
    </row>
    <row r="185" spans="1:15" x14ac:dyDescent="0.25">
      <c r="A185" s="2">
        <v>17562</v>
      </c>
      <c r="B185" s="4" t="s">
        <v>994</v>
      </c>
      <c r="C185" s="41" t="s">
        <v>1345</v>
      </c>
      <c r="D185" s="42">
        <v>83</v>
      </c>
      <c r="E185" s="43">
        <v>8</v>
      </c>
      <c r="F185" s="50" t="str">
        <f>VLOOKUP(tabPontoPed[[#This Row],[GRUPO]],tabGrupos[#Data],2,FALSE)</f>
        <v>ABRASIVOS</v>
      </c>
      <c r="G185" s="42" t="str">
        <f>VLOOKUP(tabPontoPed[[#This Row],[GRUPO]],tabGrupos[#Data],3,FALSE)</f>
        <v>MAN</v>
      </c>
      <c r="H185" s="41" t="s">
        <v>1339</v>
      </c>
      <c r="I185" s="9">
        <v>4</v>
      </c>
      <c r="J185" s="51">
        <v>0</v>
      </c>
      <c r="K185" s="7">
        <f>tabPontoPed[[#This Row],[QTDMÊS]] * tabPontoPed[[#This Row],[MENSAL]]</f>
        <v>0</v>
      </c>
      <c r="L185" s="13" t="s">
        <v>1012</v>
      </c>
      <c r="M185" s="44"/>
      <c r="N185" s="45" t="str">
        <f>_xlfn.IFNA(IF(VLOOKUP(tabPontoPed[[#This Row],[CÓDIGO]],Excluir_do_Estoque!$A$4:$A$4004,1,FALSE),"sim",""),"")</f>
        <v/>
      </c>
      <c r="O185" s="10" t="str">
        <f t="shared" si="2"/>
        <v>*</v>
      </c>
    </row>
    <row r="186" spans="1:15" x14ac:dyDescent="0.25">
      <c r="A186" s="2">
        <v>17659</v>
      </c>
      <c r="B186" s="4" t="s">
        <v>984</v>
      </c>
      <c r="C186" s="41" t="s">
        <v>1345</v>
      </c>
      <c r="D186" s="42">
        <v>83</v>
      </c>
      <c r="E186" s="43">
        <v>3</v>
      </c>
      <c r="F186" s="50" t="str">
        <f>VLOOKUP(tabPontoPed[[#This Row],[GRUPO]],tabGrupos[#Data],2,FALSE)</f>
        <v>ABRASIVOS</v>
      </c>
      <c r="G186" s="42" t="str">
        <f>VLOOKUP(tabPontoPed[[#This Row],[GRUPO]],tabGrupos[#Data],3,FALSE)</f>
        <v>MAN</v>
      </c>
      <c r="H186" s="41" t="s">
        <v>1339</v>
      </c>
      <c r="I186" s="9">
        <v>4</v>
      </c>
      <c r="J186" s="51">
        <v>0</v>
      </c>
      <c r="K186" s="7">
        <f>tabPontoPed[[#This Row],[QTDMÊS]] * tabPontoPed[[#This Row],[MENSAL]]</f>
        <v>0</v>
      </c>
      <c r="L186" s="13" t="s">
        <v>1012</v>
      </c>
      <c r="M186" s="44"/>
      <c r="N186" s="45" t="str">
        <f>_xlfn.IFNA(IF(VLOOKUP(tabPontoPed[[#This Row],[CÓDIGO]],Excluir_do_Estoque!$A$4:$A$4004,1,FALSE),"sim",""),"")</f>
        <v/>
      </c>
      <c r="O186" s="10" t="str">
        <f t="shared" si="2"/>
        <v>*</v>
      </c>
    </row>
    <row r="187" spans="1:15" x14ac:dyDescent="0.25">
      <c r="A187" s="2">
        <v>17662</v>
      </c>
      <c r="B187" s="4" t="s">
        <v>162</v>
      </c>
      <c r="C187" s="41" t="s">
        <v>1345</v>
      </c>
      <c r="D187" s="42">
        <v>83</v>
      </c>
      <c r="E187" s="43">
        <v>2</v>
      </c>
      <c r="F187" s="50" t="str">
        <f>VLOOKUP(tabPontoPed[[#This Row],[GRUPO]],tabGrupos[#Data],2,FALSE)</f>
        <v>ABRASIVOS</v>
      </c>
      <c r="G187" s="42" t="str">
        <f>VLOOKUP(tabPontoPed[[#This Row],[GRUPO]],tabGrupos[#Data],3,FALSE)</f>
        <v>MAN</v>
      </c>
      <c r="H187" s="41" t="s">
        <v>1339</v>
      </c>
      <c r="I187" s="9">
        <v>4</v>
      </c>
      <c r="J187" s="51">
        <v>24</v>
      </c>
      <c r="K187" s="7">
        <f>tabPontoPed[[#This Row],[QTDMÊS]] * tabPontoPed[[#This Row],[MENSAL]]</f>
        <v>96</v>
      </c>
      <c r="L187" s="13" t="s">
        <v>1012</v>
      </c>
      <c r="M187" s="44"/>
      <c r="N187" s="45" t="str">
        <f>_xlfn.IFNA(IF(VLOOKUP(tabPontoPed[[#This Row],[CÓDIGO]],Excluir_do_Estoque!$A$4:$A$4004,1,FALSE),"sim",""),"")</f>
        <v/>
      </c>
      <c r="O187" s="10" t="str">
        <f t="shared" si="2"/>
        <v>*</v>
      </c>
    </row>
    <row r="188" spans="1:15" x14ac:dyDescent="0.25">
      <c r="A188" s="2">
        <v>17663</v>
      </c>
      <c r="B188" s="4" t="s">
        <v>982</v>
      </c>
      <c r="C188" s="41" t="s">
        <v>1345</v>
      </c>
      <c r="D188" s="42">
        <v>83</v>
      </c>
      <c r="E188" s="43">
        <v>2</v>
      </c>
      <c r="F188" s="50" t="str">
        <f>VLOOKUP(tabPontoPed[[#This Row],[GRUPO]],tabGrupos[#Data],2,FALSE)</f>
        <v>ABRASIVOS</v>
      </c>
      <c r="G188" s="42" t="str">
        <f>VLOOKUP(tabPontoPed[[#This Row],[GRUPO]],tabGrupos[#Data],3,FALSE)</f>
        <v>MAN</v>
      </c>
      <c r="H188" s="41" t="s">
        <v>1339</v>
      </c>
      <c r="I188" s="9">
        <v>4</v>
      </c>
      <c r="J188" s="51">
        <v>4</v>
      </c>
      <c r="K188" s="7">
        <f>tabPontoPed[[#This Row],[QTDMÊS]] * tabPontoPed[[#This Row],[MENSAL]]</f>
        <v>16</v>
      </c>
      <c r="L188" s="13" t="s">
        <v>1012</v>
      </c>
      <c r="M188" s="44"/>
      <c r="N188" s="45" t="str">
        <f>_xlfn.IFNA(IF(VLOOKUP(tabPontoPed[[#This Row],[CÓDIGO]],Excluir_do_Estoque!$A$4:$A$4004,1,FALSE),"sim",""),"")</f>
        <v/>
      </c>
      <c r="O188" s="10" t="str">
        <f t="shared" si="2"/>
        <v>*</v>
      </c>
    </row>
    <row r="189" spans="1:15" x14ac:dyDescent="0.25">
      <c r="A189" s="2">
        <v>17696</v>
      </c>
      <c r="B189" s="4" t="s">
        <v>163</v>
      </c>
      <c r="C189" s="41" t="s">
        <v>1345</v>
      </c>
      <c r="D189" s="42">
        <v>83</v>
      </c>
      <c r="E189" s="43">
        <v>2</v>
      </c>
      <c r="F189" s="50" t="str">
        <f>VLOOKUP(tabPontoPed[[#This Row],[GRUPO]],tabGrupos[#Data],2,FALSE)</f>
        <v>ABRASIVOS</v>
      </c>
      <c r="G189" s="42" t="str">
        <f>VLOOKUP(tabPontoPed[[#This Row],[GRUPO]],tabGrupos[#Data],3,FALSE)</f>
        <v>MAN</v>
      </c>
      <c r="H189" s="41" t="s">
        <v>1339</v>
      </c>
      <c r="I189" s="9">
        <v>4</v>
      </c>
      <c r="J189" s="51">
        <v>5</v>
      </c>
      <c r="K189" s="7">
        <f>tabPontoPed[[#This Row],[QTDMÊS]] * tabPontoPed[[#This Row],[MENSAL]]</f>
        <v>20</v>
      </c>
      <c r="L189" s="13" t="s">
        <v>1012</v>
      </c>
      <c r="M189" s="44"/>
      <c r="N189" s="45" t="str">
        <f>_xlfn.IFNA(IF(VLOOKUP(tabPontoPed[[#This Row],[CÓDIGO]],Excluir_do_Estoque!$A$4:$A$4004,1,FALSE),"sim",""),"")</f>
        <v/>
      </c>
      <c r="O189" s="10" t="str">
        <f t="shared" si="2"/>
        <v>*</v>
      </c>
    </row>
    <row r="190" spans="1:15" x14ac:dyDescent="0.25">
      <c r="A190" s="2">
        <v>17698</v>
      </c>
      <c r="B190" s="4" t="s">
        <v>164</v>
      </c>
      <c r="C190" s="41" t="s">
        <v>1345</v>
      </c>
      <c r="D190" s="42">
        <v>83</v>
      </c>
      <c r="E190" s="43">
        <v>2</v>
      </c>
      <c r="F190" s="50" t="str">
        <f>VLOOKUP(tabPontoPed[[#This Row],[GRUPO]],tabGrupos[#Data],2,FALSE)</f>
        <v>ABRASIVOS</v>
      </c>
      <c r="G190" s="42" t="str">
        <f>VLOOKUP(tabPontoPed[[#This Row],[GRUPO]],tabGrupos[#Data],3,FALSE)</f>
        <v>MAN</v>
      </c>
      <c r="H190" s="41" t="s">
        <v>1339</v>
      </c>
      <c r="I190" s="9">
        <v>4</v>
      </c>
      <c r="J190" s="51">
        <v>17</v>
      </c>
      <c r="K190" s="7">
        <f>tabPontoPed[[#This Row],[QTDMÊS]] * tabPontoPed[[#This Row],[MENSAL]]</f>
        <v>68</v>
      </c>
      <c r="L190" s="13" t="s">
        <v>1012</v>
      </c>
      <c r="M190" s="44"/>
      <c r="N190" s="45" t="str">
        <f>_xlfn.IFNA(IF(VLOOKUP(tabPontoPed[[#This Row],[CÓDIGO]],Excluir_do_Estoque!$A$4:$A$4004,1,FALSE),"sim",""),"")</f>
        <v/>
      </c>
      <c r="O190" s="10" t="str">
        <f t="shared" si="2"/>
        <v>*</v>
      </c>
    </row>
    <row r="191" spans="1:15" x14ac:dyDescent="0.25">
      <c r="A191" s="2">
        <v>17704</v>
      </c>
      <c r="B191" s="4" t="s">
        <v>516</v>
      </c>
      <c r="C191" s="41" t="s">
        <v>1345</v>
      </c>
      <c r="D191" s="42">
        <v>51</v>
      </c>
      <c r="E191" s="43">
        <v>12</v>
      </c>
      <c r="F191" s="50" t="str">
        <f>VLOOKUP(tabPontoPed[[#This Row],[GRUPO]],tabGrupos[#Data],2,FALSE)</f>
        <v>MAT.E EQUIP. P/ CONSTR.CIVIL E CONSERV. DE VIAS PUBL.</v>
      </c>
      <c r="G191" s="42" t="str">
        <f>VLOOKUP(tabPontoPed[[#This Row],[GRUPO]],tabGrupos[#Data],3,FALSE)</f>
        <v>MCO</v>
      </c>
      <c r="H191" s="41" t="s">
        <v>1339</v>
      </c>
      <c r="I191" s="9">
        <v>4</v>
      </c>
      <c r="J191" s="51">
        <v>23</v>
      </c>
      <c r="K191" s="7">
        <f>tabPontoPed[[#This Row],[QTDMÊS]] * tabPontoPed[[#This Row],[MENSAL]]</f>
        <v>92</v>
      </c>
      <c r="L191" s="13" t="s">
        <v>1012</v>
      </c>
      <c r="M191" s="44"/>
      <c r="N191" s="45" t="str">
        <f>_xlfn.IFNA(IF(VLOOKUP(tabPontoPed[[#This Row],[CÓDIGO]],Excluir_do_Estoque!$A$4:$A$4004,1,FALSE),"sim",""),"")</f>
        <v/>
      </c>
      <c r="O191" s="10" t="str">
        <f t="shared" si="2"/>
        <v>*</v>
      </c>
    </row>
    <row r="192" spans="1:15" x14ac:dyDescent="0.25">
      <c r="A192" s="2">
        <v>17946</v>
      </c>
      <c r="B192" s="4" t="s">
        <v>903</v>
      </c>
      <c r="C192" s="41" t="s">
        <v>1345</v>
      </c>
      <c r="D192" s="42">
        <v>70</v>
      </c>
      <c r="E192" s="43">
        <v>17</v>
      </c>
      <c r="F192" s="50" t="str">
        <f>VLOOKUP(tabPontoPed[[#This Row],[GRUPO]],tabGrupos[#Data],2,FALSE)</f>
        <v>FERRAMENTAS MAQ.FERRAMENTAS,ELETR.PECAS E ACESSORI</v>
      </c>
      <c r="G192" s="42" t="str">
        <f>VLOOKUP(tabPontoPed[[#This Row],[GRUPO]],tabGrupos[#Data],3,FALSE)</f>
        <v>MAN</v>
      </c>
      <c r="H192" s="41" t="s">
        <v>1339</v>
      </c>
      <c r="I192" s="9">
        <v>4</v>
      </c>
      <c r="J192" s="51">
        <v>6</v>
      </c>
      <c r="K192" s="7">
        <f>tabPontoPed[[#This Row],[QTDMÊS]] * tabPontoPed[[#This Row],[MENSAL]]</f>
        <v>24</v>
      </c>
      <c r="L192" s="13" t="s">
        <v>1012</v>
      </c>
      <c r="M192" s="44"/>
      <c r="N192" s="45" t="str">
        <f>_xlfn.IFNA(IF(VLOOKUP(tabPontoPed[[#This Row],[CÓDIGO]],Excluir_do_Estoque!$A$4:$A$4004,1,FALSE),"sim",""),"")</f>
        <v/>
      </c>
      <c r="O192" s="10" t="str">
        <f t="shared" si="2"/>
        <v>*</v>
      </c>
    </row>
    <row r="193" spans="1:15" x14ac:dyDescent="0.25">
      <c r="A193" s="2">
        <v>18346</v>
      </c>
      <c r="B193" s="4" t="s">
        <v>839</v>
      </c>
      <c r="C193" s="41" t="s">
        <v>1345</v>
      </c>
      <c r="D193" s="42">
        <v>67</v>
      </c>
      <c r="E193" s="43">
        <v>6</v>
      </c>
      <c r="F193" s="50" t="str">
        <f>VLOOKUP(tabPontoPed[[#This Row],[GRUPO]],tabGrupos[#Data],2,FALSE)</f>
        <v>PARAFUSOS ELEM. VEDACAO UNIAO CONEX . FIXACAO</v>
      </c>
      <c r="G193" s="42" t="str">
        <f>VLOOKUP(tabPontoPed[[#This Row],[GRUPO]],tabGrupos[#Data],3,FALSE)</f>
        <v>MSE</v>
      </c>
      <c r="H193" s="41" t="s">
        <v>1339</v>
      </c>
      <c r="I193" s="9">
        <v>4</v>
      </c>
      <c r="J193" s="51">
        <v>2</v>
      </c>
      <c r="K193" s="7">
        <f>tabPontoPed[[#This Row],[QTDMÊS]] * tabPontoPed[[#This Row],[MENSAL]]</f>
        <v>8</v>
      </c>
      <c r="L193" s="13" t="s">
        <v>1012</v>
      </c>
      <c r="M193" s="44"/>
      <c r="N193" s="45" t="str">
        <f>_xlfn.IFNA(IF(VLOOKUP(tabPontoPed[[#This Row],[CÓDIGO]],Excluir_do_Estoque!$A$4:$A$4004,1,FALSE),"sim",""),"")</f>
        <v/>
      </c>
      <c r="O193" s="10" t="str">
        <f t="shared" si="2"/>
        <v>*</v>
      </c>
    </row>
    <row r="194" spans="1:15" x14ac:dyDescent="0.25">
      <c r="A194" s="2">
        <v>18353</v>
      </c>
      <c r="B194" s="4" t="s">
        <v>840</v>
      </c>
      <c r="C194" s="41" t="s">
        <v>1345</v>
      </c>
      <c r="D194" s="42">
        <v>67</v>
      </c>
      <c r="E194" s="43">
        <v>6</v>
      </c>
      <c r="F194" s="50" t="str">
        <f>VLOOKUP(tabPontoPed[[#This Row],[GRUPO]],tabGrupos[#Data],2,FALSE)</f>
        <v>PARAFUSOS ELEM. VEDACAO UNIAO CONEX . FIXACAO</v>
      </c>
      <c r="G194" s="42" t="str">
        <f>VLOOKUP(tabPontoPed[[#This Row],[GRUPO]],tabGrupos[#Data],3,FALSE)</f>
        <v>MSE</v>
      </c>
      <c r="H194" s="41" t="s">
        <v>1339</v>
      </c>
      <c r="I194" s="9">
        <v>4</v>
      </c>
      <c r="J194" s="51">
        <v>11</v>
      </c>
      <c r="K194" s="7">
        <f>tabPontoPed[[#This Row],[QTDMÊS]] * tabPontoPed[[#This Row],[MENSAL]]</f>
        <v>44</v>
      </c>
      <c r="L194" s="13" t="s">
        <v>1012</v>
      </c>
      <c r="M194" s="44"/>
      <c r="N194" s="45" t="str">
        <f>_xlfn.IFNA(IF(VLOOKUP(tabPontoPed[[#This Row],[CÓDIGO]],Excluir_do_Estoque!$A$4:$A$4004,1,FALSE),"sim",""),"")</f>
        <v/>
      </c>
      <c r="O194" s="10" t="str">
        <f t="shared" si="2"/>
        <v>*</v>
      </c>
    </row>
    <row r="195" spans="1:15" x14ac:dyDescent="0.25">
      <c r="A195" s="2">
        <v>18357</v>
      </c>
      <c r="B195" s="4" t="s">
        <v>841</v>
      </c>
      <c r="C195" s="41" t="s">
        <v>1345</v>
      </c>
      <c r="D195" s="42">
        <v>67</v>
      </c>
      <c r="E195" s="43">
        <v>6</v>
      </c>
      <c r="F195" s="50" t="str">
        <f>VLOOKUP(tabPontoPed[[#This Row],[GRUPO]],tabGrupos[#Data],2,FALSE)</f>
        <v>PARAFUSOS ELEM. VEDACAO UNIAO CONEX . FIXACAO</v>
      </c>
      <c r="G195" s="42" t="str">
        <f>VLOOKUP(tabPontoPed[[#This Row],[GRUPO]],tabGrupos[#Data],3,FALSE)</f>
        <v>MSE</v>
      </c>
      <c r="H195" s="41" t="s">
        <v>1339</v>
      </c>
      <c r="I195" s="9">
        <v>4</v>
      </c>
      <c r="J195" s="51">
        <v>12</v>
      </c>
      <c r="K195" s="7">
        <f>tabPontoPed[[#This Row],[QTDMÊS]] * tabPontoPed[[#This Row],[MENSAL]]</f>
        <v>48</v>
      </c>
      <c r="L195" s="13" t="s">
        <v>1012</v>
      </c>
      <c r="M195" s="44"/>
      <c r="N195" s="45" t="str">
        <f>_xlfn.IFNA(IF(VLOOKUP(tabPontoPed[[#This Row],[CÓDIGO]],Excluir_do_Estoque!$A$4:$A$4004,1,FALSE),"sim",""),"")</f>
        <v/>
      </c>
      <c r="O195" s="10" t="str">
        <f t="shared" si="2"/>
        <v>*</v>
      </c>
    </row>
    <row r="196" spans="1:15" x14ac:dyDescent="0.25">
      <c r="A196" s="2">
        <v>18358</v>
      </c>
      <c r="B196" s="4" t="s">
        <v>842</v>
      </c>
      <c r="C196" s="41" t="s">
        <v>1345</v>
      </c>
      <c r="D196" s="42">
        <v>67</v>
      </c>
      <c r="E196" s="43">
        <v>6</v>
      </c>
      <c r="F196" s="50" t="str">
        <f>VLOOKUP(tabPontoPed[[#This Row],[GRUPO]],tabGrupos[#Data],2,FALSE)</f>
        <v>PARAFUSOS ELEM. VEDACAO UNIAO CONEX . FIXACAO</v>
      </c>
      <c r="G196" s="42" t="str">
        <f>VLOOKUP(tabPontoPed[[#This Row],[GRUPO]],tabGrupos[#Data],3,FALSE)</f>
        <v>MSE</v>
      </c>
      <c r="H196" s="41" t="s">
        <v>1339</v>
      </c>
      <c r="I196" s="9">
        <v>4</v>
      </c>
      <c r="J196" s="51">
        <v>6</v>
      </c>
      <c r="K196" s="7">
        <f>tabPontoPed[[#This Row],[QTDMÊS]] * tabPontoPed[[#This Row],[MENSAL]]</f>
        <v>24</v>
      </c>
      <c r="L196" s="13" t="s">
        <v>1012</v>
      </c>
      <c r="M196" s="44"/>
      <c r="N196" s="45" t="str">
        <f>_xlfn.IFNA(IF(VLOOKUP(tabPontoPed[[#This Row],[CÓDIGO]],Excluir_do_Estoque!$A$4:$A$4004,1,FALSE),"sim",""),"")</f>
        <v/>
      </c>
      <c r="O196" s="10" t="str">
        <f t="shared" ref="O196:O259" si="3">"*"</f>
        <v>*</v>
      </c>
    </row>
    <row r="197" spans="1:15" x14ac:dyDescent="0.25">
      <c r="A197" s="2">
        <v>19842</v>
      </c>
      <c r="B197" s="4" t="s">
        <v>817</v>
      </c>
      <c r="C197" s="41" t="s">
        <v>1345</v>
      </c>
      <c r="D197" s="42">
        <v>62</v>
      </c>
      <c r="E197" s="43">
        <v>12</v>
      </c>
      <c r="F197" s="50" t="str">
        <f>VLOOKUP(tabPontoPed[[#This Row],[GRUPO]],tabGrupos[#Data],2,FALSE)</f>
        <v>VEST., ART.P/ TOUC.E HIG. PES. MAQ., EQUIP., MAT.E ACES.</v>
      </c>
      <c r="G197" s="42" t="str">
        <f>VLOOKUP(tabPontoPed[[#This Row],[GRUPO]],tabGrupos[#Data],3,FALSE)</f>
        <v>ADM</v>
      </c>
      <c r="H197" s="41" t="s">
        <v>1339</v>
      </c>
      <c r="I197" s="9">
        <v>4</v>
      </c>
      <c r="J197" s="51">
        <v>443</v>
      </c>
      <c r="K197" s="7">
        <f>tabPontoPed[[#This Row],[QTDMÊS]] * tabPontoPed[[#This Row],[MENSAL]]</f>
        <v>1772</v>
      </c>
      <c r="L197" s="13" t="s">
        <v>1012</v>
      </c>
      <c r="M197" s="44"/>
      <c r="N197" s="45" t="str">
        <f>_xlfn.IFNA(IF(VLOOKUP(tabPontoPed[[#This Row],[CÓDIGO]],Excluir_do_Estoque!$A$4:$A$4004,1,FALSE),"sim",""),"")</f>
        <v/>
      </c>
      <c r="O197" s="10" t="str">
        <f t="shared" si="3"/>
        <v>*</v>
      </c>
    </row>
    <row r="198" spans="1:15" x14ac:dyDescent="0.25">
      <c r="A198" s="2">
        <v>19871</v>
      </c>
      <c r="B198" s="4" t="s">
        <v>906</v>
      </c>
      <c r="C198" s="41" t="s">
        <v>1345</v>
      </c>
      <c r="D198" s="42">
        <v>70</v>
      </c>
      <c r="E198" s="43">
        <v>31</v>
      </c>
      <c r="F198" s="50" t="str">
        <f>VLOOKUP(tabPontoPed[[#This Row],[GRUPO]],tabGrupos[#Data],2,FALSE)</f>
        <v>FERRAMENTAS MAQ.FERRAMENTAS,ELETR.PECAS E ACESSORI</v>
      </c>
      <c r="G198" s="42" t="str">
        <f>VLOOKUP(tabPontoPed[[#This Row],[GRUPO]],tabGrupos[#Data],3,FALSE)</f>
        <v>MAN</v>
      </c>
      <c r="H198" s="41" t="s">
        <v>1339</v>
      </c>
      <c r="I198" s="9">
        <v>4</v>
      </c>
      <c r="J198" s="51">
        <v>7</v>
      </c>
      <c r="K198" s="7">
        <f>tabPontoPed[[#This Row],[QTDMÊS]] * tabPontoPed[[#This Row],[MENSAL]]</f>
        <v>28</v>
      </c>
      <c r="L198" s="13" t="s">
        <v>1012</v>
      </c>
      <c r="M198" s="44"/>
      <c r="N198" s="45" t="str">
        <f>_xlfn.IFNA(IF(VLOOKUP(tabPontoPed[[#This Row],[CÓDIGO]],Excluir_do_Estoque!$A$4:$A$4004,1,FALSE),"sim",""),"")</f>
        <v/>
      </c>
      <c r="O198" s="10" t="str">
        <f t="shared" si="3"/>
        <v>*</v>
      </c>
    </row>
    <row r="199" spans="1:15" x14ac:dyDescent="0.25">
      <c r="A199" s="2">
        <v>19882</v>
      </c>
      <c r="B199" s="4" t="s">
        <v>907</v>
      </c>
      <c r="C199" s="41" t="s">
        <v>1345</v>
      </c>
      <c r="D199" s="42">
        <v>70</v>
      </c>
      <c r="E199" s="43">
        <v>31</v>
      </c>
      <c r="F199" s="50" t="str">
        <f>VLOOKUP(tabPontoPed[[#This Row],[GRUPO]],tabGrupos[#Data],2,FALSE)</f>
        <v>FERRAMENTAS MAQ.FERRAMENTAS,ELETR.PECAS E ACESSORI</v>
      </c>
      <c r="G199" s="42" t="str">
        <f>VLOOKUP(tabPontoPed[[#This Row],[GRUPO]],tabGrupos[#Data],3,FALSE)</f>
        <v>MAN</v>
      </c>
      <c r="H199" s="41" t="s">
        <v>1339</v>
      </c>
      <c r="I199" s="9">
        <v>4</v>
      </c>
      <c r="J199" s="51">
        <v>3</v>
      </c>
      <c r="K199" s="7">
        <f>tabPontoPed[[#This Row],[QTDMÊS]] * tabPontoPed[[#This Row],[MENSAL]]</f>
        <v>12</v>
      </c>
      <c r="L199" s="13" t="s">
        <v>1012</v>
      </c>
      <c r="M199" s="44"/>
      <c r="N199" s="45" t="str">
        <f>_xlfn.IFNA(IF(VLOOKUP(tabPontoPed[[#This Row],[CÓDIGO]],Excluir_do_Estoque!$A$4:$A$4004,1,FALSE),"sim",""),"")</f>
        <v/>
      </c>
      <c r="O199" s="10" t="str">
        <f t="shared" si="3"/>
        <v>*</v>
      </c>
    </row>
    <row r="200" spans="1:15" x14ac:dyDescent="0.25">
      <c r="A200" s="2">
        <v>19883</v>
      </c>
      <c r="B200" s="4" t="s">
        <v>908</v>
      </c>
      <c r="C200" s="41" t="s">
        <v>1345</v>
      </c>
      <c r="D200" s="42">
        <v>70</v>
      </c>
      <c r="E200" s="43">
        <v>31</v>
      </c>
      <c r="F200" s="50" t="str">
        <f>VLOOKUP(tabPontoPed[[#This Row],[GRUPO]],tabGrupos[#Data],2,FALSE)</f>
        <v>FERRAMENTAS MAQ.FERRAMENTAS,ELETR.PECAS E ACESSORI</v>
      </c>
      <c r="G200" s="42" t="str">
        <f>VLOOKUP(tabPontoPed[[#This Row],[GRUPO]],tabGrupos[#Data],3,FALSE)</f>
        <v>MAN</v>
      </c>
      <c r="H200" s="41" t="s">
        <v>1339</v>
      </c>
      <c r="I200" s="9">
        <v>4</v>
      </c>
      <c r="J200" s="51">
        <v>7</v>
      </c>
      <c r="K200" s="7">
        <f>tabPontoPed[[#This Row],[QTDMÊS]] * tabPontoPed[[#This Row],[MENSAL]]</f>
        <v>28</v>
      </c>
      <c r="L200" s="13" t="s">
        <v>1012</v>
      </c>
      <c r="M200" s="44"/>
      <c r="N200" s="45" t="str">
        <f>_xlfn.IFNA(IF(VLOOKUP(tabPontoPed[[#This Row],[CÓDIGO]],Excluir_do_Estoque!$A$4:$A$4004,1,FALSE),"sim",""),"")</f>
        <v/>
      </c>
      <c r="O200" s="10" t="str">
        <f t="shared" si="3"/>
        <v>*</v>
      </c>
    </row>
    <row r="201" spans="1:15" x14ac:dyDescent="0.25">
      <c r="A201" s="2">
        <v>19998</v>
      </c>
      <c r="B201" s="4" t="s">
        <v>909</v>
      </c>
      <c r="C201" s="41" t="s">
        <v>1345</v>
      </c>
      <c r="D201" s="42">
        <v>70</v>
      </c>
      <c r="E201" s="43">
        <v>31</v>
      </c>
      <c r="F201" s="50" t="str">
        <f>VLOOKUP(tabPontoPed[[#This Row],[GRUPO]],tabGrupos[#Data],2,FALSE)</f>
        <v>FERRAMENTAS MAQ.FERRAMENTAS,ELETR.PECAS E ACESSORI</v>
      </c>
      <c r="G201" s="42" t="str">
        <f>VLOOKUP(tabPontoPed[[#This Row],[GRUPO]],tabGrupos[#Data],3,FALSE)</f>
        <v>MAN</v>
      </c>
      <c r="H201" s="41" t="s">
        <v>1339</v>
      </c>
      <c r="I201" s="9">
        <v>4</v>
      </c>
      <c r="J201" s="51">
        <v>4</v>
      </c>
      <c r="K201" s="7">
        <f>tabPontoPed[[#This Row],[QTDMÊS]] * tabPontoPed[[#This Row],[MENSAL]]</f>
        <v>16</v>
      </c>
      <c r="L201" s="13" t="s">
        <v>1012</v>
      </c>
      <c r="M201" s="44"/>
      <c r="N201" s="45" t="str">
        <f>_xlfn.IFNA(IF(VLOOKUP(tabPontoPed[[#This Row],[CÓDIGO]],Excluir_do_Estoque!$A$4:$A$4004,1,FALSE),"sim",""),"")</f>
        <v/>
      </c>
      <c r="O201" s="10" t="str">
        <f t="shared" si="3"/>
        <v>*</v>
      </c>
    </row>
    <row r="202" spans="1:15" x14ac:dyDescent="0.25">
      <c r="A202" s="2">
        <v>20001</v>
      </c>
      <c r="B202" s="4" t="s">
        <v>910</v>
      </c>
      <c r="C202" s="41" t="s">
        <v>1345</v>
      </c>
      <c r="D202" s="42">
        <v>70</v>
      </c>
      <c r="E202" s="43">
        <v>31</v>
      </c>
      <c r="F202" s="50" t="str">
        <f>VLOOKUP(tabPontoPed[[#This Row],[GRUPO]],tabGrupos[#Data],2,FALSE)</f>
        <v>FERRAMENTAS MAQ.FERRAMENTAS,ELETR.PECAS E ACESSORI</v>
      </c>
      <c r="G202" s="42" t="str">
        <f>VLOOKUP(tabPontoPed[[#This Row],[GRUPO]],tabGrupos[#Data],3,FALSE)</f>
        <v>MAN</v>
      </c>
      <c r="H202" s="41" t="s">
        <v>1339</v>
      </c>
      <c r="I202" s="9">
        <v>4</v>
      </c>
      <c r="J202" s="51">
        <v>19</v>
      </c>
      <c r="K202" s="7">
        <f>tabPontoPed[[#This Row],[QTDMÊS]] * tabPontoPed[[#This Row],[MENSAL]]</f>
        <v>76</v>
      </c>
      <c r="L202" s="13" t="s">
        <v>1012</v>
      </c>
      <c r="M202" s="44"/>
      <c r="N202" s="45" t="str">
        <f>_xlfn.IFNA(IF(VLOOKUP(tabPontoPed[[#This Row],[CÓDIGO]],Excluir_do_Estoque!$A$4:$A$4004,1,FALSE),"sim",""),"")</f>
        <v/>
      </c>
      <c r="O202" s="10" t="str">
        <f t="shared" si="3"/>
        <v>*</v>
      </c>
    </row>
    <row r="203" spans="1:15" x14ac:dyDescent="0.25">
      <c r="A203" s="2">
        <v>20034</v>
      </c>
      <c r="B203" s="4" t="s">
        <v>911</v>
      </c>
      <c r="C203" s="41" t="s">
        <v>1345</v>
      </c>
      <c r="D203" s="42">
        <v>70</v>
      </c>
      <c r="E203" s="43">
        <v>31</v>
      </c>
      <c r="F203" s="50" t="str">
        <f>VLOOKUP(tabPontoPed[[#This Row],[GRUPO]],tabGrupos[#Data],2,FALSE)</f>
        <v>FERRAMENTAS MAQ.FERRAMENTAS,ELETR.PECAS E ACESSORI</v>
      </c>
      <c r="G203" s="42" t="str">
        <f>VLOOKUP(tabPontoPed[[#This Row],[GRUPO]],tabGrupos[#Data],3,FALSE)</f>
        <v>MAN</v>
      </c>
      <c r="H203" s="41" t="s">
        <v>1339</v>
      </c>
      <c r="I203" s="9">
        <v>4</v>
      </c>
      <c r="J203" s="51">
        <v>29</v>
      </c>
      <c r="K203" s="7">
        <f>tabPontoPed[[#This Row],[QTDMÊS]] * tabPontoPed[[#This Row],[MENSAL]]</f>
        <v>116</v>
      </c>
      <c r="L203" s="13" t="s">
        <v>1012</v>
      </c>
      <c r="M203" s="44"/>
      <c r="N203" s="45" t="str">
        <f>_xlfn.IFNA(IF(VLOOKUP(tabPontoPed[[#This Row],[CÓDIGO]],Excluir_do_Estoque!$A$4:$A$4004,1,FALSE),"sim",""),"")</f>
        <v/>
      </c>
      <c r="O203" s="10" t="str">
        <f t="shared" si="3"/>
        <v>*</v>
      </c>
    </row>
    <row r="204" spans="1:15" x14ac:dyDescent="0.25">
      <c r="A204" s="2">
        <v>20035</v>
      </c>
      <c r="B204" s="4" t="s">
        <v>912</v>
      </c>
      <c r="C204" s="41" t="s">
        <v>1345</v>
      </c>
      <c r="D204" s="42">
        <v>70</v>
      </c>
      <c r="E204" s="43">
        <v>31</v>
      </c>
      <c r="F204" s="50" t="str">
        <f>VLOOKUP(tabPontoPed[[#This Row],[GRUPO]],tabGrupos[#Data],2,FALSE)</f>
        <v>FERRAMENTAS MAQ.FERRAMENTAS,ELETR.PECAS E ACESSORI</v>
      </c>
      <c r="G204" s="42" t="str">
        <f>VLOOKUP(tabPontoPed[[#This Row],[GRUPO]],tabGrupos[#Data],3,FALSE)</f>
        <v>MAN</v>
      </c>
      <c r="H204" s="41" t="s">
        <v>1339</v>
      </c>
      <c r="I204" s="9">
        <v>4</v>
      </c>
      <c r="J204" s="51">
        <v>4</v>
      </c>
      <c r="K204" s="7">
        <f>tabPontoPed[[#This Row],[QTDMÊS]] * tabPontoPed[[#This Row],[MENSAL]]</f>
        <v>16</v>
      </c>
      <c r="L204" s="13" t="s">
        <v>1012</v>
      </c>
      <c r="M204" s="44"/>
      <c r="N204" s="45" t="str">
        <f>_xlfn.IFNA(IF(VLOOKUP(tabPontoPed[[#This Row],[CÓDIGO]],Excluir_do_Estoque!$A$4:$A$4004,1,FALSE),"sim",""),"")</f>
        <v/>
      </c>
      <c r="O204" s="10" t="str">
        <f t="shared" si="3"/>
        <v>*</v>
      </c>
    </row>
    <row r="205" spans="1:15" x14ac:dyDescent="0.25">
      <c r="A205" s="2">
        <v>20037</v>
      </c>
      <c r="B205" s="4" t="s">
        <v>913</v>
      </c>
      <c r="C205" s="41" t="s">
        <v>1345</v>
      </c>
      <c r="D205" s="42">
        <v>70</v>
      </c>
      <c r="E205" s="43">
        <v>31</v>
      </c>
      <c r="F205" s="50" t="str">
        <f>VLOOKUP(tabPontoPed[[#This Row],[GRUPO]],tabGrupos[#Data],2,FALSE)</f>
        <v>FERRAMENTAS MAQ.FERRAMENTAS,ELETR.PECAS E ACESSORI</v>
      </c>
      <c r="G205" s="42" t="str">
        <f>VLOOKUP(tabPontoPed[[#This Row],[GRUPO]],tabGrupos[#Data],3,FALSE)</f>
        <v>MAN</v>
      </c>
      <c r="H205" s="41" t="s">
        <v>1339</v>
      </c>
      <c r="I205" s="9">
        <v>4</v>
      </c>
      <c r="J205" s="51">
        <v>5</v>
      </c>
      <c r="K205" s="7">
        <f>tabPontoPed[[#This Row],[QTDMÊS]] * tabPontoPed[[#This Row],[MENSAL]]</f>
        <v>20</v>
      </c>
      <c r="L205" s="13" t="s">
        <v>1012</v>
      </c>
      <c r="M205" s="44"/>
      <c r="N205" s="45" t="str">
        <f>_xlfn.IFNA(IF(VLOOKUP(tabPontoPed[[#This Row],[CÓDIGO]],Excluir_do_Estoque!$A$4:$A$4004,1,FALSE),"sim",""),"")</f>
        <v/>
      </c>
      <c r="O205" s="10" t="str">
        <f t="shared" si="3"/>
        <v>*</v>
      </c>
    </row>
    <row r="206" spans="1:15" x14ac:dyDescent="0.25">
      <c r="A206" s="2">
        <v>20104</v>
      </c>
      <c r="B206" s="4" t="s">
        <v>914</v>
      </c>
      <c r="C206" s="41" t="s">
        <v>1345</v>
      </c>
      <c r="D206" s="42">
        <v>70</v>
      </c>
      <c r="E206" s="43">
        <v>31</v>
      </c>
      <c r="F206" s="50" t="str">
        <f>VLOOKUP(tabPontoPed[[#This Row],[GRUPO]],tabGrupos[#Data],2,FALSE)</f>
        <v>FERRAMENTAS MAQ.FERRAMENTAS,ELETR.PECAS E ACESSORI</v>
      </c>
      <c r="G206" s="42" t="str">
        <f>VLOOKUP(tabPontoPed[[#This Row],[GRUPO]],tabGrupos[#Data],3,FALSE)</f>
        <v>MAN</v>
      </c>
      <c r="H206" s="41" t="s">
        <v>1339</v>
      </c>
      <c r="I206" s="9">
        <v>4</v>
      </c>
      <c r="J206" s="51">
        <v>10</v>
      </c>
      <c r="K206" s="7">
        <f>tabPontoPed[[#This Row],[QTDMÊS]] * tabPontoPed[[#This Row],[MENSAL]]</f>
        <v>40</v>
      </c>
      <c r="L206" s="13" t="s">
        <v>1012</v>
      </c>
      <c r="M206" s="44"/>
      <c r="N206" s="45" t="str">
        <f>_xlfn.IFNA(IF(VLOOKUP(tabPontoPed[[#This Row],[CÓDIGO]],Excluir_do_Estoque!$A$4:$A$4004,1,FALSE),"sim",""),"")</f>
        <v/>
      </c>
      <c r="O206" s="10" t="str">
        <f t="shared" si="3"/>
        <v>*</v>
      </c>
    </row>
    <row r="207" spans="1:15" x14ac:dyDescent="0.25">
      <c r="A207" s="2">
        <v>20106</v>
      </c>
      <c r="B207" s="4" t="s">
        <v>915</v>
      </c>
      <c r="C207" s="41" t="s">
        <v>1345</v>
      </c>
      <c r="D207" s="42">
        <v>70</v>
      </c>
      <c r="E207" s="43">
        <v>31</v>
      </c>
      <c r="F207" s="50" t="str">
        <f>VLOOKUP(tabPontoPed[[#This Row],[GRUPO]],tabGrupos[#Data],2,FALSE)</f>
        <v>FERRAMENTAS MAQ.FERRAMENTAS,ELETR.PECAS E ACESSORI</v>
      </c>
      <c r="G207" s="42" t="str">
        <f>VLOOKUP(tabPontoPed[[#This Row],[GRUPO]],tabGrupos[#Data],3,FALSE)</f>
        <v>MAN</v>
      </c>
      <c r="H207" s="41" t="s">
        <v>1339</v>
      </c>
      <c r="I207" s="9">
        <v>4</v>
      </c>
      <c r="J207" s="51">
        <v>13</v>
      </c>
      <c r="K207" s="7">
        <f>tabPontoPed[[#This Row],[QTDMÊS]] * tabPontoPed[[#This Row],[MENSAL]]</f>
        <v>52</v>
      </c>
      <c r="L207" s="13" t="s">
        <v>1012</v>
      </c>
      <c r="M207" s="44"/>
      <c r="N207" s="45" t="str">
        <f>_xlfn.IFNA(IF(VLOOKUP(tabPontoPed[[#This Row],[CÓDIGO]],Excluir_do_Estoque!$A$4:$A$4004,1,FALSE),"sim",""),"")</f>
        <v/>
      </c>
      <c r="O207" s="10" t="str">
        <f t="shared" si="3"/>
        <v>*</v>
      </c>
    </row>
    <row r="208" spans="1:15" x14ac:dyDescent="0.25">
      <c r="A208" s="2">
        <v>20135</v>
      </c>
      <c r="B208" s="4" t="s">
        <v>874</v>
      </c>
      <c r="C208" s="41" t="s">
        <v>1345</v>
      </c>
      <c r="D208" s="42">
        <v>69</v>
      </c>
      <c r="E208" s="43">
        <v>1</v>
      </c>
      <c r="F208" s="50" t="str">
        <f>VLOOKUP(tabPontoPed[[#This Row],[GRUPO]],tabGrupos[#Data],2,FALSE)</f>
        <v>METAIS,LAMINAD.,PERFILADOS E ARTEFATOS METALICOS</v>
      </c>
      <c r="G208" s="42" t="str">
        <f>VLOOKUP(tabPontoPed[[#This Row],[GRUPO]],tabGrupos[#Data],3,FALSE)</f>
        <v>MSE</v>
      </c>
      <c r="H208" s="41" t="s">
        <v>1339</v>
      </c>
      <c r="I208" s="9">
        <v>4</v>
      </c>
      <c r="J208" s="51">
        <v>15</v>
      </c>
      <c r="K208" s="7">
        <f>tabPontoPed[[#This Row],[QTDMÊS]] * tabPontoPed[[#This Row],[MENSAL]]</f>
        <v>60</v>
      </c>
      <c r="L208" s="13" t="s">
        <v>1012</v>
      </c>
      <c r="M208" s="44"/>
      <c r="N208" s="45" t="str">
        <f>_xlfn.IFNA(IF(VLOOKUP(tabPontoPed[[#This Row],[CÓDIGO]],Excluir_do_Estoque!$A$4:$A$4004,1,FALSE),"sim",""),"")</f>
        <v/>
      </c>
      <c r="O208" s="10" t="str">
        <f t="shared" si="3"/>
        <v>*</v>
      </c>
    </row>
    <row r="209" spans="1:15" x14ac:dyDescent="0.25">
      <c r="A209" s="2">
        <v>20144</v>
      </c>
      <c r="B209" s="4" t="s">
        <v>916</v>
      </c>
      <c r="C209" s="41" t="s">
        <v>1345</v>
      </c>
      <c r="D209" s="42">
        <v>70</v>
      </c>
      <c r="E209" s="43">
        <v>31</v>
      </c>
      <c r="F209" s="50" t="str">
        <f>VLOOKUP(tabPontoPed[[#This Row],[GRUPO]],tabGrupos[#Data],2,FALSE)</f>
        <v>FERRAMENTAS MAQ.FERRAMENTAS,ELETR.PECAS E ACESSORI</v>
      </c>
      <c r="G209" s="42" t="str">
        <f>VLOOKUP(tabPontoPed[[#This Row],[GRUPO]],tabGrupos[#Data],3,FALSE)</f>
        <v>MAN</v>
      </c>
      <c r="H209" s="41" t="s">
        <v>1339</v>
      </c>
      <c r="I209" s="9">
        <v>4</v>
      </c>
      <c r="J209" s="51">
        <v>20</v>
      </c>
      <c r="K209" s="7">
        <f>tabPontoPed[[#This Row],[QTDMÊS]] * tabPontoPed[[#This Row],[MENSAL]]</f>
        <v>80</v>
      </c>
      <c r="L209" s="13" t="s">
        <v>1012</v>
      </c>
      <c r="M209" s="44"/>
      <c r="N209" s="45" t="str">
        <f>_xlfn.IFNA(IF(VLOOKUP(tabPontoPed[[#This Row],[CÓDIGO]],Excluir_do_Estoque!$A$4:$A$4004,1,FALSE),"sim",""),"")</f>
        <v/>
      </c>
      <c r="O209" s="10" t="str">
        <f t="shared" si="3"/>
        <v>*</v>
      </c>
    </row>
    <row r="210" spans="1:15" x14ac:dyDescent="0.25">
      <c r="A210" s="2">
        <v>20167</v>
      </c>
      <c r="B210" s="4" t="s">
        <v>977</v>
      </c>
      <c r="C210" s="41" t="s">
        <v>1345</v>
      </c>
      <c r="D210" s="42">
        <v>79</v>
      </c>
      <c r="E210" s="43">
        <v>5</v>
      </c>
      <c r="F210" s="50" t="str">
        <f>VLOOKUP(tabPontoPed[[#This Row],[GRUPO]],tabGrupos[#Data],2,FALSE)</f>
        <v>ART. DOMEST. DECO. GUARNI. DE AMBI.TECI. VEICULOS</v>
      </c>
      <c r="G210" s="42" t="str">
        <f>VLOOKUP(tabPontoPed[[#This Row],[GRUPO]],tabGrupos[#Data],3,FALSE)</f>
        <v>ADM</v>
      </c>
      <c r="H210" s="41" t="s">
        <v>1339</v>
      </c>
      <c r="I210" s="9">
        <v>4</v>
      </c>
      <c r="J210" s="51">
        <v>1</v>
      </c>
      <c r="K210" s="7">
        <f>tabPontoPed[[#This Row],[QTDMÊS]] * tabPontoPed[[#This Row],[MENSAL]]</f>
        <v>4</v>
      </c>
      <c r="L210" s="13" t="s">
        <v>1012</v>
      </c>
      <c r="M210" s="44"/>
      <c r="N210" s="45" t="str">
        <f>_xlfn.IFNA(IF(VLOOKUP(tabPontoPed[[#This Row],[CÓDIGO]],Excluir_do_Estoque!$A$4:$A$4004,1,FALSE),"sim",""),"")</f>
        <v/>
      </c>
      <c r="O210" s="10" t="str">
        <f t="shared" si="3"/>
        <v>*</v>
      </c>
    </row>
    <row r="211" spans="1:15" x14ac:dyDescent="0.25">
      <c r="A211" s="2">
        <v>20537</v>
      </c>
      <c r="B211" s="4" t="s">
        <v>843</v>
      </c>
      <c r="C211" s="41" t="s">
        <v>1345</v>
      </c>
      <c r="D211" s="42">
        <v>67</v>
      </c>
      <c r="E211" s="43">
        <v>6</v>
      </c>
      <c r="F211" s="50" t="str">
        <f>VLOOKUP(tabPontoPed[[#This Row],[GRUPO]],tabGrupos[#Data],2,FALSE)</f>
        <v>PARAFUSOS ELEM. VEDACAO UNIAO CONEX . FIXACAO</v>
      </c>
      <c r="G211" s="42" t="str">
        <f>VLOOKUP(tabPontoPed[[#This Row],[GRUPO]],tabGrupos[#Data],3,FALSE)</f>
        <v>MSE</v>
      </c>
      <c r="H211" s="41" t="s">
        <v>1339</v>
      </c>
      <c r="I211" s="9">
        <v>4</v>
      </c>
      <c r="J211" s="51">
        <v>1</v>
      </c>
      <c r="K211" s="7">
        <f>tabPontoPed[[#This Row],[QTDMÊS]] * tabPontoPed[[#This Row],[MENSAL]]</f>
        <v>4</v>
      </c>
      <c r="L211" s="13" t="s">
        <v>1012</v>
      </c>
      <c r="M211" s="44"/>
      <c r="N211" s="45" t="str">
        <f>_xlfn.IFNA(IF(VLOOKUP(tabPontoPed[[#This Row],[CÓDIGO]],Excluir_do_Estoque!$A$4:$A$4004,1,FALSE),"sim",""),"")</f>
        <v/>
      </c>
      <c r="O211" s="10" t="str">
        <f t="shared" si="3"/>
        <v>*</v>
      </c>
    </row>
    <row r="212" spans="1:15" x14ac:dyDescent="0.25">
      <c r="A212" s="2">
        <v>20554</v>
      </c>
      <c r="B212" s="4" t="s">
        <v>847</v>
      </c>
      <c r="C212" s="41" t="s">
        <v>1345</v>
      </c>
      <c r="D212" s="42">
        <v>67</v>
      </c>
      <c r="E212" s="43">
        <v>7</v>
      </c>
      <c r="F212" s="50" t="str">
        <f>VLOOKUP(tabPontoPed[[#This Row],[GRUPO]],tabGrupos[#Data],2,FALSE)</f>
        <v>PARAFUSOS ELEM. VEDACAO UNIAO CONEX . FIXACAO</v>
      </c>
      <c r="G212" s="42" t="str">
        <f>VLOOKUP(tabPontoPed[[#This Row],[GRUPO]],tabGrupos[#Data],3,FALSE)</f>
        <v>MSE</v>
      </c>
      <c r="H212" s="41" t="s">
        <v>1339</v>
      </c>
      <c r="I212" s="9">
        <v>4</v>
      </c>
      <c r="J212" s="51">
        <v>917</v>
      </c>
      <c r="K212" s="7">
        <f>tabPontoPed[[#This Row],[QTDMÊS]] * tabPontoPed[[#This Row],[MENSAL]]</f>
        <v>3668</v>
      </c>
      <c r="L212" s="13" t="s">
        <v>1012</v>
      </c>
      <c r="M212" s="44"/>
      <c r="N212" s="45" t="str">
        <f>_xlfn.IFNA(IF(VLOOKUP(tabPontoPed[[#This Row],[CÓDIGO]],Excluir_do_Estoque!$A$4:$A$4004,1,FALSE),"sim",""),"")</f>
        <v/>
      </c>
      <c r="O212" s="10" t="str">
        <f t="shared" si="3"/>
        <v>*</v>
      </c>
    </row>
    <row r="213" spans="1:15" x14ac:dyDescent="0.25">
      <c r="A213" s="2">
        <v>20558</v>
      </c>
      <c r="B213" s="4" t="s">
        <v>848</v>
      </c>
      <c r="C213" s="41" t="s">
        <v>1345</v>
      </c>
      <c r="D213" s="42">
        <v>67</v>
      </c>
      <c r="E213" s="43">
        <v>7</v>
      </c>
      <c r="F213" s="50" t="str">
        <f>VLOOKUP(tabPontoPed[[#This Row],[GRUPO]],tabGrupos[#Data],2,FALSE)</f>
        <v>PARAFUSOS ELEM. VEDACAO UNIAO CONEX . FIXACAO</v>
      </c>
      <c r="G213" s="42" t="str">
        <f>VLOOKUP(tabPontoPed[[#This Row],[GRUPO]],tabGrupos[#Data],3,FALSE)</f>
        <v>MSE</v>
      </c>
      <c r="H213" s="41" t="s">
        <v>1339</v>
      </c>
      <c r="I213" s="9">
        <v>4</v>
      </c>
      <c r="J213" s="51">
        <v>659</v>
      </c>
      <c r="K213" s="7">
        <f>tabPontoPed[[#This Row],[QTDMÊS]] * tabPontoPed[[#This Row],[MENSAL]]</f>
        <v>2636</v>
      </c>
      <c r="L213" s="13" t="s">
        <v>1012</v>
      </c>
      <c r="M213" s="44"/>
      <c r="N213" s="45" t="str">
        <f>_xlfn.IFNA(IF(VLOOKUP(tabPontoPed[[#This Row],[CÓDIGO]],Excluir_do_Estoque!$A$4:$A$4004,1,FALSE),"sim",""),"")</f>
        <v/>
      </c>
      <c r="O213" s="10" t="str">
        <f t="shared" si="3"/>
        <v>*</v>
      </c>
    </row>
    <row r="214" spans="1:15" x14ac:dyDescent="0.25">
      <c r="A214" s="2">
        <v>20576</v>
      </c>
      <c r="B214" s="4" t="s">
        <v>849</v>
      </c>
      <c r="C214" s="41" t="s">
        <v>1345</v>
      </c>
      <c r="D214" s="42">
        <v>67</v>
      </c>
      <c r="E214" s="43">
        <v>7</v>
      </c>
      <c r="F214" s="50" t="str">
        <f>VLOOKUP(tabPontoPed[[#This Row],[GRUPO]],tabGrupos[#Data],2,FALSE)</f>
        <v>PARAFUSOS ELEM. VEDACAO UNIAO CONEX . FIXACAO</v>
      </c>
      <c r="G214" s="42" t="str">
        <f>VLOOKUP(tabPontoPed[[#This Row],[GRUPO]],tabGrupos[#Data],3,FALSE)</f>
        <v>MSE</v>
      </c>
      <c r="H214" s="41" t="s">
        <v>1339</v>
      </c>
      <c r="I214" s="9">
        <v>4</v>
      </c>
      <c r="J214" s="51">
        <v>200</v>
      </c>
      <c r="K214" s="7">
        <f>tabPontoPed[[#This Row],[QTDMÊS]] * tabPontoPed[[#This Row],[MENSAL]]</f>
        <v>800</v>
      </c>
      <c r="L214" s="13" t="s">
        <v>1012</v>
      </c>
      <c r="M214" s="44"/>
      <c r="N214" s="45" t="str">
        <f>_xlfn.IFNA(IF(VLOOKUP(tabPontoPed[[#This Row],[CÓDIGO]],Excluir_do_Estoque!$A$4:$A$4004,1,FALSE),"sim",""),"")</f>
        <v/>
      </c>
      <c r="O214" s="10" t="str">
        <f t="shared" si="3"/>
        <v>*</v>
      </c>
    </row>
    <row r="215" spans="1:15" x14ac:dyDescent="0.25">
      <c r="A215" s="2">
        <v>20583</v>
      </c>
      <c r="B215" s="4" t="s">
        <v>850</v>
      </c>
      <c r="C215" s="41" t="s">
        <v>1345</v>
      </c>
      <c r="D215" s="42">
        <v>67</v>
      </c>
      <c r="E215" s="43">
        <v>7</v>
      </c>
      <c r="F215" s="50" t="str">
        <f>VLOOKUP(tabPontoPed[[#This Row],[GRUPO]],tabGrupos[#Data],2,FALSE)</f>
        <v>PARAFUSOS ELEM. VEDACAO UNIAO CONEX . FIXACAO</v>
      </c>
      <c r="G215" s="42" t="str">
        <f>VLOOKUP(tabPontoPed[[#This Row],[GRUPO]],tabGrupos[#Data],3,FALSE)</f>
        <v>MSE</v>
      </c>
      <c r="H215" s="41" t="s">
        <v>1339</v>
      </c>
      <c r="I215" s="9">
        <v>4</v>
      </c>
      <c r="J215" s="51">
        <v>535</v>
      </c>
      <c r="K215" s="7">
        <f>tabPontoPed[[#This Row],[QTDMÊS]] * tabPontoPed[[#This Row],[MENSAL]]</f>
        <v>2140</v>
      </c>
      <c r="L215" s="13" t="s">
        <v>1012</v>
      </c>
      <c r="M215" s="44"/>
      <c r="N215" s="45" t="str">
        <f>_xlfn.IFNA(IF(VLOOKUP(tabPontoPed[[#This Row],[CÓDIGO]],Excluir_do_Estoque!$A$4:$A$4004,1,FALSE),"sim",""),"")</f>
        <v/>
      </c>
      <c r="O215" s="10" t="str">
        <f t="shared" si="3"/>
        <v>*</v>
      </c>
    </row>
    <row r="216" spans="1:15" x14ac:dyDescent="0.25">
      <c r="A216" s="2">
        <v>20584</v>
      </c>
      <c r="B216" s="4" t="s">
        <v>851</v>
      </c>
      <c r="C216" s="41" t="s">
        <v>1345</v>
      </c>
      <c r="D216" s="42">
        <v>67</v>
      </c>
      <c r="E216" s="43">
        <v>7</v>
      </c>
      <c r="F216" s="50" t="str">
        <f>VLOOKUP(tabPontoPed[[#This Row],[GRUPO]],tabGrupos[#Data],2,FALSE)</f>
        <v>PARAFUSOS ELEM. VEDACAO UNIAO CONEX . FIXACAO</v>
      </c>
      <c r="G216" s="42" t="str">
        <f>VLOOKUP(tabPontoPed[[#This Row],[GRUPO]],tabGrupos[#Data],3,FALSE)</f>
        <v>MSE</v>
      </c>
      <c r="H216" s="41" t="s">
        <v>1339</v>
      </c>
      <c r="I216" s="9">
        <v>4</v>
      </c>
      <c r="J216" s="51">
        <v>513</v>
      </c>
      <c r="K216" s="7">
        <f>tabPontoPed[[#This Row],[QTDMÊS]] * tabPontoPed[[#This Row],[MENSAL]]</f>
        <v>2052</v>
      </c>
      <c r="L216" s="13" t="s">
        <v>1012</v>
      </c>
      <c r="M216" s="44"/>
      <c r="N216" s="45" t="str">
        <f>_xlfn.IFNA(IF(VLOOKUP(tabPontoPed[[#This Row],[CÓDIGO]],Excluir_do_Estoque!$A$4:$A$4004,1,FALSE),"sim",""),"")</f>
        <v/>
      </c>
      <c r="O216" s="10" t="str">
        <f t="shared" si="3"/>
        <v>*</v>
      </c>
    </row>
    <row r="217" spans="1:15" x14ac:dyDescent="0.25">
      <c r="A217" s="2">
        <v>20760</v>
      </c>
      <c r="B217" s="4" t="s">
        <v>180</v>
      </c>
      <c r="C217" s="41" t="s">
        <v>1345</v>
      </c>
      <c r="D217" s="42">
        <v>76</v>
      </c>
      <c r="E217" s="43">
        <v>5</v>
      </c>
      <c r="F217" s="50" t="str">
        <f>VLOOKUP(tabPontoPed[[#This Row],[GRUPO]],tabGrupos[#Data],2,FALSE)</f>
        <v>EQUIP. E MATERIAIS P/PINTURAS E IMPERMEABILIZACAO</v>
      </c>
      <c r="G217" s="42" t="str">
        <f>VLOOKUP(tabPontoPed[[#This Row],[GRUPO]],tabGrupos[#Data],3,FALSE)</f>
        <v>MPI</v>
      </c>
      <c r="H217" s="41" t="s">
        <v>1339</v>
      </c>
      <c r="I217" s="9">
        <v>4</v>
      </c>
      <c r="J217" s="51">
        <v>13</v>
      </c>
      <c r="K217" s="7">
        <f>tabPontoPed[[#This Row],[QTDMÊS]] * tabPontoPed[[#This Row],[MENSAL]]</f>
        <v>52</v>
      </c>
      <c r="L217" s="13" t="s">
        <v>1012</v>
      </c>
      <c r="M217" s="44"/>
      <c r="N217" s="45" t="str">
        <f>_xlfn.IFNA(IF(VLOOKUP(tabPontoPed[[#This Row],[CÓDIGO]],Excluir_do_Estoque!$A$4:$A$4004,1,FALSE),"sim",""),"")</f>
        <v/>
      </c>
      <c r="O217" s="10" t="str">
        <f t="shared" si="3"/>
        <v>*</v>
      </c>
    </row>
    <row r="218" spans="1:15" x14ac:dyDescent="0.25">
      <c r="A218" s="2">
        <v>20763</v>
      </c>
      <c r="B218" s="4" t="s">
        <v>181</v>
      </c>
      <c r="C218" s="41" t="s">
        <v>1345</v>
      </c>
      <c r="D218" s="42">
        <v>76</v>
      </c>
      <c r="E218" s="43">
        <v>5</v>
      </c>
      <c r="F218" s="50" t="str">
        <f>VLOOKUP(tabPontoPed[[#This Row],[GRUPO]],tabGrupos[#Data],2,FALSE)</f>
        <v>EQUIP. E MATERIAIS P/PINTURAS E IMPERMEABILIZACAO</v>
      </c>
      <c r="G218" s="42" t="str">
        <f>VLOOKUP(tabPontoPed[[#This Row],[GRUPO]],tabGrupos[#Data],3,FALSE)</f>
        <v>MPI</v>
      </c>
      <c r="H218" s="41" t="s">
        <v>1339</v>
      </c>
      <c r="I218" s="9">
        <v>4</v>
      </c>
      <c r="J218" s="51">
        <v>9</v>
      </c>
      <c r="K218" s="7">
        <f>tabPontoPed[[#This Row],[QTDMÊS]] * tabPontoPed[[#This Row],[MENSAL]]</f>
        <v>36</v>
      </c>
      <c r="L218" s="13" t="s">
        <v>1012</v>
      </c>
      <c r="M218" s="44"/>
      <c r="N218" s="45" t="str">
        <f>_xlfn.IFNA(IF(VLOOKUP(tabPontoPed[[#This Row],[CÓDIGO]],Excluir_do_Estoque!$A$4:$A$4004,1,FALSE),"sim",""),"")</f>
        <v/>
      </c>
      <c r="O218" s="10" t="str">
        <f t="shared" si="3"/>
        <v>*</v>
      </c>
    </row>
    <row r="219" spans="1:15" x14ac:dyDescent="0.25">
      <c r="A219" s="2">
        <v>23581</v>
      </c>
      <c r="B219" s="4" t="s">
        <v>443</v>
      </c>
      <c r="C219" s="41" t="s">
        <v>1345</v>
      </c>
      <c r="D219" s="42">
        <v>45</v>
      </c>
      <c r="E219" s="43">
        <v>11</v>
      </c>
      <c r="F219" s="50" t="str">
        <f>VLOOKUP(tabPontoPed[[#This Row],[GRUPO]],tabGrupos[#Data],2,FALSE)</f>
        <v>MAQ., EQUIP., COMP., ACES., MAT. PARA ESCRIT.E ESCOLAR</v>
      </c>
      <c r="G219" s="42" t="str">
        <f>VLOOKUP(tabPontoPed[[#This Row],[GRUPO]],tabGrupos[#Data],3,FALSE)</f>
        <v>EDU</v>
      </c>
      <c r="H219" s="41" t="s">
        <v>1339</v>
      </c>
      <c r="I219" s="9">
        <v>4</v>
      </c>
      <c r="J219" s="51">
        <v>921</v>
      </c>
      <c r="K219" s="7">
        <f>tabPontoPed[[#This Row],[QTDMÊS]] * tabPontoPed[[#This Row],[MENSAL]]</f>
        <v>3684</v>
      </c>
      <c r="L219" s="13" t="s">
        <v>1012</v>
      </c>
      <c r="M219" s="44"/>
      <c r="N219" s="45" t="str">
        <f>_xlfn.IFNA(IF(VLOOKUP(tabPontoPed[[#This Row],[CÓDIGO]],Excluir_do_Estoque!$A$4:$A$4004,1,FALSE),"sim",""),"")</f>
        <v/>
      </c>
      <c r="O219" s="10" t="str">
        <f t="shared" si="3"/>
        <v>*</v>
      </c>
    </row>
    <row r="220" spans="1:15" x14ac:dyDescent="0.25">
      <c r="A220" s="2">
        <v>23607</v>
      </c>
      <c r="B220" s="4" t="s">
        <v>509</v>
      </c>
      <c r="C220" s="41" t="s">
        <v>1345</v>
      </c>
      <c r="D220" s="42">
        <v>51</v>
      </c>
      <c r="E220" s="43">
        <v>11</v>
      </c>
      <c r="F220" s="50" t="str">
        <f>VLOOKUP(tabPontoPed[[#This Row],[GRUPO]],tabGrupos[#Data],2,FALSE)</f>
        <v>MAT.E EQUIP. P/ CONSTR.CIVIL E CONSERV. DE VIAS PUBL.</v>
      </c>
      <c r="G220" s="42" t="str">
        <f>VLOOKUP(tabPontoPed[[#This Row],[GRUPO]],tabGrupos[#Data],3,FALSE)</f>
        <v>MCO</v>
      </c>
      <c r="H220" s="41" t="s">
        <v>1339</v>
      </c>
      <c r="I220" s="9">
        <v>4</v>
      </c>
      <c r="J220" s="51">
        <v>0</v>
      </c>
      <c r="K220" s="7">
        <f>tabPontoPed[[#This Row],[QTDMÊS]] * tabPontoPed[[#This Row],[MENSAL]]</f>
        <v>0</v>
      </c>
      <c r="L220" s="13" t="s">
        <v>1012</v>
      </c>
      <c r="M220" s="44"/>
      <c r="N220" s="45" t="str">
        <f>_xlfn.IFNA(IF(VLOOKUP(tabPontoPed[[#This Row],[CÓDIGO]],Excluir_do_Estoque!$A$4:$A$4004,1,FALSE),"sim",""),"")</f>
        <v/>
      </c>
      <c r="O220" s="10" t="str">
        <f t="shared" si="3"/>
        <v>*</v>
      </c>
    </row>
    <row r="221" spans="1:15" x14ac:dyDescent="0.25">
      <c r="A221" s="2">
        <v>23676</v>
      </c>
      <c r="B221" s="4" t="s">
        <v>833</v>
      </c>
      <c r="C221" s="41" t="s">
        <v>1345</v>
      </c>
      <c r="D221" s="42">
        <v>67</v>
      </c>
      <c r="E221" s="43">
        <v>5</v>
      </c>
      <c r="F221" s="50" t="str">
        <f>VLOOKUP(tabPontoPed[[#This Row],[GRUPO]],tabGrupos[#Data],2,FALSE)</f>
        <v>PARAFUSOS ELEM. VEDACAO UNIAO CONEX . FIXACAO</v>
      </c>
      <c r="G221" s="42" t="str">
        <f>VLOOKUP(tabPontoPed[[#This Row],[GRUPO]],tabGrupos[#Data],3,FALSE)</f>
        <v>MSE</v>
      </c>
      <c r="H221" s="41" t="s">
        <v>1339</v>
      </c>
      <c r="I221" s="9">
        <v>4</v>
      </c>
      <c r="J221" s="51">
        <v>155</v>
      </c>
      <c r="K221" s="7">
        <f>tabPontoPed[[#This Row],[QTDMÊS]] * tabPontoPed[[#This Row],[MENSAL]]</f>
        <v>620</v>
      </c>
      <c r="L221" s="13" t="s">
        <v>1012</v>
      </c>
      <c r="M221" s="44"/>
      <c r="N221" s="45" t="str">
        <f>_xlfn.IFNA(IF(VLOOKUP(tabPontoPed[[#This Row],[CÓDIGO]],Excluir_do_Estoque!$A$4:$A$4004,1,FALSE),"sim",""),"")</f>
        <v/>
      </c>
      <c r="O221" s="10" t="str">
        <f t="shared" si="3"/>
        <v>*</v>
      </c>
    </row>
    <row r="222" spans="1:15" x14ac:dyDescent="0.25">
      <c r="A222" s="2">
        <v>23687</v>
      </c>
      <c r="B222" s="4" t="s">
        <v>88</v>
      </c>
      <c r="C222" s="41" t="s">
        <v>1345</v>
      </c>
      <c r="D222" s="42">
        <v>57</v>
      </c>
      <c r="E222" s="43">
        <v>16</v>
      </c>
      <c r="F222" s="50" t="str">
        <f>VLOOKUP(tabPontoPed[[#This Row],[GRUPO]],tabGrupos[#Data],2,FALSE)</f>
        <v>MAQ. E EQUIP. P/ IND. GRAFICA COMP. ACESS. E PAPEI</v>
      </c>
      <c r="G222" s="42" t="str">
        <f>VLOOKUP(tabPontoPed[[#This Row],[GRUPO]],tabGrupos[#Data],3,FALSE)</f>
        <v>EDU</v>
      </c>
      <c r="H222" s="41" t="s">
        <v>1339</v>
      </c>
      <c r="I222" s="9">
        <v>4</v>
      </c>
      <c r="J222" s="51">
        <v>1317</v>
      </c>
      <c r="K222" s="7">
        <f>tabPontoPed[[#This Row],[QTDMÊS]] * tabPontoPed[[#This Row],[MENSAL]]</f>
        <v>5268</v>
      </c>
      <c r="L222" s="13" t="s">
        <v>1012</v>
      </c>
      <c r="M222" s="44"/>
      <c r="N222" s="45" t="str">
        <f>_xlfn.IFNA(IF(VLOOKUP(tabPontoPed[[#This Row],[CÓDIGO]],Excluir_do_Estoque!$A$4:$A$4004,1,FALSE),"sim",""),"")</f>
        <v/>
      </c>
      <c r="O222" s="10" t="str">
        <f t="shared" si="3"/>
        <v>*</v>
      </c>
    </row>
    <row r="223" spans="1:15" x14ac:dyDescent="0.25">
      <c r="A223" s="2">
        <v>23692</v>
      </c>
      <c r="B223" s="4" t="s">
        <v>89</v>
      </c>
      <c r="C223" s="41" t="s">
        <v>1345</v>
      </c>
      <c r="D223" s="42">
        <v>57</v>
      </c>
      <c r="E223" s="43">
        <v>16</v>
      </c>
      <c r="F223" s="50" t="str">
        <f>VLOOKUP(tabPontoPed[[#This Row],[GRUPO]],tabGrupos[#Data],2,FALSE)</f>
        <v>MAQ. E EQUIP. P/ IND. GRAFICA COMP. ACESS. E PAPEI</v>
      </c>
      <c r="G223" s="42" t="str">
        <f>VLOOKUP(tabPontoPed[[#This Row],[GRUPO]],tabGrupos[#Data],3,FALSE)</f>
        <v>EDU</v>
      </c>
      <c r="H223" s="41" t="s">
        <v>1339</v>
      </c>
      <c r="I223" s="9">
        <v>4</v>
      </c>
      <c r="J223" s="51">
        <v>1278</v>
      </c>
      <c r="K223" s="7">
        <f>tabPontoPed[[#This Row],[QTDMÊS]] * tabPontoPed[[#This Row],[MENSAL]]</f>
        <v>5112</v>
      </c>
      <c r="L223" s="13" t="s">
        <v>1012</v>
      </c>
      <c r="M223" s="44"/>
      <c r="N223" s="45" t="str">
        <f>_xlfn.IFNA(IF(VLOOKUP(tabPontoPed[[#This Row],[CÓDIGO]],Excluir_do_Estoque!$A$4:$A$4004,1,FALSE),"sim",""),"")</f>
        <v/>
      </c>
      <c r="O223" s="10" t="str">
        <f t="shared" si="3"/>
        <v>*</v>
      </c>
    </row>
    <row r="224" spans="1:15" x14ac:dyDescent="0.25">
      <c r="A224" s="2">
        <v>23778</v>
      </c>
      <c r="B224" s="4" t="s">
        <v>183</v>
      </c>
      <c r="C224" s="41" t="s">
        <v>1345</v>
      </c>
      <c r="D224" s="42">
        <v>76</v>
      </c>
      <c r="E224" s="43">
        <v>16</v>
      </c>
      <c r="F224" s="50" t="str">
        <f>VLOOKUP(tabPontoPed[[#This Row],[GRUPO]],tabGrupos[#Data],2,FALSE)</f>
        <v>EQUIP. E MATERIAIS P/PINTURAS E IMPERMEABILIZACAO</v>
      </c>
      <c r="G224" s="42" t="str">
        <f>VLOOKUP(tabPontoPed[[#This Row],[GRUPO]],tabGrupos[#Data],3,FALSE)</f>
        <v>MPI</v>
      </c>
      <c r="H224" s="41" t="s">
        <v>1339</v>
      </c>
      <c r="I224" s="9">
        <v>4</v>
      </c>
      <c r="J224" s="51">
        <v>13</v>
      </c>
      <c r="K224" s="7">
        <f>tabPontoPed[[#This Row],[QTDMÊS]] * tabPontoPed[[#This Row],[MENSAL]]</f>
        <v>52</v>
      </c>
      <c r="L224" s="13" t="s">
        <v>1012</v>
      </c>
      <c r="M224" s="44"/>
      <c r="N224" s="45" t="str">
        <f>_xlfn.IFNA(IF(VLOOKUP(tabPontoPed[[#This Row],[CÓDIGO]],Excluir_do_Estoque!$A$4:$A$4004,1,FALSE),"sim",""),"")</f>
        <v/>
      </c>
      <c r="O224" s="10" t="str">
        <f t="shared" si="3"/>
        <v>*</v>
      </c>
    </row>
    <row r="225" spans="1:15" x14ac:dyDescent="0.25">
      <c r="A225" s="2">
        <v>23846</v>
      </c>
      <c r="B225" s="4" t="s">
        <v>90</v>
      </c>
      <c r="C225" s="41" t="s">
        <v>1345</v>
      </c>
      <c r="D225" s="42">
        <v>57</v>
      </c>
      <c r="E225" s="43">
        <v>16</v>
      </c>
      <c r="F225" s="50" t="str">
        <f>VLOOKUP(tabPontoPed[[#This Row],[GRUPO]],tabGrupos[#Data],2,FALSE)</f>
        <v>MAQ. E EQUIP. P/ IND. GRAFICA COMP. ACESS. E PAPEI</v>
      </c>
      <c r="G225" s="42" t="str">
        <f>VLOOKUP(tabPontoPed[[#This Row],[GRUPO]],tabGrupos[#Data],3,FALSE)</f>
        <v>EDU</v>
      </c>
      <c r="H225" s="41" t="s">
        <v>1339</v>
      </c>
      <c r="I225" s="9">
        <v>4</v>
      </c>
      <c r="J225" s="51">
        <v>1621</v>
      </c>
      <c r="K225" s="7">
        <f>tabPontoPed[[#This Row],[QTDMÊS]] * tabPontoPed[[#This Row],[MENSAL]]</f>
        <v>6484</v>
      </c>
      <c r="L225" s="13" t="s">
        <v>1012</v>
      </c>
      <c r="M225" s="44"/>
      <c r="N225" s="45" t="str">
        <f>_xlfn.IFNA(IF(VLOOKUP(tabPontoPed[[#This Row],[CÓDIGO]],Excluir_do_Estoque!$A$4:$A$4004,1,FALSE),"sim",""),"")</f>
        <v/>
      </c>
      <c r="O225" s="10" t="str">
        <f t="shared" si="3"/>
        <v>*</v>
      </c>
    </row>
    <row r="226" spans="1:15" x14ac:dyDescent="0.25">
      <c r="A226" s="2">
        <v>23862</v>
      </c>
      <c r="B226" s="4" t="s">
        <v>84</v>
      </c>
      <c r="C226" s="41" t="s">
        <v>1345</v>
      </c>
      <c r="D226" s="42">
        <v>57</v>
      </c>
      <c r="E226" s="43">
        <v>16</v>
      </c>
      <c r="F226" s="50" t="str">
        <f>VLOOKUP(tabPontoPed[[#This Row],[GRUPO]],tabGrupos[#Data],2,FALSE)</f>
        <v>MAQ. E EQUIP. P/ IND. GRAFICA COMP. ACESS. E PAPEI</v>
      </c>
      <c r="G226" s="42" t="str">
        <f>VLOOKUP(tabPontoPed[[#This Row],[GRUPO]],tabGrupos[#Data],3,FALSE)</f>
        <v>EDU</v>
      </c>
      <c r="H226" s="41" t="s">
        <v>1339</v>
      </c>
      <c r="I226" s="9">
        <v>4</v>
      </c>
      <c r="J226" s="51">
        <v>1586</v>
      </c>
      <c r="K226" s="7">
        <f>tabPontoPed[[#This Row],[QTDMÊS]] * tabPontoPed[[#This Row],[MENSAL]]</f>
        <v>6344</v>
      </c>
      <c r="L226" s="13" t="s">
        <v>1012</v>
      </c>
      <c r="M226" s="44"/>
      <c r="N226" s="45" t="str">
        <f>_xlfn.IFNA(IF(VLOOKUP(tabPontoPed[[#This Row],[CÓDIGO]],Excluir_do_Estoque!$A$4:$A$4004,1,FALSE),"sim",""),"")</f>
        <v/>
      </c>
      <c r="O226" s="10" t="str">
        <f t="shared" si="3"/>
        <v>*</v>
      </c>
    </row>
    <row r="227" spans="1:15" x14ac:dyDescent="0.25">
      <c r="A227" s="2">
        <v>23875</v>
      </c>
      <c r="B227" s="4" t="s">
        <v>85</v>
      </c>
      <c r="C227" s="41" t="s">
        <v>1345</v>
      </c>
      <c r="D227" s="42">
        <v>57</v>
      </c>
      <c r="E227" s="43">
        <v>16</v>
      </c>
      <c r="F227" s="50" t="str">
        <f>VLOOKUP(tabPontoPed[[#This Row],[GRUPO]],tabGrupos[#Data],2,FALSE)</f>
        <v>MAQ. E EQUIP. P/ IND. GRAFICA COMP. ACESS. E PAPEI</v>
      </c>
      <c r="G227" s="42" t="str">
        <f>VLOOKUP(tabPontoPed[[#This Row],[GRUPO]],tabGrupos[#Data],3,FALSE)</f>
        <v>EDU</v>
      </c>
      <c r="H227" s="41" t="s">
        <v>1339</v>
      </c>
      <c r="I227" s="9">
        <v>4</v>
      </c>
      <c r="J227" s="51">
        <v>1639</v>
      </c>
      <c r="K227" s="7">
        <f>tabPontoPed[[#This Row],[QTDMÊS]] * tabPontoPed[[#This Row],[MENSAL]]</f>
        <v>6556</v>
      </c>
      <c r="L227" s="13" t="s">
        <v>1012</v>
      </c>
      <c r="M227" s="44"/>
      <c r="N227" s="45" t="str">
        <f>_xlfn.IFNA(IF(VLOOKUP(tabPontoPed[[#This Row],[CÓDIGO]],Excluir_do_Estoque!$A$4:$A$4004,1,FALSE),"sim",""),"")</f>
        <v/>
      </c>
      <c r="O227" s="10" t="str">
        <f t="shared" si="3"/>
        <v>*</v>
      </c>
    </row>
    <row r="228" spans="1:15" x14ac:dyDescent="0.25">
      <c r="A228" s="2">
        <v>23986</v>
      </c>
      <c r="B228" s="4" t="s">
        <v>51</v>
      </c>
      <c r="C228" s="41" t="s">
        <v>1345</v>
      </c>
      <c r="D228" s="42">
        <v>57</v>
      </c>
      <c r="E228" s="43">
        <v>2</v>
      </c>
      <c r="F228" s="50" t="str">
        <f>VLOOKUP(tabPontoPed[[#This Row],[GRUPO]],tabGrupos[#Data],2,FALSE)</f>
        <v>MAQ. E EQUIP. P/ IND. GRAFICA COMP. ACESS. E PAPEI</v>
      </c>
      <c r="G228" s="42" t="str">
        <f>VLOOKUP(tabPontoPed[[#This Row],[GRUPO]],tabGrupos[#Data],3,FALSE)</f>
        <v>EDU</v>
      </c>
      <c r="H228" s="41" t="s">
        <v>1339</v>
      </c>
      <c r="I228" s="9">
        <v>4</v>
      </c>
      <c r="J228" s="51">
        <v>726</v>
      </c>
      <c r="K228" s="7">
        <f>tabPontoPed[[#This Row],[QTDMÊS]] * tabPontoPed[[#This Row],[MENSAL]]</f>
        <v>2904</v>
      </c>
      <c r="L228" s="13" t="s">
        <v>1012</v>
      </c>
      <c r="M228" s="44"/>
      <c r="N228" s="45" t="str">
        <f>_xlfn.IFNA(IF(VLOOKUP(tabPontoPed[[#This Row],[CÓDIGO]],Excluir_do_Estoque!$A$4:$A$4004,1,FALSE),"sim",""),"")</f>
        <v/>
      </c>
      <c r="O228" s="10" t="str">
        <f t="shared" si="3"/>
        <v>*</v>
      </c>
    </row>
    <row r="229" spans="1:15" x14ac:dyDescent="0.25">
      <c r="A229" s="2">
        <v>23989</v>
      </c>
      <c r="B229" s="4" t="s">
        <v>52</v>
      </c>
      <c r="C229" s="41" t="s">
        <v>1345</v>
      </c>
      <c r="D229" s="42">
        <v>57</v>
      </c>
      <c r="E229" s="43">
        <v>2</v>
      </c>
      <c r="F229" s="50" t="str">
        <f>VLOOKUP(tabPontoPed[[#This Row],[GRUPO]],tabGrupos[#Data],2,FALSE)</f>
        <v>MAQ. E EQUIP. P/ IND. GRAFICA COMP. ACESS. E PAPEI</v>
      </c>
      <c r="G229" s="42" t="str">
        <f>VLOOKUP(tabPontoPed[[#This Row],[GRUPO]],tabGrupos[#Data],3,FALSE)</f>
        <v>EDU</v>
      </c>
      <c r="H229" s="41" t="s">
        <v>1339</v>
      </c>
      <c r="I229" s="9">
        <v>4</v>
      </c>
      <c r="J229" s="51">
        <v>665</v>
      </c>
      <c r="K229" s="7">
        <f>tabPontoPed[[#This Row],[QTDMÊS]] * tabPontoPed[[#This Row],[MENSAL]]</f>
        <v>2660</v>
      </c>
      <c r="L229" s="13" t="s">
        <v>1012</v>
      </c>
      <c r="M229" s="44"/>
      <c r="N229" s="45" t="str">
        <f>_xlfn.IFNA(IF(VLOOKUP(tabPontoPed[[#This Row],[CÓDIGO]],Excluir_do_Estoque!$A$4:$A$4004,1,FALSE),"sim",""),"")</f>
        <v/>
      </c>
      <c r="O229" s="10" t="str">
        <f t="shared" si="3"/>
        <v>*</v>
      </c>
    </row>
    <row r="230" spans="1:15" x14ac:dyDescent="0.25">
      <c r="A230" s="2">
        <v>23993</v>
      </c>
      <c r="B230" s="4" t="s">
        <v>53</v>
      </c>
      <c r="C230" s="41" t="s">
        <v>1345</v>
      </c>
      <c r="D230" s="42">
        <v>57</v>
      </c>
      <c r="E230" s="43">
        <v>2</v>
      </c>
      <c r="F230" s="50" t="str">
        <f>VLOOKUP(tabPontoPed[[#This Row],[GRUPO]],tabGrupos[#Data],2,FALSE)</f>
        <v>MAQ. E EQUIP. P/ IND. GRAFICA COMP. ACESS. E PAPEI</v>
      </c>
      <c r="G230" s="42" t="str">
        <f>VLOOKUP(tabPontoPed[[#This Row],[GRUPO]],tabGrupos[#Data],3,FALSE)</f>
        <v>EDU</v>
      </c>
      <c r="H230" s="41" t="s">
        <v>1339</v>
      </c>
      <c r="I230" s="9">
        <v>4</v>
      </c>
      <c r="J230" s="51">
        <v>569</v>
      </c>
      <c r="K230" s="7">
        <f>tabPontoPed[[#This Row],[QTDMÊS]] * tabPontoPed[[#This Row],[MENSAL]]</f>
        <v>2276</v>
      </c>
      <c r="L230" s="13" t="s">
        <v>1012</v>
      </c>
      <c r="M230" s="44"/>
      <c r="N230" s="45" t="str">
        <f>_xlfn.IFNA(IF(VLOOKUP(tabPontoPed[[#This Row],[CÓDIGO]],Excluir_do_Estoque!$A$4:$A$4004,1,FALSE),"sim",""),"")</f>
        <v/>
      </c>
      <c r="O230" s="10" t="str">
        <f t="shared" si="3"/>
        <v>*</v>
      </c>
    </row>
    <row r="231" spans="1:15" x14ac:dyDescent="0.25">
      <c r="A231" s="2">
        <v>23996</v>
      </c>
      <c r="B231" s="4" t="s">
        <v>54</v>
      </c>
      <c r="C231" s="41" t="s">
        <v>1345</v>
      </c>
      <c r="D231" s="42">
        <v>57</v>
      </c>
      <c r="E231" s="43">
        <v>2</v>
      </c>
      <c r="F231" s="50" t="str">
        <f>VLOOKUP(tabPontoPed[[#This Row],[GRUPO]],tabGrupos[#Data],2,FALSE)</f>
        <v>MAQ. E EQUIP. P/ IND. GRAFICA COMP. ACESS. E PAPEI</v>
      </c>
      <c r="G231" s="42" t="str">
        <f>VLOOKUP(tabPontoPed[[#This Row],[GRUPO]],tabGrupos[#Data],3,FALSE)</f>
        <v>EDU</v>
      </c>
      <c r="H231" s="41" t="s">
        <v>1339</v>
      </c>
      <c r="I231" s="9">
        <v>4</v>
      </c>
      <c r="J231" s="51">
        <v>697</v>
      </c>
      <c r="K231" s="7">
        <f>tabPontoPed[[#This Row],[QTDMÊS]] * tabPontoPed[[#This Row],[MENSAL]]</f>
        <v>2788</v>
      </c>
      <c r="L231" s="13" t="s">
        <v>1012</v>
      </c>
      <c r="M231" s="44"/>
      <c r="N231" s="45" t="str">
        <f>_xlfn.IFNA(IF(VLOOKUP(tabPontoPed[[#This Row],[CÓDIGO]],Excluir_do_Estoque!$A$4:$A$4004,1,FALSE),"sim",""),"")</f>
        <v/>
      </c>
      <c r="O231" s="10" t="str">
        <f t="shared" si="3"/>
        <v>*</v>
      </c>
    </row>
    <row r="232" spans="1:15" x14ac:dyDescent="0.25">
      <c r="A232" s="2">
        <v>24204</v>
      </c>
      <c r="B232" s="4" t="s">
        <v>154</v>
      </c>
      <c r="C232" s="41" t="s">
        <v>1345</v>
      </c>
      <c r="D232" s="42">
        <v>76</v>
      </c>
      <c r="E232" s="43">
        <v>11</v>
      </c>
      <c r="F232" s="50" t="str">
        <f>VLOOKUP(tabPontoPed[[#This Row],[GRUPO]],tabGrupos[#Data],2,FALSE)</f>
        <v>EQUIP. E MATERIAIS P/PINTURAS E IMPERMEABILIZACAO</v>
      </c>
      <c r="G232" s="42" t="str">
        <f>VLOOKUP(tabPontoPed[[#This Row],[GRUPO]],tabGrupos[#Data],3,FALSE)</f>
        <v>MPI</v>
      </c>
      <c r="H232" s="41" t="s">
        <v>1339</v>
      </c>
      <c r="I232" s="9">
        <v>4</v>
      </c>
      <c r="J232" s="51">
        <v>29</v>
      </c>
      <c r="K232" s="7">
        <f>tabPontoPed[[#This Row],[QTDMÊS]] * tabPontoPed[[#This Row],[MENSAL]]</f>
        <v>116</v>
      </c>
      <c r="L232" s="13" t="s">
        <v>1012</v>
      </c>
      <c r="M232" s="44"/>
      <c r="N232" s="45" t="str">
        <f>_xlfn.IFNA(IF(VLOOKUP(tabPontoPed[[#This Row],[CÓDIGO]],Excluir_do_Estoque!$A$4:$A$4004,1,FALSE),"sim",""),"")</f>
        <v/>
      </c>
      <c r="O232" s="10" t="str">
        <f t="shared" si="3"/>
        <v>*</v>
      </c>
    </row>
    <row r="233" spans="1:15" x14ac:dyDescent="0.25">
      <c r="A233" s="2">
        <v>24205</v>
      </c>
      <c r="B233" s="4" t="s">
        <v>966</v>
      </c>
      <c r="C233" s="41" t="s">
        <v>1345</v>
      </c>
      <c r="D233" s="42">
        <v>76</v>
      </c>
      <c r="E233" s="43">
        <v>11</v>
      </c>
      <c r="F233" s="50" t="str">
        <f>VLOOKUP(tabPontoPed[[#This Row],[GRUPO]],tabGrupos[#Data],2,FALSE)</f>
        <v>EQUIP. E MATERIAIS P/PINTURAS E IMPERMEABILIZACAO</v>
      </c>
      <c r="G233" s="42" t="str">
        <f>VLOOKUP(tabPontoPed[[#This Row],[GRUPO]],tabGrupos[#Data],3,FALSE)</f>
        <v>MPI</v>
      </c>
      <c r="H233" s="41" t="s">
        <v>1339</v>
      </c>
      <c r="I233" s="9">
        <v>4</v>
      </c>
      <c r="J233" s="51">
        <v>44</v>
      </c>
      <c r="K233" s="7">
        <f>tabPontoPed[[#This Row],[QTDMÊS]] * tabPontoPed[[#This Row],[MENSAL]]</f>
        <v>176</v>
      </c>
      <c r="L233" s="13" t="s">
        <v>1012</v>
      </c>
      <c r="M233" s="44"/>
      <c r="N233" s="45" t="str">
        <f>_xlfn.IFNA(IF(VLOOKUP(tabPontoPed[[#This Row],[CÓDIGO]],Excluir_do_Estoque!$A$4:$A$4004,1,FALSE),"sim",""),"")</f>
        <v/>
      </c>
      <c r="O233" s="10" t="str">
        <f t="shared" si="3"/>
        <v>*</v>
      </c>
    </row>
    <row r="234" spans="1:15" x14ac:dyDescent="0.25">
      <c r="A234" s="2">
        <v>24219</v>
      </c>
      <c r="B234" s="4" t="s">
        <v>978</v>
      </c>
      <c r="C234" s="41" t="s">
        <v>1345</v>
      </c>
      <c r="D234" s="42">
        <v>79</v>
      </c>
      <c r="E234" s="43">
        <v>6</v>
      </c>
      <c r="F234" s="50" t="str">
        <f>VLOOKUP(tabPontoPed[[#This Row],[GRUPO]],tabGrupos[#Data],2,FALSE)</f>
        <v>ART. DOMEST. DECO. GUARNI. DE AMBI.TECI. VEICULOS</v>
      </c>
      <c r="G234" s="42" t="str">
        <f>VLOOKUP(tabPontoPed[[#This Row],[GRUPO]],tabGrupos[#Data],3,FALSE)</f>
        <v>ADM</v>
      </c>
      <c r="H234" s="41" t="s">
        <v>1339</v>
      </c>
      <c r="I234" s="9">
        <v>4</v>
      </c>
      <c r="J234" s="51">
        <v>29</v>
      </c>
      <c r="K234" s="7">
        <f>tabPontoPed[[#This Row],[QTDMÊS]] * tabPontoPed[[#This Row],[MENSAL]]</f>
        <v>116</v>
      </c>
      <c r="L234" s="13" t="s">
        <v>1012</v>
      </c>
      <c r="M234" s="44"/>
      <c r="N234" s="45" t="str">
        <f>_xlfn.IFNA(IF(VLOOKUP(tabPontoPed[[#This Row],[CÓDIGO]],Excluir_do_Estoque!$A$4:$A$4004,1,FALSE),"sim",""),"")</f>
        <v/>
      </c>
      <c r="O234" s="10" t="str">
        <f t="shared" si="3"/>
        <v>*</v>
      </c>
    </row>
    <row r="235" spans="1:15" x14ac:dyDescent="0.25">
      <c r="A235" s="2">
        <v>24371</v>
      </c>
      <c r="B235" s="4" t="s">
        <v>249</v>
      </c>
      <c r="C235" s="41" t="s">
        <v>1345</v>
      </c>
      <c r="D235" s="42">
        <v>51</v>
      </c>
      <c r="E235" s="43">
        <v>7</v>
      </c>
      <c r="F235" s="50" t="str">
        <f>VLOOKUP(tabPontoPed[[#This Row],[GRUPO]],tabGrupos[#Data],2,FALSE)</f>
        <v>MAT.E EQUIP. P/ CONSTR.CIVIL E CONSERV. DE VIAS PUBL.</v>
      </c>
      <c r="G235" s="42" t="str">
        <f>VLOOKUP(tabPontoPed[[#This Row],[GRUPO]],tabGrupos[#Data],3,FALSE)</f>
        <v>MCO</v>
      </c>
      <c r="H235" s="41" t="s">
        <v>1339</v>
      </c>
      <c r="I235" s="9">
        <v>4</v>
      </c>
      <c r="J235" s="51">
        <v>1430</v>
      </c>
      <c r="K235" s="7">
        <f>tabPontoPed[[#This Row],[QTDMÊS]] * tabPontoPed[[#This Row],[MENSAL]]</f>
        <v>5720</v>
      </c>
      <c r="L235" s="13" t="s">
        <v>1012</v>
      </c>
      <c r="M235" s="44"/>
      <c r="N235" s="45" t="str">
        <f>_xlfn.IFNA(IF(VLOOKUP(tabPontoPed[[#This Row],[CÓDIGO]],Excluir_do_Estoque!$A$4:$A$4004,1,FALSE),"sim",""),"")</f>
        <v/>
      </c>
      <c r="O235" s="10" t="str">
        <f t="shared" si="3"/>
        <v>*</v>
      </c>
    </row>
    <row r="236" spans="1:15" x14ac:dyDescent="0.25">
      <c r="A236" s="2">
        <v>24476</v>
      </c>
      <c r="B236" s="4" t="s">
        <v>55</v>
      </c>
      <c r="C236" s="41" t="s">
        <v>1345</v>
      </c>
      <c r="D236" s="42">
        <v>57</v>
      </c>
      <c r="E236" s="43">
        <v>2</v>
      </c>
      <c r="F236" s="50" t="str">
        <f>VLOOKUP(tabPontoPed[[#This Row],[GRUPO]],tabGrupos[#Data],2,FALSE)</f>
        <v>MAQ. E EQUIP. P/ IND. GRAFICA COMP. ACESS. E PAPEI</v>
      </c>
      <c r="G236" s="42" t="str">
        <f>VLOOKUP(tabPontoPed[[#This Row],[GRUPO]],tabGrupos[#Data],3,FALSE)</f>
        <v>EDU</v>
      </c>
      <c r="H236" s="41" t="s">
        <v>1339</v>
      </c>
      <c r="I236" s="9">
        <v>4</v>
      </c>
      <c r="J236" s="51">
        <v>712</v>
      </c>
      <c r="K236" s="7">
        <f>tabPontoPed[[#This Row],[QTDMÊS]] * tabPontoPed[[#This Row],[MENSAL]]</f>
        <v>2848</v>
      </c>
      <c r="L236" s="13" t="s">
        <v>1012</v>
      </c>
      <c r="M236" s="44"/>
      <c r="N236" s="45" t="str">
        <f>_xlfn.IFNA(IF(VLOOKUP(tabPontoPed[[#This Row],[CÓDIGO]],Excluir_do_Estoque!$A$4:$A$4004,1,FALSE),"sim",""),"")</f>
        <v/>
      </c>
      <c r="O236" s="10" t="str">
        <f t="shared" si="3"/>
        <v>*</v>
      </c>
    </row>
    <row r="237" spans="1:15" x14ac:dyDescent="0.25">
      <c r="A237" s="2">
        <v>24477</v>
      </c>
      <c r="B237" s="4" t="s">
        <v>56</v>
      </c>
      <c r="C237" s="41" t="s">
        <v>1345</v>
      </c>
      <c r="D237" s="42">
        <v>57</v>
      </c>
      <c r="E237" s="43">
        <v>2</v>
      </c>
      <c r="F237" s="50" t="str">
        <f>VLOOKUP(tabPontoPed[[#This Row],[GRUPO]],tabGrupos[#Data],2,FALSE)</f>
        <v>MAQ. E EQUIP. P/ IND. GRAFICA COMP. ACESS. E PAPEI</v>
      </c>
      <c r="G237" s="42" t="str">
        <f>VLOOKUP(tabPontoPed[[#This Row],[GRUPO]],tabGrupos[#Data],3,FALSE)</f>
        <v>EDU</v>
      </c>
      <c r="H237" s="41" t="s">
        <v>1339</v>
      </c>
      <c r="I237" s="9">
        <v>4</v>
      </c>
      <c r="J237" s="51">
        <v>724</v>
      </c>
      <c r="K237" s="7">
        <f>tabPontoPed[[#This Row],[QTDMÊS]] * tabPontoPed[[#This Row],[MENSAL]]</f>
        <v>2896</v>
      </c>
      <c r="L237" s="13" t="s">
        <v>1012</v>
      </c>
      <c r="M237" s="44"/>
      <c r="N237" s="45" t="str">
        <f>_xlfn.IFNA(IF(VLOOKUP(tabPontoPed[[#This Row],[CÓDIGO]],Excluir_do_Estoque!$A$4:$A$4004,1,FALSE),"sim",""),"")</f>
        <v/>
      </c>
      <c r="O237" s="10" t="str">
        <f t="shared" si="3"/>
        <v>*</v>
      </c>
    </row>
    <row r="238" spans="1:15" x14ac:dyDescent="0.25">
      <c r="A238" s="2">
        <v>24500</v>
      </c>
      <c r="B238" s="4" t="s">
        <v>314</v>
      </c>
      <c r="C238" s="41" t="s">
        <v>1345</v>
      </c>
      <c r="D238" s="42">
        <v>61</v>
      </c>
      <c r="E238" s="43">
        <v>14</v>
      </c>
      <c r="F238" s="50" t="str">
        <f>VLOOKUP(tabPontoPed[[#This Row],[GRUPO]],tabGrupos[#Data],2,FALSE)</f>
        <v>MATERIAL HIDRAULICO, CANOS, TUBOS, MANGUEIRAS, CONEXOES E ACESS.</v>
      </c>
      <c r="G238" s="42" t="str">
        <f>VLOOKUP(tabPontoPed[[#This Row],[GRUPO]],tabGrupos[#Data],3,FALSE)</f>
        <v>MHI</v>
      </c>
      <c r="H238" s="41" t="s">
        <v>1339</v>
      </c>
      <c r="I238" s="9">
        <v>4</v>
      </c>
      <c r="J238" s="51">
        <v>23</v>
      </c>
      <c r="K238" s="7">
        <f>tabPontoPed[[#This Row],[QTDMÊS]] * tabPontoPed[[#This Row],[MENSAL]]</f>
        <v>92</v>
      </c>
      <c r="L238" s="13" t="s">
        <v>1012</v>
      </c>
      <c r="M238" s="44"/>
      <c r="N238" s="45" t="str">
        <f>_xlfn.IFNA(IF(VLOOKUP(tabPontoPed[[#This Row],[CÓDIGO]],Excluir_do_Estoque!$A$4:$A$4004,1,FALSE),"sim",""),"")</f>
        <v/>
      </c>
      <c r="O238" s="10" t="str">
        <f t="shared" si="3"/>
        <v>*</v>
      </c>
    </row>
    <row r="239" spans="1:15" x14ac:dyDescent="0.25">
      <c r="A239" s="2">
        <v>24551</v>
      </c>
      <c r="B239" s="4" t="s">
        <v>985</v>
      </c>
      <c r="C239" s="41" t="s">
        <v>1345</v>
      </c>
      <c r="D239" s="42">
        <v>83</v>
      </c>
      <c r="E239" s="43">
        <v>3</v>
      </c>
      <c r="F239" s="50" t="str">
        <f>VLOOKUP(tabPontoPed[[#This Row],[GRUPO]],tabGrupos[#Data],2,FALSE)</f>
        <v>ABRASIVOS</v>
      </c>
      <c r="G239" s="42" t="str">
        <f>VLOOKUP(tabPontoPed[[#This Row],[GRUPO]],tabGrupos[#Data],3,FALSE)</f>
        <v>MAN</v>
      </c>
      <c r="H239" s="41" t="s">
        <v>1339</v>
      </c>
      <c r="I239" s="9">
        <v>4</v>
      </c>
      <c r="J239" s="51">
        <v>0</v>
      </c>
      <c r="K239" s="7">
        <f>tabPontoPed[[#This Row],[QTDMÊS]] * tabPontoPed[[#This Row],[MENSAL]]</f>
        <v>0</v>
      </c>
      <c r="L239" s="13" t="s">
        <v>1012</v>
      </c>
      <c r="M239" s="44"/>
      <c r="N239" s="45" t="str">
        <f>_xlfn.IFNA(IF(VLOOKUP(tabPontoPed[[#This Row],[CÓDIGO]],Excluir_do_Estoque!$A$4:$A$4004,1,FALSE),"sim",""),"")</f>
        <v/>
      </c>
      <c r="O239" s="10" t="str">
        <f t="shared" si="3"/>
        <v>*</v>
      </c>
    </row>
    <row r="240" spans="1:15" x14ac:dyDescent="0.25">
      <c r="A240" s="2">
        <v>24888</v>
      </c>
      <c r="B240" s="4" t="s">
        <v>844</v>
      </c>
      <c r="C240" s="41" t="s">
        <v>1345</v>
      </c>
      <c r="D240" s="42">
        <v>67</v>
      </c>
      <c r="E240" s="43">
        <v>6</v>
      </c>
      <c r="F240" s="50" t="str">
        <f>VLOOKUP(tabPontoPed[[#This Row],[GRUPO]],tabGrupos[#Data],2,FALSE)</f>
        <v>PARAFUSOS ELEM. VEDACAO UNIAO CONEX . FIXACAO</v>
      </c>
      <c r="G240" s="42" t="str">
        <f>VLOOKUP(tabPontoPed[[#This Row],[GRUPO]],tabGrupos[#Data],3,FALSE)</f>
        <v>MSE</v>
      </c>
      <c r="H240" s="41" t="s">
        <v>1339</v>
      </c>
      <c r="I240" s="9">
        <v>4</v>
      </c>
      <c r="J240" s="51">
        <v>1</v>
      </c>
      <c r="K240" s="7">
        <f>tabPontoPed[[#This Row],[QTDMÊS]] * tabPontoPed[[#This Row],[MENSAL]]</f>
        <v>4</v>
      </c>
      <c r="L240" s="13" t="s">
        <v>1012</v>
      </c>
      <c r="M240" s="44"/>
      <c r="N240" s="45" t="str">
        <f>_xlfn.IFNA(IF(VLOOKUP(tabPontoPed[[#This Row],[CÓDIGO]],Excluir_do_Estoque!$A$4:$A$4004,1,FALSE),"sim",""),"")</f>
        <v/>
      </c>
      <c r="O240" s="10" t="str">
        <f t="shared" si="3"/>
        <v>*</v>
      </c>
    </row>
    <row r="241" spans="1:15" x14ac:dyDescent="0.25">
      <c r="A241" s="2">
        <v>25523</v>
      </c>
      <c r="B241" s="4" t="s">
        <v>288</v>
      </c>
      <c r="C241" s="41" t="s">
        <v>1345</v>
      </c>
      <c r="D241" s="42">
        <v>61</v>
      </c>
      <c r="E241" s="43">
        <v>8</v>
      </c>
      <c r="F241" s="50" t="str">
        <f>VLOOKUP(tabPontoPed[[#This Row],[GRUPO]],tabGrupos[#Data],2,FALSE)</f>
        <v>MATERIAL HIDRAULICO, CANOS, TUBOS, MANGUEIRAS, CONEXOES E ACESS.</v>
      </c>
      <c r="G241" s="42" t="str">
        <f>VLOOKUP(tabPontoPed[[#This Row],[GRUPO]],tabGrupos[#Data],3,FALSE)</f>
        <v>MHI</v>
      </c>
      <c r="H241" s="41" t="s">
        <v>1339</v>
      </c>
      <c r="I241" s="9">
        <v>4</v>
      </c>
      <c r="J241" s="51">
        <v>13</v>
      </c>
      <c r="K241" s="7">
        <f>tabPontoPed[[#This Row],[QTDMÊS]] * tabPontoPed[[#This Row],[MENSAL]]</f>
        <v>52</v>
      </c>
      <c r="L241" s="13" t="s">
        <v>1012</v>
      </c>
      <c r="M241" s="44"/>
      <c r="N241" s="45" t="str">
        <f>_xlfn.IFNA(IF(VLOOKUP(tabPontoPed[[#This Row],[CÓDIGO]],Excluir_do_Estoque!$A$4:$A$4004,1,FALSE),"sim",""),"")</f>
        <v/>
      </c>
      <c r="O241" s="10" t="str">
        <f t="shared" si="3"/>
        <v>*</v>
      </c>
    </row>
    <row r="242" spans="1:15" x14ac:dyDescent="0.25">
      <c r="A242" s="2">
        <v>25559</v>
      </c>
      <c r="B242" s="4" t="s">
        <v>57</v>
      </c>
      <c r="C242" s="41" t="s">
        <v>1345</v>
      </c>
      <c r="D242" s="42">
        <v>57</v>
      </c>
      <c r="E242" s="43">
        <v>2</v>
      </c>
      <c r="F242" s="50" t="str">
        <f>VLOOKUP(tabPontoPed[[#This Row],[GRUPO]],tabGrupos[#Data],2,FALSE)</f>
        <v>MAQ. E EQUIP. P/ IND. GRAFICA COMP. ACESS. E PAPEI</v>
      </c>
      <c r="G242" s="42" t="str">
        <f>VLOOKUP(tabPontoPed[[#This Row],[GRUPO]],tabGrupos[#Data],3,FALSE)</f>
        <v>EDU</v>
      </c>
      <c r="H242" s="41" t="s">
        <v>1339</v>
      </c>
      <c r="I242" s="9">
        <v>4</v>
      </c>
      <c r="J242" s="51">
        <v>875</v>
      </c>
      <c r="K242" s="7">
        <f>tabPontoPed[[#This Row],[QTDMÊS]] * tabPontoPed[[#This Row],[MENSAL]]</f>
        <v>3500</v>
      </c>
      <c r="L242" s="13" t="s">
        <v>1012</v>
      </c>
      <c r="M242" s="44"/>
      <c r="N242" s="45" t="str">
        <f>_xlfn.IFNA(IF(VLOOKUP(tabPontoPed[[#This Row],[CÓDIGO]],Excluir_do_Estoque!$A$4:$A$4004,1,FALSE),"sim",""),"")</f>
        <v/>
      </c>
      <c r="O242" s="10" t="str">
        <f t="shared" si="3"/>
        <v>*</v>
      </c>
    </row>
    <row r="243" spans="1:15" x14ac:dyDescent="0.25">
      <c r="A243" s="2">
        <v>25630</v>
      </c>
      <c r="B243" s="4" t="s">
        <v>326</v>
      </c>
      <c r="C243" s="41" t="s">
        <v>1345</v>
      </c>
      <c r="D243" s="42">
        <v>61</v>
      </c>
      <c r="E243" s="43">
        <v>15</v>
      </c>
      <c r="F243" s="50" t="str">
        <f>VLOOKUP(tabPontoPed[[#This Row],[GRUPO]],tabGrupos[#Data],2,FALSE)</f>
        <v>MATERIAL HIDRAULICO, CANOS, TUBOS, MANGUEIRAS, CONEXOES E ACESS.</v>
      </c>
      <c r="G243" s="42" t="str">
        <f>VLOOKUP(tabPontoPed[[#This Row],[GRUPO]],tabGrupos[#Data],3,FALSE)</f>
        <v>MHI</v>
      </c>
      <c r="H243" s="41" t="s">
        <v>1339</v>
      </c>
      <c r="I243" s="9">
        <v>4</v>
      </c>
      <c r="J243" s="51">
        <v>7</v>
      </c>
      <c r="K243" s="7">
        <f>tabPontoPed[[#This Row],[QTDMÊS]] * tabPontoPed[[#This Row],[MENSAL]]</f>
        <v>28</v>
      </c>
      <c r="L243" s="13" t="s">
        <v>1012</v>
      </c>
      <c r="M243" s="44"/>
      <c r="N243" s="45" t="str">
        <f>_xlfn.IFNA(IF(VLOOKUP(tabPontoPed[[#This Row],[CÓDIGO]],Excluir_do_Estoque!$A$4:$A$4004,1,FALSE),"sim",""),"")</f>
        <v/>
      </c>
      <c r="O243" s="10" t="str">
        <f t="shared" si="3"/>
        <v>*</v>
      </c>
    </row>
    <row r="244" spans="1:15" x14ac:dyDescent="0.25">
      <c r="A244" s="2">
        <v>25756</v>
      </c>
      <c r="B244" s="4" t="s">
        <v>327</v>
      </c>
      <c r="C244" s="41" t="s">
        <v>1345</v>
      </c>
      <c r="D244" s="42">
        <v>61</v>
      </c>
      <c r="E244" s="43">
        <v>15</v>
      </c>
      <c r="F244" s="50" t="str">
        <f>VLOOKUP(tabPontoPed[[#This Row],[GRUPO]],tabGrupos[#Data],2,FALSE)</f>
        <v>MATERIAL HIDRAULICO, CANOS, TUBOS, MANGUEIRAS, CONEXOES E ACESS.</v>
      </c>
      <c r="G244" s="42" t="str">
        <f>VLOOKUP(tabPontoPed[[#This Row],[GRUPO]],tabGrupos[#Data],3,FALSE)</f>
        <v>MHI</v>
      </c>
      <c r="H244" s="41" t="s">
        <v>1339</v>
      </c>
      <c r="I244" s="9">
        <v>4</v>
      </c>
      <c r="J244" s="51">
        <v>5</v>
      </c>
      <c r="K244" s="7">
        <f>tabPontoPed[[#This Row],[QTDMÊS]] * tabPontoPed[[#This Row],[MENSAL]]</f>
        <v>20</v>
      </c>
      <c r="L244" s="13" t="s">
        <v>1012</v>
      </c>
      <c r="M244" s="44"/>
      <c r="N244" s="45" t="str">
        <f>_xlfn.IFNA(IF(VLOOKUP(tabPontoPed[[#This Row],[CÓDIGO]],Excluir_do_Estoque!$A$4:$A$4004,1,FALSE),"sim",""),"")</f>
        <v/>
      </c>
      <c r="O244" s="10" t="str">
        <f t="shared" si="3"/>
        <v>*</v>
      </c>
    </row>
    <row r="245" spans="1:15" x14ac:dyDescent="0.25">
      <c r="A245" s="2">
        <v>26215</v>
      </c>
      <c r="B245" s="4" t="s">
        <v>395</v>
      </c>
      <c r="C245" s="41" t="s">
        <v>1345</v>
      </c>
      <c r="D245" s="42">
        <v>74</v>
      </c>
      <c r="E245" s="43">
        <v>9</v>
      </c>
      <c r="F245" s="50" t="str">
        <f>VLOOKUP(tabPontoPed[[#This Row],[GRUPO]],tabGrupos[#Data],2,FALSE)</f>
        <v>MADEIRAS,LAMINADOS,COMPENSADOS E AGLOMERADOS</v>
      </c>
      <c r="G245" s="42" t="str">
        <f>VLOOKUP(tabPontoPed[[#This Row],[GRUPO]],tabGrupos[#Data],3,FALSE)</f>
        <v>MCO</v>
      </c>
      <c r="H245" s="41" t="s">
        <v>1339</v>
      </c>
      <c r="I245" s="9">
        <v>4</v>
      </c>
      <c r="J245" s="51">
        <v>7</v>
      </c>
      <c r="K245" s="7">
        <f>tabPontoPed[[#This Row],[QTDMÊS]] * tabPontoPed[[#This Row],[MENSAL]]</f>
        <v>28</v>
      </c>
      <c r="L245" s="13" t="s">
        <v>1012</v>
      </c>
      <c r="M245" s="44"/>
      <c r="N245" s="45" t="str">
        <f>_xlfn.IFNA(IF(VLOOKUP(tabPontoPed[[#This Row],[CÓDIGO]],Excluir_do_Estoque!$A$4:$A$4004,1,FALSE),"sim",""),"")</f>
        <v/>
      </c>
      <c r="O245" s="10" t="str">
        <f t="shared" si="3"/>
        <v>*</v>
      </c>
    </row>
    <row r="246" spans="1:15" x14ac:dyDescent="0.25">
      <c r="A246" s="2">
        <v>26282</v>
      </c>
      <c r="B246" s="4" t="s">
        <v>540</v>
      </c>
      <c r="C246" s="41" t="s">
        <v>1345</v>
      </c>
      <c r="D246" s="42">
        <v>51</v>
      </c>
      <c r="E246" s="43">
        <v>26</v>
      </c>
      <c r="F246" s="50" t="str">
        <f>VLOOKUP(tabPontoPed[[#This Row],[GRUPO]],tabGrupos[#Data],2,FALSE)</f>
        <v>MAT.E EQUIP. P/ CONSTR.CIVIL E CONSERV. DE VIAS PUBL.</v>
      </c>
      <c r="G246" s="42" t="str">
        <f>VLOOKUP(tabPontoPed[[#This Row],[GRUPO]],tabGrupos[#Data],3,FALSE)</f>
        <v>MCO</v>
      </c>
      <c r="H246" s="41" t="s">
        <v>1339</v>
      </c>
      <c r="I246" s="9">
        <v>4</v>
      </c>
      <c r="J246" s="51">
        <v>1</v>
      </c>
      <c r="K246" s="7">
        <f>tabPontoPed[[#This Row],[QTDMÊS]] * tabPontoPed[[#This Row],[MENSAL]]</f>
        <v>4</v>
      </c>
      <c r="L246" s="13" t="s">
        <v>1012</v>
      </c>
      <c r="M246" s="44"/>
      <c r="N246" s="45" t="str">
        <f>_xlfn.IFNA(IF(VLOOKUP(tabPontoPed[[#This Row],[CÓDIGO]],Excluir_do_Estoque!$A$4:$A$4004,1,FALSE),"sim",""),"")</f>
        <v/>
      </c>
      <c r="O246" s="10" t="str">
        <f t="shared" si="3"/>
        <v>*</v>
      </c>
    </row>
    <row r="247" spans="1:15" x14ac:dyDescent="0.25">
      <c r="A247" s="2">
        <v>26368</v>
      </c>
      <c r="B247" s="4" t="s">
        <v>541</v>
      </c>
      <c r="C247" s="41" t="s">
        <v>1345</v>
      </c>
      <c r="D247" s="42">
        <v>51</v>
      </c>
      <c r="E247" s="43">
        <v>26</v>
      </c>
      <c r="F247" s="50" t="str">
        <f>VLOOKUP(tabPontoPed[[#This Row],[GRUPO]],tabGrupos[#Data],2,FALSE)</f>
        <v>MAT.E EQUIP. P/ CONSTR.CIVIL E CONSERV. DE VIAS PUBL.</v>
      </c>
      <c r="G247" s="42" t="str">
        <f>VLOOKUP(tabPontoPed[[#This Row],[GRUPO]],tabGrupos[#Data],3,FALSE)</f>
        <v>MCO</v>
      </c>
      <c r="H247" s="41" t="s">
        <v>1339</v>
      </c>
      <c r="I247" s="9">
        <v>4</v>
      </c>
      <c r="J247" s="51">
        <v>1</v>
      </c>
      <c r="K247" s="7">
        <f>tabPontoPed[[#This Row],[QTDMÊS]] * tabPontoPed[[#This Row],[MENSAL]]</f>
        <v>4</v>
      </c>
      <c r="L247" s="13" t="s">
        <v>1012</v>
      </c>
      <c r="M247" s="44"/>
      <c r="N247" s="45" t="str">
        <f>_xlfn.IFNA(IF(VLOOKUP(tabPontoPed[[#This Row],[CÓDIGO]],Excluir_do_Estoque!$A$4:$A$4004,1,FALSE),"sim",""),"")</f>
        <v/>
      </c>
      <c r="O247" s="10" t="str">
        <f t="shared" si="3"/>
        <v>*</v>
      </c>
    </row>
    <row r="248" spans="1:15" x14ac:dyDescent="0.25">
      <c r="A248" s="2">
        <v>26503</v>
      </c>
      <c r="B248" s="4" t="s">
        <v>974</v>
      </c>
      <c r="C248" s="41" t="s">
        <v>1345</v>
      </c>
      <c r="D248" s="42">
        <v>78</v>
      </c>
      <c r="E248" s="43">
        <v>6</v>
      </c>
      <c r="F248" s="50" t="str">
        <f>VLOOKUP(tabPontoPed[[#This Row],[GRUPO]],tabGrupos[#Data],2,FALSE)</f>
        <v>MOBILIARIO E COFRE</v>
      </c>
      <c r="G248" s="42" t="str">
        <f>VLOOKUP(tabPontoPed[[#This Row],[GRUPO]],tabGrupos[#Data],3,FALSE)</f>
        <v>ADM</v>
      </c>
      <c r="H248" s="41" t="s">
        <v>1339</v>
      </c>
      <c r="I248" s="9">
        <v>4</v>
      </c>
      <c r="J248" s="51">
        <v>125</v>
      </c>
      <c r="K248" s="7">
        <f>tabPontoPed[[#This Row],[QTDMÊS]] * tabPontoPed[[#This Row],[MENSAL]]</f>
        <v>500</v>
      </c>
      <c r="L248" s="13" t="s">
        <v>1012</v>
      </c>
      <c r="M248" s="44"/>
      <c r="N248" s="45" t="str">
        <f>_xlfn.IFNA(IF(VLOOKUP(tabPontoPed[[#This Row],[CÓDIGO]],Excluir_do_Estoque!$A$4:$A$4004,1,FALSE),"sim",""),"")</f>
        <v>sim</v>
      </c>
      <c r="O248" s="10" t="str">
        <f t="shared" si="3"/>
        <v>*</v>
      </c>
    </row>
    <row r="249" spans="1:15" x14ac:dyDescent="0.25">
      <c r="A249" s="2">
        <v>26504</v>
      </c>
      <c r="B249" s="4" t="s">
        <v>332</v>
      </c>
      <c r="C249" s="41" t="s">
        <v>1345</v>
      </c>
      <c r="D249" s="42">
        <v>78</v>
      </c>
      <c r="E249" s="43">
        <v>6</v>
      </c>
      <c r="F249" s="50" t="str">
        <f>VLOOKUP(tabPontoPed[[#This Row],[GRUPO]],tabGrupos[#Data],2,FALSE)</f>
        <v>MOBILIARIO E COFRE</v>
      </c>
      <c r="G249" s="42" t="str">
        <f>VLOOKUP(tabPontoPed[[#This Row],[GRUPO]],tabGrupos[#Data],3,FALSE)</f>
        <v>ADM</v>
      </c>
      <c r="H249" s="41" t="s">
        <v>1339</v>
      </c>
      <c r="I249" s="9">
        <v>4</v>
      </c>
      <c r="J249" s="51">
        <v>46</v>
      </c>
      <c r="K249" s="7">
        <f>tabPontoPed[[#This Row],[QTDMÊS]] * tabPontoPed[[#This Row],[MENSAL]]</f>
        <v>184</v>
      </c>
      <c r="L249" s="13" t="s">
        <v>1012</v>
      </c>
      <c r="M249" s="44"/>
      <c r="N249" s="45" t="str">
        <f>_xlfn.IFNA(IF(VLOOKUP(tabPontoPed[[#This Row],[CÓDIGO]],Excluir_do_Estoque!$A$4:$A$4004,1,FALSE),"sim",""),"")</f>
        <v/>
      </c>
      <c r="O249" s="10" t="str">
        <f t="shared" si="3"/>
        <v>*</v>
      </c>
    </row>
    <row r="250" spans="1:15" x14ac:dyDescent="0.25">
      <c r="A250" s="2">
        <v>26506</v>
      </c>
      <c r="B250" s="4" t="s">
        <v>333</v>
      </c>
      <c r="C250" s="41" t="s">
        <v>1345</v>
      </c>
      <c r="D250" s="42">
        <v>78</v>
      </c>
      <c r="E250" s="43">
        <v>6</v>
      </c>
      <c r="F250" s="50" t="str">
        <f>VLOOKUP(tabPontoPed[[#This Row],[GRUPO]],tabGrupos[#Data],2,FALSE)</f>
        <v>MOBILIARIO E COFRE</v>
      </c>
      <c r="G250" s="42" t="str">
        <f>VLOOKUP(tabPontoPed[[#This Row],[GRUPO]],tabGrupos[#Data],3,FALSE)</f>
        <v>ADM</v>
      </c>
      <c r="H250" s="41" t="s">
        <v>1339</v>
      </c>
      <c r="I250" s="9">
        <v>4</v>
      </c>
      <c r="J250" s="51">
        <v>46</v>
      </c>
      <c r="K250" s="7">
        <f>tabPontoPed[[#This Row],[QTDMÊS]] * tabPontoPed[[#This Row],[MENSAL]]</f>
        <v>184</v>
      </c>
      <c r="L250" s="13" t="s">
        <v>1012</v>
      </c>
      <c r="M250" s="44"/>
      <c r="N250" s="45" t="str">
        <f>_xlfn.IFNA(IF(VLOOKUP(tabPontoPed[[#This Row],[CÓDIGO]],Excluir_do_Estoque!$A$4:$A$4004,1,FALSE),"sim",""),"")</f>
        <v/>
      </c>
      <c r="O250" s="10" t="str">
        <f t="shared" si="3"/>
        <v>*</v>
      </c>
    </row>
    <row r="251" spans="1:15" x14ac:dyDescent="0.25">
      <c r="A251" s="2">
        <v>26508</v>
      </c>
      <c r="B251" s="4" t="s">
        <v>975</v>
      </c>
      <c r="C251" s="41" t="s">
        <v>1345</v>
      </c>
      <c r="D251" s="42">
        <v>78</v>
      </c>
      <c r="E251" s="43">
        <v>6</v>
      </c>
      <c r="F251" s="50" t="str">
        <f>VLOOKUP(tabPontoPed[[#This Row],[GRUPO]],tabGrupos[#Data],2,FALSE)</f>
        <v>MOBILIARIO E COFRE</v>
      </c>
      <c r="G251" s="42" t="str">
        <f>VLOOKUP(tabPontoPed[[#This Row],[GRUPO]],tabGrupos[#Data],3,FALSE)</f>
        <v>ADM</v>
      </c>
      <c r="H251" s="41" t="s">
        <v>1339</v>
      </c>
      <c r="I251" s="9">
        <v>4</v>
      </c>
      <c r="J251" s="51">
        <v>128</v>
      </c>
      <c r="K251" s="7">
        <f>tabPontoPed[[#This Row],[QTDMÊS]] * tabPontoPed[[#This Row],[MENSAL]]</f>
        <v>512</v>
      </c>
      <c r="L251" s="13" t="s">
        <v>1012</v>
      </c>
      <c r="M251" s="44"/>
      <c r="N251" s="45" t="str">
        <f>_xlfn.IFNA(IF(VLOOKUP(tabPontoPed[[#This Row],[CÓDIGO]],Excluir_do_Estoque!$A$4:$A$4004,1,FALSE),"sim",""),"")</f>
        <v>sim</v>
      </c>
      <c r="O251" s="10" t="str">
        <f t="shared" si="3"/>
        <v>*</v>
      </c>
    </row>
    <row r="252" spans="1:15" x14ac:dyDescent="0.25">
      <c r="A252" s="2">
        <v>27136</v>
      </c>
      <c r="B252" s="4" t="s">
        <v>186</v>
      </c>
      <c r="C252" s="41" t="s">
        <v>1345</v>
      </c>
      <c r="D252" s="42">
        <v>62</v>
      </c>
      <c r="E252" s="43">
        <v>10</v>
      </c>
      <c r="F252" s="50" t="str">
        <f>VLOOKUP(tabPontoPed[[#This Row],[GRUPO]],tabGrupos[#Data],2,FALSE)</f>
        <v>VEST., ART.P/ TOUC.E HIG. PES. MAQ., EQUIP., MAT.E ACES.</v>
      </c>
      <c r="G252" s="42" t="str">
        <f>VLOOKUP(tabPontoPed[[#This Row],[GRUPO]],tabGrupos[#Data],3,FALSE)</f>
        <v>ADM</v>
      </c>
      <c r="H252" s="41" t="s">
        <v>1339</v>
      </c>
      <c r="I252" s="9">
        <v>4</v>
      </c>
      <c r="J252" s="51">
        <v>2965</v>
      </c>
      <c r="K252" s="7">
        <f>tabPontoPed[[#This Row],[QTDMÊS]] * tabPontoPed[[#This Row],[MENSAL]]</f>
        <v>11860</v>
      </c>
      <c r="L252" s="13" t="s">
        <v>1012</v>
      </c>
      <c r="M252" s="44"/>
      <c r="N252" s="45" t="str">
        <f>_xlfn.IFNA(IF(VLOOKUP(tabPontoPed[[#This Row],[CÓDIGO]],Excluir_do_Estoque!$A$4:$A$4004,1,FALSE),"sim",""),"")</f>
        <v/>
      </c>
      <c r="O252" s="10" t="str">
        <f t="shared" si="3"/>
        <v>*</v>
      </c>
    </row>
    <row r="253" spans="1:15" x14ac:dyDescent="0.25">
      <c r="A253" s="2">
        <v>27137</v>
      </c>
      <c r="B253" s="4" t="s">
        <v>58</v>
      </c>
      <c r="C253" s="41" t="s">
        <v>1345</v>
      </c>
      <c r="D253" s="42">
        <v>57</v>
      </c>
      <c r="E253" s="43">
        <v>2</v>
      </c>
      <c r="F253" s="50" t="str">
        <f>VLOOKUP(tabPontoPed[[#This Row],[GRUPO]],tabGrupos[#Data],2,FALSE)</f>
        <v>MAQ. E EQUIP. P/ IND. GRAFICA COMP. ACESS. E PAPEI</v>
      </c>
      <c r="G253" s="42" t="str">
        <f>VLOOKUP(tabPontoPed[[#This Row],[GRUPO]],tabGrupos[#Data],3,FALSE)</f>
        <v>EDU</v>
      </c>
      <c r="H253" s="41" t="s">
        <v>1339</v>
      </c>
      <c r="I253" s="9">
        <v>4</v>
      </c>
      <c r="J253" s="51">
        <v>768</v>
      </c>
      <c r="K253" s="7">
        <f>tabPontoPed[[#This Row],[QTDMÊS]] * tabPontoPed[[#This Row],[MENSAL]]</f>
        <v>3072</v>
      </c>
      <c r="L253" s="13" t="s">
        <v>1012</v>
      </c>
      <c r="M253" s="44"/>
      <c r="N253" s="45" t="str">
        <f>_xlfn.IFNA(IF(VLOOKUP(tabPontoPed[[#This Row],[CÓDIGO]],Excluir_do_Estoque!$A$4:$A$4004,1,FALSE),"sim",""),"")</f>
        <v/>
      </c>
      <c r="O253" s="10" t="str">
        <f t="shared" si="3"/>
        <v>*</v>
      </c>
    </row>
    <row r="254" spans="1:15" x14ac:dyDescent="0.25">
      <c r="A254" s="2">
        <v>27138</v>
      </c>
      <c r="B254" s="4" t="s">
        <v>59</v>
      </c>
      <c r="C254" s="41" t="s">
        <v>1345</v>
      </c>
      <c r="D254" s="42">
        <v>57</v>
      </c>
      <c r="E254" s="43">
        <v>2</v>
      </c>
      <c r="F254" s="50" t="str">
        <f>VLOOKUP(tabPontoPed[[#This Row],[GRUPO]],tabGrupos[#Data],2,FALSE)</f>
        <v>MAQ. E EQUIP. P/ IND. GRAFICA COMP. ACESS. E PAPEI</v>
      </c>
      <c r="G254" s="42" t="str">
        <f>VLOOKUP(tabPontoPed[[#This Row],[GRUPO]],tabGrupos[#Data],3,FALSE)</f>
        <v>EDU</v>
      </c>
      <c r="H254" s="41" t="s">
        <v>1339</v>
      </c>
      <c r="I254" s="9">
        <v>4</v>
      </c>
      <c r="J254" s="51">
        <v>767</v>
      </c>
      <c r="K254" s="7">
        <f>tabPontoPed[[#This Row],[QTDMÊS]] * tabPontoPed[[#This Row],[MENSAL]]</f>
        <v>3068</v>
      </c>
      <c r="L254" s="13" t="s">
        <v>1012</v>
      </c>
      <c r="M254" s="44"/>
      <c r="N254" s="45" t="str">
        <f>_xlfn.IFNA(IF(VLOOKUP(tabPontoPed[[#This Row],[CÓDIGO]],Excluir_do_Estoque!$A$4:$A$4004,1,FALSE),"sim",""),"")</f>
        <v/>
      </c>
      <c r="O254" s="10" t="str">
        <f t="shared" si="3"/>
        <v>*</v>
      </c>
    </row>
    <row r="255" spans="1:15" x14ac:dyDescent="0.25">
      <c r="A255" s="2">
        <v>27139</v>
      </c>
      <c r="B255" s="4" t="s">
        <v>60</v>
      </c>
      <c r="C255" s="41" t="s">
        <v>1345</v>
      </c>
      <c r="D255" s="42">
        <v>57</v>
      </c>
      <c r="E255" s="43">
        <v>2</v>
      </c>
      <c r="F255" s="50" t="str">
        <f>VLOOKUP(tabPontoPed[[#This Row],[GRUPO]],tabGrupos[#Data],2,FALSE)</f>
        <v>MAQ. E EQUIP. P/ IND. GRAFICA COMP. ACESS. E PAPEI</v>
      </c>
      <c r="G255" s="42" t="str">
        <f>VLOOKUP(tabPontoPed[[#This Row],[GRUPO]],tabGrupos[#Data],3,FALSE)</f>
        <v>EDU</v>
      </c>
      <c r="H255" s="41" t="s">
        <v>1339</v>
      </c>
      <c r="I255" s="9">
        <v>4</v>
      </c>
      <c r="J255" s="51">
        <v>760</v>
      </c>
      <c r="K255" s="7">
        <f>tabPontoPed[[#This Row],[QTDMÊS]] * tabPontoPed[[#This Row],[MENSAL]]</f>
        <v>3040</v>
      </c>
      <c r="L255" s="13" t="s">
        <v>1012</v>
      </c>
      <c r="M255" s="44"/>
      <c r="N255" s="45" t="str">
        <f>_xlfn.IFNA(IF(VLOOKUP(tabPontoPed[[#This Row],[CÓDIGO]],Excluir_do_Estoque!$A$4:$A$4004,1,FALSE),"sim",""),"")</f>
        <v/>
      </c>
      <c r="O255" s="10" t="str">
        <f t="shared" si="3"/>
        <v>*</v>
      </c>
    </row>
    <row r="256" spans="1:15" x14ac:dyDescent="0.25">
      <c r="A256" s="2">
        <v>27140</v>
      </c>
      <c r="B256" s="4" t="s">
        <v>45</v>
      </c>
      <c r="C256" s="41" t="s">
        <v>1345</v>
      </c>
      <c r="D256" s="42">
        <v>57</v>
      </c>
      <c r="E256" s="43">
        <v>2</v>
      </c>
      <c r="F256" s="50" t="str">
        <f>VLOOKUP(tabPontoPed[[#This Row],[GRUPO]],tabGrupos[#Data],2,FALSE)</f>
        <v>MAQ. E EQUIP. P/ IND. GRAFICA COMP. ACESS. E PAPEI</v>
      </c>
      <c r="G256" s="42" t="str">
        <f>VLOOKUP(tabPontoPed[[#This Row],[GRUPO]],tabGrupos[#Data],3,FALSE)</f>
        <v>EDU</v>
      </c>
      <c r="H256" s="41" t="s">
        <v>1339</v>
      </c>
      <c r="I256" s="9">
        <v>4</v>
      </c>
      <c r="J256" s="51">
        <v>887</v>
      </c>
      <c r="K256" s="7">
        <f>tabPontoPed[[#This Row],[QTDMÊS]] * tabPontoPed[[#This Row],[MENSAL]]</f>
        <v>3548</v>
      </c>
      <c r="L256" s="13" t="s">
        <v>1012</v>
      </c>
      <c r="M256" s="44"/>
      <c r="N256" s="45" t="str">
        <f>_xlfn.IFNA(IF(VLOOKUP(tabPontoPed[[#This Row],[CÓDIGO]],Excluir_do_Estoque!$A$4:$A$4004,1,FALSE),"sim",""),"")</f>
        <v/>
      </c>
      <c r="O256" s="10" t="str">
        <f t="shared" si="3"/>
        <v>*</v>
      </c>
    </row>
    <row r="257" spans="1:15" x14ac:dyDescent="0.25">
      <c r="A257" s="2">
        <v>27287</v>
      </c>
      <c r="B257" s="4" t="s">
        <v>518</v>
      </c>
      <c r="C257" s="41" t="s">
        <v>1345</v>
      </c>
      <c r="D257" s="42">
        <v>51</v>
      </c>
      <c r="E257" s="43">
        <v>13</v>
      </c>
      <c r="F257" s="50" t="str">
        <f>VLOOKUP(tabPontoPed[[#This Row],[GRUPO]],tabGrupos[#Data],2,FALSE)</f>
        <v>MAT.E EQUIP. P/ CONSTR.CIVIL E CONSERV. DE VIAS PUBL.</v>
      </c>
      <c r="G257" s="42" t="str">
        <f>VLOOKUP(tabPontoPed[[#This Row],[GRUPO]],tabGrupos[#Data],3,FALSE)</f>
        <v>MCO</v>
      </c>
      <c r="H257" s="41" t="s">
        <v>1339</v>
      </c>
      <c r="I257" s="9">
        <v>4</v>
      </c>
      <c r="J257" s="51">
        <v>18</v>
      </c>
      <c r="K257" s="7">
        <f>tabPontoPed[[#This Row],[QTDMÊS]] * tabPontoPed[[#This Row],[MENSAL]]</f>
        <v>72</v>
      </c>
      <c r="L257" s="13" t="s">
        <v>1012</v>
      </c>
      <c r="M257" s="44"/>
      <c r="N257" s="45" t="str">
        <f>_xlfn.IFNA(IF(VLOOKUP(tabPontoPed[[#This Row],[CÓDIGO]],Excluir_do_Estoque!$A$4:$A$4004,1,FALSE),"sim",""),"")</f>
        <v/>
      </c>
      <c r="O257" s="10" t="str">
        <f t="shared" si="3"/>
        <v>*</v>
      </c>
    </row>
    <row r="258" spans="1:15" x14ac:dyDescent="0.25">
      <c r="A258" s="2">
        <v>27353</v>
      </c>
      <c r="B258" s="4" t="s">
        <v>499</v>
      </c>
      <c r="C258" s="41" t="s">
        <v>1345</v>
      </c>
      <c r="D258" s="42">
        <v>51</v>
      </c>
      <c r="E258" s="43">
        <v>3</v>
      </c>
      <c r="F258" s="50" t="str">
        <f>VLOOKUP(tabPontoPed[[#This Row],[GRUPO]],tabGrupos[#Data],2,FALSE)</f>
        <v>MAT.E EQUIP. P/ CONSTR.CIVIL E CONSERV. DE VIAS PUBL.</v>
      </c>
      <c r="G258" s="42" t="str">
        <f>VLOOKUP(tabPontoPed[[#This Row],[GRUPO]],tabGrupos[#Data],3,FALSE)</f>
        <v>MCO</v>
      </c>
      <c r="H258" s="41" t="s">
        <v>1339</v>
      </c>
      <c r="I258" s="9">
        <v>4</v>
      </c>
      <c r="J258" s="51">
        <v>13</v>
      </c>
      <c r="K258" s="7">
        <f>tabPontoPed[[#This Row],[QTDMÊS]] * tabPontoPed[[#This Row],[MENSAL]]</f>
        <v>52</v>
      </c>
      <c r="L258" s="13" t="s">
        <v>1012</v>
      </c>
      <c r="M258" s="44"/>
      <c r="N258" s="45" t="str">
        <f>_xlfn.IFNA(IF(VLOOKUP(tabPontoPed[[#This Row],[CÓDIGO]],Excluir_do_Estoque!$A$4:$A$4004,1,FALSE),"sim",""),"")</f>
        <v/>
      </c>
      <c r="O258" s="10" t="str">
        <f t="shared" si="3"/>
        <v>*</v>
      </c>
    </row>
    <row r="259" spans="1:15" x14ac:dyDescent="0.25">
      <c r="A259" s="2">
        <v>27479</v>
      </c>
      <c r="B259" s="4" t="s">
        <v>172</v>
      </c>
      <c r="C259" s="41" t="s">
        <v>1345</v>
      </c>
      <c r="D259" s="42">
        <v>76</v>
      </c>
      <c r="E259" s="43">
        <v>5</v>
      </c>
      <c r="F259" s="50" t="str">
        <f>VLOOKUP(tabPontoPed[[#This Row],[GRUPO]],tabGrupos[#Data],2,FALSE)</f>
        <v>EQUIP. E MATERIAIS P/PINTURAS E IMPERMEABILIZACAO</v>
      </c>
      <c r="G259" s="42" t="str">
        <f>VLOOKUP(tabPontoPed[[#This Row],[GRUPO]],tabGrupos[#Data],3,FALSE)</f>
        <v>MPI</v>
      </c>
      <c r="H259" s="41" t="s">
        <v>1339</v>
      </c>
      <c r="I259" s="9">
        <v>4</v>
      </c>
      <c r="J259" s="51">
        <v>12</v>
      </c>
      <c r="K259" s="7">
        <f>tabPontoPed[[#This Row],[QTDMÊS]] * tabPontoPed[[#This Row],[MENSAL]]</f>
        <v>48</v>
      </c>
      <c r="L259" s="13" t="s">
        <v>1012</v>
      </c>
      <c r="M259" s="44"/>
      <c r="N259" s="45" t="str">
        <f>_xlfn.IFNA(IF(VLOOKUP(tabPontoPed[[#This Row],[CÓDIGO]],Excluir_do_Estoque!$A$4:$A$4004,1,FALSE),"sim",""),"")</f>
        <v/>
      </c>
      <c r="O259" s="10" t="str">
        <f t="shared" si="3"/>
        <v>*</v>
      </c>
    </row>
    <row r="260" spans="1:15" x14ac:dyDescent="0.25">
      <c r="A260" s="2">
        <v>27759</v>
      </c>
      <c r="B260" s="4" t="s">
        <v>791</v>
      </c>
      <c r="C260" s="41" t="s">
        <v>1345</v>
      </c>
      <c r="D260" s="42">
        <v>61</v>
      </c>
      <c r="E260" s="43">
        <v>15</v>
      </c>
      <c r="F260" s="50" t="str">
        <f>VLOOKUP(tabPontoPed[[#This Row],[GRUPO]],tabGrupos[#Data],2,FALSE)</f>
        <v>MATERIAL HIDRAULICO, CANOS, TUBOS, MANGUEIRAS, CONEXOES E ACESS.</v>
      </c>
      <c r="G260" s="42" t="str">
        <f>VLOOKUP(tabPontoPed[[#This Row],[GRUPO]],tabGrupos[#Data],3,FALSE)</f>
        <v>MHI</v>
      </c>
      <c r="H260" s="41" t="s">
        <v>1339</v>
      </c>
      <c r="I260" s="9">
        <v>4</v>
      </c>
      <c r="J260" s="51">
        <v>0</v>
      </c>
      <c r="K260" s="7">
        <f>tabPontoPed[[#This Row],[QTDMÊS]] * tabPontoPed[[#This Row],[MENSAL]]</f>
        <v>0</v>
      </c>
      <c r="L260" s="13" t="s">
        <v>1012</v>
      </c>
      <c r="M260" s="44"/>
      <c r="N260" s="45" t="str">
        <f>_xlfn.IFNA(IF(VLOOKUP(tabPontoPed[[#This Row],[CÓDIGO]],Excluir_do_Estoque!$A$4:$A$4004,1,FALSE),"sim",""),"")</f>
        <v/>
      </c>
      <c r="O260" s="10" t="str">
        <f t="shared" ref="O260:O323" si="4">"*"</f>
        <v>*</v>
      </c>
    </row>
    <row r="261" spans="1:15" x14ac:dyDescent="0.25">
      <c r="A261" s="2">
        <v>27760</v>
      </c>
      <c r="B261" s="4" t="s">
        <v>792</v>
      </c>
      <c r="C261" s="41" t="s">
        <v>1345</v>
      </c>
      <c r="D261" s="42">
        <v>61</v>
      </c>
      <c r="E261" s="43">
        <v>15</v>
      </c>
      <c r="F261" s="50" t="str">
        <f>VLOOKUP(tabPontoPed[[#This Row],[GRUPO]],tabGrupos[#Data],2,FALSE)</f>
        <v>MATERIAL HIDRAULICO, CANOS, TUBOS, MANGUEIRAS, CONEXOES E ACESS.</v>
      </c>
      <c r="G261" s="42" t="str">
        <f>VLOOKUP(tabPontoPed[[#This Row],[GRUPO]],tabGrupos[#Data],3,FALSE)</f>
        <v>MHI</v>
      </c>
      <c r="H261" s="41" t="s">
        <v>1339</v>
      </c>
      <c r="I261" s="9">
        <v>4</v>
      </c>
      <c r="J261" s="51">
        <v>1</v>
      </c>
      <c r="K261" s="7">
        <f>tabPontoPed[[#This Row],[QTDMÊS]] * tabPontoPed[[#This Row],[MENSAL]]</f>
        <v>4</v>
      </c>
      <c r="L261" s="13" t="s">
        <v>1012</v>
      </c>
      <c r="M261" s="44"/>
      <c r="N261" s="45" t="str">
        <f>_xlfn.IFNA(IF(VLOOKUP(tabPontoPed[[#This Row],[CÓDIGO]],Excluir_do_Estoque!$A$4:$A$4004,1,FALSE),"sim",""),"")</f>
        <v/>
      </c>
      <c r="O261" s="10" t="str">
        <f t="shared" si="4"/>
        <v>*</v>
      </c>
    </row>
    <row r="262" spans="1:15" x14ac:dyDescent="0.25">
      <c r="A262" s="2">
        <v>27761</v>
      </c>
      <c r="B262" s="4" t="s">
        <v>722</v>
      </c>
      <c r="C262" s="41" t="s">
        <v>1345</v>
      </c>
      <c r="D262" s="42">
        <v>61</v>
      </c>
      <c r="E262" s="43">
        <v>2</v>
      </c>
      <c r="F262" s="50" t="str">
        <f>VLOOKUP(tabPontoPed[[#This Row],[GRUPO]],tabGrupos[#Data],2,FALSE)</f>
        <v>MATERIAL HIDRAULICO, CANOS, TUBOS, MANGUEIRAS, CONEXOES E ACESS.</v>
      </c>
      <c r="G262" s="42" t="str">
        <f>VLOOKUP(tabPontoPed[[#This Row],[GRUPO]],tabGrupos[#Data],3,FALSE)</f>
        <v>MHI</v>
      </c>
      <c r="H262" s="41" t="s">
        <v>1339</v>
      </c>
      <c r="I262" s="9">
        <v>4</v>
      </c>
      <c r="J262" s="51">
        <v>2</v>
      </c>
      <c r="K262" s="7">
        <f>tabPontoPed[[#This Row],[QTDMÊS]] * tabPontoPed[[#This Row],[MENSAL]]</f>
        <v>8</v>
      </c>
      <c r="L262" s="13" t="s">
        <v>1012</v>
      </c>
      <c r="M262" s="44"/>
      <c r="N262" s="45" t="str">
        <f>_xlfn.IFNA(IF(VLOOKUP(tabPontoPed[[#This Row],[CÓDIGO]],Excluir_do_Estoque!$A$4:$A$4004,1,FALSE),"sim",""),"")</f>
        <v/>
      </c>
      <c r="O262" s="10" t="str">
        <f t="shared" si="4"/>
        <v>*</v>
      </c>
    </row>
    <row r="263" spans="1:15" x14ac:dyDescent="0.25">
      <c r="A263" s="2">
        <v>27764</v>
      </c>
      <c r="B263" s="4" t="s">
        <v>723</v>
      </c>
      <c r="C263" s="41" t="s">
        <v>1345</v>
      </c>
      <c r="D263" s="42">
        <v>61</v>
      </c>
      <c r="E263" s="43">
        <v>2</v>
      </c>
      <c r="F263" s="50" t="str">
        <f>VLOOKUP(tabPontoPed[[#This Row],[GRUPO]],tabGrupos[#Data],2,FALSE)</f>
        <v>MATERIAL HIDRAULICO, CANOS, TUBOS, MANGUEIRAS, CONEXOES E ACESS.</v>
      </c>
      <c r="G263" s="42" t="str">
        <f>VLOOKUP(tabPontoPed[[#This Row],[GRUPO]],tabGrupos[#Data],3,FALSE)</f>
        <v>MHI</v>
      </c>
      <c r="H263" s="41" t="s">
        <v>1339</v>
      </c>
      <c r="I263" s="9">
        <v>4</v>
      </c>
      <c r="J263" s="51">
        <v>2</v>
      </c>
      <c r="K263" s="7">
        <f>tabPontoPed[[#This Row],[QTDMÊS]] * tabPontoPed[[#This Row],[MENSAL]]</f>
        <v>8</v>
      </c>
      <c r="L263" s="13" t="s">
        <v>1012</v>
      </c>
      <c r="M263" s="44"/>
      <c r="N263" s="45" t="str">
        <f>_xlfn.IFNA(IF(VLOOKUP(tabPontoPed[[#This Row],[CÓDIGO]],Excluir_do_Estoque!$A$4:$A$4004,1,FALSE),"sim",""),"")</f>
        <v/>
      </c>
      <c r="O263" s="10" t="str">
        <f t="shared" si="4"/>
        <v>*</v>
      </c>
    </row>
    <row r="264" spans="1:15" x14ac:dyDescent="0.25">
      <c r="A264" s="2">
        <v>28093</v>
      </c>
      <c r="B264" s="4" t="s">
        <v>152</v>
      </c>
      <c r="C264" s="41" t="s">
        <v>1345</v>
      </c>
      <c r="D264" s="42">
        <v>51</v>
      </c>
      <c r="E264" s="43">
        <v>11</v>
      </c>
      <c r="F264" s="50" t="str">
        <f>VLOOKUP(tabPontoPed[[#This Row],[GRUPO]],tabGrupos[#Data],2,FALSE)</f>
        <v>MAT.E EQUIP. P/ CONSTR.CIVIL E CONSERV. DE VIAS PUBL.</v>
      </c>
      <c r="G264" s="42" t="str">
        <f>VLOOKUP(tabPontoPed[[#This Row],[GRUPO]],tabGrupos[#Data],3,FALSE)</f>
        <v>MCO</v>
      </c>
      <c r="H264" s="41" t="s">
        <v>1339</v>
      </c>
      <c r="I264" s="9">
        <v>4</v>
      </c>
      <c r="J264" s="51">
        <v>4</v>
      </c>
      <c r="K264" s="7">
        <f>tabPontoPed[[#This Row],[QTDMÊS]] * tabPontoPed[[#This Row],[MENSAL]]</f>
        <v>16</v>
      </c>
      <c r="L264" s="13" t="s">
        <v>1012</v>
      </c>
      <c r="M264" s="44"/>
      <c r="N264" s="45" t="str">
        <f>_xlfn.IFNA(IF(VLOOKUP(tabPontoPed[[#This Row],[CÓDIGO]],Excluir_do_Estoque!$A$4:$A$4004,1,FALSE),"sim",""),"")</f>
        <v/>
      </c>
      <c r="O264" s="10" t="str">
        <f t="shared" si="4"/>
        <v>*</v>
      </c>
    </row>
    <row r="265" spans="1:15" x14ac:dyDescent="0.25">
      <c r="A265" s="2">
        <v>28181</v>
      </c>
      <c r="B265" s="4" t="s">
        <v>749</v>
      </c>
      <c r="C265" s="41" t="s">
        <v>1345</v>
      </c>
      <c r="D265" s="42">
        <v>61</v>
      </c>
      <c r="E265" s="43">
        <v>8</v>
      </c>
      <c r="F265" s="50" t="str">
        <f>VLOOKUP(tabPontoPed[[#This Row],[GRUPO]],tabGrupos[#Data],2,FALSE)</f>
        <v>MATERIAL HIDRAULICO, CANOS, TUBOS, MANGUEIRAS, CONEXOES E ACESS.</v>
      </c>
      <c r="G265" s="42" t="str">
        <f>VLOOKUP(tabPontoPed[[#This Row],[GRUPO]],tabGrupos[#Data],3,FALSE)</f>
        <v>MHI</v>
      </c>
      <c r="H265" s="41" t="s">
        <v>1339</v>
      </c>
      <c r="I265" s="9">
        <v>4</v>
      </c>
      <c r="J265" s="51">
        <v>1</v>
      </c>
      <c r="K265" s="7">
        <f>tabPontoPed[[#This Row],[QTDMÊS]] * tabPontoPed[[#This Row],[MENSAL]]</f>
        <v>4</v>
      </c>
      <c r="L265" s="13" t="s">
        <v>1012</v>
      </c>
      <c r="M265" s="44"/>
      <c r="N265" s="45" t="str">
        <f>_xlfn.IFNA(IF(VLOOKUP(tabPontoPed[[#This Row],[CÓDIGO]],Excluir_do_Estoque!$A$4:$A$4004,1,FALSE),"sim",""),"")</f>
        <v/>
      </c>
      <c r="O265" s="10" t="str">
        <f t="shared" si="4"/>
        <v>*</v>
      </c>
    </row>
    <row r="266" spans="1:15" x14ac:dyDescent="0.25">
      <c r="A266" s="2">
        <v>28184</v>
      </c>
      <c r="B266" s="4" t="s">
        <v>297</v>
      </c>
      <c r="C266" s="41" t="s">
        <v>1345</v>
      </c>
      <c r="D266" s="42">
        <v>61</v>
      </c>
      <c r="E266" s="43">
        <v>8</v>
      </c>
      <c r="F266" s="50" t="str">
        <f>VLOOKUP(tabPontoPed[[#This Row],[GRUPO]],tabGrupos[#Data],2,FALSE)</f>
        <v>MATERIAL HIDRAULICO, CANOS, TUBOS, MANGUEIRAS, CONEXOES E ACESS.</v>
      </c>
      <c r="G266" s="42" t="str">
        <f>VLOOKUP(tabPontoPed[[#This Row],[GRUPO]],tabGrupos[#Data],3,FALSE)</f>
        <v>MHI</v>
      </c>
      <c r="H266" s="41" t="s">
        <v>1339</v>
      </c>
      <c r="I266" s="9">
        <v>4</v>
      </c>
      <c r="J266" s="51">
        <v>9</v>
      </c>
      <c r="K266" s="7">
        <f>tabPontoPed[[#This Row],[QTDMÊS]] * tabPontoPed[[#This Row],[MENSAL]]</f>
        <v>36</v>
      </c>
      <c r="L266" s="13" t="s">
        <v>1012</v>
      </c>
      <c r="M266" s="44"/>
      <c r="N266" s="45" t="str">
        <f>_xlfn.IFNA(IF(VLOOKUP(tabPontoPed[[#This Row],[CÓDIGO]],Excluir_do_Estoque!$A$4:$A$4004,1,FALSE),"sim",""),"")</f>
        <v/>
      </c>
      <c r="O266" s="10" t="str">
        <f t="shared" si="4"/>
        <v>*</v>
      </c>
    </row>
    <row r="267" spans="1:15" x14ac:dyDescent="0.25">
      <c r="A267" s="2">
        <v>28306</v>
      </c>
      <c r="B267" s="4" t="s">
        <v>750</v>
      </c>
      <c r="C267" s="41" t="s">
        <v>1345</v>
      </c>
      <c r="D267" s="42">
        <v>61</v>
      </c>
      <c r="E267" s="43">
        <v>8</v>
      </c>
      <c r="F267" s="50" t="str">
        <f>VLOOKUP(tabPontoPed[[#This Row],[GRUPO]],tabGrupos[#Data],2,FALSE)</f>
        <v>MATERIAL HIDRAULICO, CANOS, TUBOS, MANGUEIRAS, CONEXOES E ACESS.</v>
      </c>
      <c r="G267" s="42" t="str">
        <f>VLOOKUP(tabPontoPed[[#This Row],[GRUPO]],tabGrupos[#Data],3,FALSE)</f>
        <v>MHI</v>
      </c>
      <c r="H267" s="41" t="s">
        <v>1339</v>
      </c>
      <c r="I267" s="9">
        <v>4</v>
      </c>
      <c r="J267" s="51">
        <v>2</v>
      </c>
      <c r="K267" s="7">
        <f>tabPontoPed[[#This Row],[QTDMÊS]] * tabPontoPed[[#This Row],[MENSAL]]</f>
        <v>8</v>
      </c>
      <c r="L267" s="13" t="s">
        <v>1012</v>
      </c>
      <c r="M267" s="44"/>
      <c r="N267" s="45" t="str">
        <f>_xlfn.IFNA(IF(VLOOKUP(tabPontoPed[[#This Row],[CÓDIGO]],Excluir_do_Estoque!$A$4:$A$4004,1,FALSE),"sim",""),"")</f>
        <v/>
      </c>
      <c r="O267" s="10" t="str">
        <f t="shared" si="4"/>
        <v>*</v>
      </c>
    </row>
    <row r="268" spans="1:15" x14ac:dyDescent="0.25">
      <c r="A268" s="2">
        <v>28307</v>
      </c>
      <c r="B268" s="4" t="s">
        <v>751</v>
      </c>
      <c r="C268" s="41" t="s">
        <v>1345</v>
      </c>
      <c r="D268" s="42">
        <v>61</v>
      </c>
      <c r="E268" s="43">
        <v>8</v>
      </c>
      <c r="F268" s="50" t="str">
        <f>VLOOKUP(tabPontoPed[[#This Row],[GRUPO]],tabGrupos[#Data],2,FALSE)</f>
        <v>MATERIAL HIDRAULICO, CANOS, TUBOS, MANGUEIRAS, CONEXOES E ACESS.</v>
      </c>
      <c r="G268" s="42" t="str">
        <f>VLOOKUP(tabPontoPed[[#This Row],[GRUPO]],tabGrupos[#Data],3,FALSE)</f>
        <v>MHI</v>
      </c>
      <c r="H268" s="41" t="s">
        <v>1339</v>
      </c>
      <c r="I268" s="9">
        <v>4</v>
      </c>
      <c r="J268" s="51">
        <v>1</v>
      </c>
      <c r="K268" s="7">
        <f>tabPontoPed[[#This Row],[QTDMÊS]] * tabPontoPed[[#This Row],[MENSAL]]</f>
        <v>4</v>
      </c>
      <c r="L268" s="13" t="s">
        <v>1012</v>
      </c>
      <c r="M268" s="44"/>
      <c r="N268" s="45" t="str">
        <f>_xlfn.IFNA(IF(VLOOKUP(tabPontoPed[[#This Row],[CÓDIGO]],Excluir_do_Estoque!$A$4:$A$4004,1,FALSE),"sim",""),"")</f>
        <v/>
      </c>
      <c r="O268" s="10" t="str">
        <f t="shared" si="4"/>
        <v>*</v>
      </c>
    </row>
    <row r="269" spans="1:15" x14ac:dyDescent="0.25">
      <c r="A269" s="2">
        <v>28308</v>
      </c>
      <c r="B269" s="4" t="s">
        <v>752</v>
      </c>
      <c r="C269" s="41" t="s">
        <v>1345</v>
      </c>
      <c r="D269" s="42">
        <v>61</v>
      </c>
      <c r="E269" s="43">
        <v>8</v>
      </c>
      <c r="F269" s="50" t="str">
        <f>VLOOKUP(tabPontoPed[[#This Row],[GRUPO]],tabGrupos[#Data],2,FALSE)</f>
        <v>MATERIAL HIDRAULICO, CANOS, TUBOS, MANGUEIRAS, CONEXOES E ACESS.</v>
      </c>
      <c r="G269" s="42" t="str">
        <f>VLOOKUP(tabPontoPed[[#This Row],[GRUPO]],tabGrupos[#Data],3,FALSE)</f>
        <v>MHI</v>
      </c>
      <c r="H269" s="41" t="s">
        <v>1339</v>
      </c>
      <c r="I269" s="9">
        <v>4</v>
      </c>
      <c r="J269" s="51">
        <v>4</v>
      </c>
      <c r="K269" s="7">
        <f>tabPontoPed[[#This Row],[QTDMÊS]] * tabPontoPed[[#This Row],[MENSAL]]</f>
        <v>16</v>
      </c>
      <c r="L269" s="13" t="s">
        <v>1012</v>
      </c>
      <c r="M269" s="44"/>
      <c r="N269" s="45" t="str">
        <f>_xlfn.IFNA(IF(VLOOKUP(tabPontoPed[[#This Row],[CÓDIGO]],Excluir_do_Estoque!$A$4:$A$4004,1,FALSE),"sim",""),"")</f>
        <v/>
      </c>
      <c r="O269" s="10" t="str">
        <f t="shared" si="4"/>
        <v>*</v>
      </c>
    </row>
    <row r="270" spans="1:15" x14ac:dyDescent="0.25">
      <c r="A270" s="2">
        <v>28512</v>
      </c>
      <c r="B270" s="4" t="s">
        <v>724</v>
      </c>
      <c r="C270" s="41" t="s">
        <v>1345</v>
      </c>
      <c r="D270" s="42">
        <v>61</v>
      </c>
      <c r="E270" s="43">
        <v>2</v>
      </c>
      <c r="F270" s="50" t="str">
        <f>VLOOKUP(tabPontoPed[[#This Row],[GRUPO]],tabGrupos[#Data],2,FALSE)</f>
        <v>MATERIAL HIDRAULICO, CANOS, TUBOS, MANGUEIRAS, CONEXOES E ACESS.</v>
      </c>
      <c r="G270" s="42" t="str">
        <f>VLOOKUP(tabPontoPed[[#This Row],[GRUPO]],tabGrupos[#Data],3,FALSE)</f>
        <v>MHI</v>
      </c>
      <c r="H270" s="41" t="s">
        <v>1339</v>
      </c>
      <c r="I270" s="9">
        <v>4</v>
      </c>
      <c r="J270" s="51">
        <v>5</v>
      </c>
      <c r="K270" s="7">
        <f>tabPontoPed[[#This Row],[QTDMÊS]] * tabPontoPed[[#This Row],[MENSAL]]</f>
        <v>20</v>
      </c>
      <c r="L270" s="13" t="s">
        <v>1012</v>
      </c>
      <c r="M270" s="44"/>
      <c r="N270" s="45" t="str">
        <f>_xlfn.IFNA(IF(VLOOKUP(tabPontoPed[[#This Row],[CÓDIGO]],Excluir_do_Estoque!$A$4:$A$4004,1,FALSE),"sim",""),"")</f>
        <v/>
      </c>
      <c r="O270" s="10" t="str">
        <f t="shared" si="4"/>
        <v>*</v>
      </c>
    </row>
    <row r="271" spans="1:15" x14ac:dyDescent="0.25">
      <c r="A271" s="2">
        <v>29293</v>
      </c>
      <c r="B271" s="4" t="s">
        <v>855</v>
      </c>
      <c r="C271" s="41" t="s">
        <v>1345</v>
      </c>
      <c r="D271" s="42">
        <v>67</v>
      </c>
      <c r="E271" s="43">
        <v>9</v>
      </c>
      <c r="F271" s="50" t="str">
        <f>VLOOKUP(tabPontoPed[[#This Row],[GRUPO]],tabGrupos[#Data],2,FALSE)</f>
        <v>PARAFUSOS ELEM. VEDACAO UNIAO CONEX . FIXACAO</v>
      </c>
      <c r="G271" s="42" t="str">
        <f>VLOOKUP(tabPontoPed[[#This Row],[GRUPO]],tabGrupos[#Data],3,FALSE)</f>
        <v>MSE</v>
      </c>
      <c r="H271" s="41" t="s">
        <v>1339</v>
      </c>
      <c r="I271" s="9">
        <v>4</v>
      </c>
      <c r="J271" s="51">
        <v>65</v>
      </c>
      <c r="K271" s="7">
        <f>tabPontoPed[[#This Row],[QTDMÊS]] * tabPontoPed[[#This Row],[MENSAL]]</f>
        <v>260</v>
      </c>
      <c r="L271" s="13" t="s">
        <v>1012</v>
      </c>
      <c r="M271" s="44"/>
      <c r="N271" s="45" t="str">
        <f>_xlfn.IFNA(IF(VLOOKUP(tabPontoPed[[#This Row],[CÓDIGO]],Excluir_do_Estoque!$A$4:$A$4004,1,FALSE),"sim",""),"")</f>
        <v/>
      </c>
      <c r="O271" s="10" t="str">
        <f t="shared" si="4"/>
        <v>*</v>
      </c>
    </row>
    <row r="272" spans="1:15" x14ac:dyDescent="0.25">
      <c r="A272" s="2">
        <v>29296</v>
      </c>
      <c r="B272" s="4" t="s">
        <v>198</v>
      </c>
      <c r="C272" s="41" t="s">
        <v>1345</v>
      </c>
      <c r="D272" s="42">
        <v>72</v>
      </c>
      <c r="E272" s="43">
        <v>7</v>
      </c>
      <c r="F272" s="50" t="str">
        <f>VLOOKUP(tabPontoPed[[#This Row],[GRUPO]],tabGrupos[#Data],2,FALSE)</f>
        <v>MAQ.EQUIP.E MATERIAIS P/ HIGIEN.LIMP.POLIM.E LUBR.</v>
      </c>
      <c r="G272" s="42" t="str">
        <f>VLOOKUP(tabPontoPed[[#This Row],[GRUPO]],tabGrupos[#Data],3,FALSE)</f>
        <v>ADM</v>
      </c>
      <c r="H272" s="41" t="s">
        <v>1339</v>
      </c>
      <c r="I272" s="9">
        <v>4</v>
      </c>
      <c r="J272" s="51">
        <v>11</v>
      </c>
      <c r="K272" s="7">
        <f>tabPontoPed[[#This Row],[QTDMÊS]] * tabPontoPed[[#This Row],[MENSAL]]</f>
        <v>44</v>
      </c>
      <c r="L272" s="13" t="s">
        <v>1012</v>
      </c>
      <c r="M272" s="44"/>
      <c r="N272" s="45" t="str">
        <f>_xlfn.IFNA(IF(VLOOKUP(tabPontoPed[[#This Row],[CÓDIGO]],Excluir_do_Estoque!$A$4:$A$4004,1,FALSE),"sim",""),"")</f>
        <v/>
      </c>
      <c r="O272" s="10" t="str">
        <f t="shared" si="4"/>
        <v>*</v>
      </c>
    </row>
    <row r="273" spans="1:15" x14ac:dyDescent="0.25">
      <c r="A273" s="2">
        <v>29435</v>
      </c>
      <c r="B273" s="4" t="s">
        <v>277</v>
      </c>
      <c r="C273" s="41" t="s">
        <v>1345</v>
      </c>
      <c r="D273" s="42">
        <v>51</v>
      </c>
      <c r="E273" s="43">
        <v>36</v>
      </c>
      <c r="F273" s="50" t="str">
        <f>VLOOKUP(tabPontoPed[[#This Row],[GRUPO]],tabGrupos[#Data],2,FALSE)</f>
        <v>MAT.E EQUIP. P/ CONSTR.CIVIL E CONSERV. DE VIAS PUBL.</v>
      </c>
      <c r="G273" s="42" t="str">
        <f>VLOOKUP(tabPontoPed[[#This Row],[GRUPO]],tabGrupos[#Data],3,FALSE)</f>
        <v>MCO</v>
      </c>
      <c r="H273" s="41" t="s">
        <v>1339</v>
      </c>
      <c r="I273" s="9">
        <v>4</v>
      </c>
      <c r="J273" s="51">
        <v>3</v>
      </c>
      <c r="K273" s="7">
        <f>tabPontoPed[[#This Row],[QTDMÊS]] * tabPontoPed[[#This Row],[MENSAL]]</f>
        <v>12</v>
      </c>
      <c r="L273" s="13" t="s">
        <v>1012</v>
      </c>
      <c r="M273" s="44"/>
      <c r="N273" s="45" t="str">
        <f>_xlfn.IFNA(IF(VLOOKUP(tabPontoPed[[#This Row],[CÓDIGO]],Excluir_do_Estoque!$A$4:$A$4004,1,FALSE),"sim",""),"")</f>
        <v/>
      </c>
      <c r="O273" s="10" t="str">
        <f t="shared" si="4"/>
        <v>*</v>
      </c>
    </row>
    <row r="274" spans="1:15" x14ac:dyDescent="0.25">
      <c r="A274" s="2">
        <v>29437</v>
      </c>
      <c r="B274" s="4" t="s">
        <v>753</v>
      </c>
      <c r="C274" s="41" t="s">
        <v>1345</v>
      </c>
      <c r="D274" s="42">
        <v>61</v>
      </c>
      <c r="E274" s="43">
        <v>8</v>
      </c>
      <c r="F274" s="50" t="str">
        <f>VLOOKUP(tabPontoPed[[#This Row],[GRUPO]],tabGrupos[#Data],2,FALSE)</f>
        <v>MATERIAL HIDRAULICO, CANOS, TUBOS, MANGUEIRAS, CONEXOES E ACESS.</v>
      </c>
      <c r="G274" s="42" t="str">
        <f>VLOOKUP(tabPontoPed[[#This Row],[GRUPO]],tabGrupos[#Data],3,FALSE)</f>
        <v>MHI</v>
      </c>
      <c r="H274" s="41" t="s">
        <v>1339</v>
      </c>
      <c r="I274" s="9">
        <v>4</v>
      </c>
      <c r="J274" s="51">
        <v>0</v>
      </c>
      <c r="K274" s="7">
        <f>tabPontoPed[[#This Row],[QTDMÊS]] * tabPontoPed[[#This Row],[MENSAL]]</f>
        <v>0</v>
      </c>
      <c r="L274" s="13" t="s">
        <v>1012</v>
      </c>
      <c r="M274" s="44"/>
      <c r="N274" s="45" t="str">
        <f>_xlfn.IFNA(IF(VLOOKUP(tabPontoPed[[#This Row],[CÓDIGO]],Excluir_do_Estoque!$A$4:$A$4004,1,FALSE),"sim",""),"")</f>
        <v/>
      </c>
      <c r="O274" s="10" t="str">
        <f t="shared" si="4"/>
        <v>*</v>
      </c>
    </row>
    <row r="275" spans="1:15" x14ac:dyDescent="0.25">
      <c r="A275" s="2">
        <v>29935</v>
      </c>
      <c r="B275" s="4" t="s">
        <v>155</v>
      </c>
      <c r="C275" s="41" t="s">
        <v>1345</v>
      </c>
      <c r="D275" s="42">
        <v>76</v>
      </c>
      <c r="E275" s="43">
        <v>11</v>
      </c>
      <c r="F275" s="50" t="str">
        <f>VLOOKUP(tabPontoPed[[#This Row],[GRUPO]],tabGrupos[#Data],2,FALSE)</f>
        <v>EQUIP. E MATERIAIS P/PINTURAS E IMPERMEABILIZACAO</v>
      </c>
      <c r="G275" s="42" t="str">
        <f>VLOOKUP(tabPontoPed[[#This Row],[GRUPO]],tabGrupos[#Data],3,FALSE)</f>
        <v>MPI</v>
      </c>
      <c r="H275" s="41" t="s">
        <v>1339</v>
      </c>
      <c r="I275" s="9">
        <v>4</v>
      </c>
      <c r="J275" s="51">
        <v>6</v>
      </c>
      <c r="K275" s="7">
        <f>tabPontoPed[[#This Row],[QTDMÊS]] * tabPontoPed[[#This Row],[MENSAL]]</f>
        <v>24</v>
      </c>
      <c r="L275" s="13" t="s">
        <v>1012</v>
      </c>
      <c r="M275" s="44"/>
      <c r="N275" s="45" t="str">
        <f>_xlfn.IFNA(IF(VLOOKUP(tabPontoPed[[#This Row],[CÓDIGO]],Excluir_do_Estoque!$A$4:$A$4004,1,FALSE),"sim",""),"")</f>
        <v/>
      </c>
      <c r="O275" s="10" t="str">
        <f t="shared" si="4"/>
        <v>*</v>
      </c>
    </row>
    <row r="276" spans="1:15" x14ac:dyDescent="0.25">
      <c r="A276" s="2">
        <v>29952</v>
      </c>
      <c r="B276" s="4" t="s">
        <v>463</v>
      </c>
      <c r="C276" s="41" t="s">
        <v>1345</v>
      </c>
      <c r="D276" s="42">
        <v>45</v>
      </c>
      <c r="E276" s="43">
        <v>12</v>
      </c>
      <c r="F276" s="50" t="str">
        <f>VLOOKUP(tabPontoPed[[#This Row],[GRUPO]],tabGrupos[#Data],2,FALSE)</f>
        <v>MAQ., EQUIP., COMP., ACES., MAT. PARA ESCRIT.E ESCOLAR</v>
      </c>
      <c r="G276" s="42" t="str">
        <f>VLOOKUP(tabPontoPed[[#This Row],[GRUPO]],tabGrupos[#Data],3,FALSE)</f>
        <v>EDU</v>
      </c>
      <c r="H276" s="41" t="s">
        <v>1339</v>
      </c>
      <c r="I276" s="9">
        <v>4</v>
      </c>
      <c r="J276" s="51">
        <v>331</v>
      </c>
      <c r="K276" s="7">
        <f>tabPontoPed[[#This Row],[QTDMÊS]] * tabPontoPed[[#This Row],[MENSAL]]</f>
        <v>1324</v>
      </c>
      <c r="L276" s="13" t="s">
        <v>1012</v>
      </c>
      <c r="M276" s="44"/>
      <c r="N276" s="45" t="str">
        <f>_xlfn.IFNA(IF(VLOOKUP(tabPontoPed[[#This Row],[CÓDIGO]],Excluir_do_Estoque!$A$4:$A$4004,1,FALSE),"sim",""),"")</f>
        <v/>
      </c>
      <c r="O276" s="10" t="str">
        <f t="shared" si="4"/>
        <v>*</v>
      </c>
    </row>
    <row r="277" spans="1:15" x14ac:dyDescent="0.25">
      <c r="A277" s="2">
        <v>29956</v>
      </c>
      <c r="B277" s="4" t="s">
        <v>70</v>
      </c>
      <c r="C277" s="41" t="s">
        <v>1345</v>
      </c>
      <c r="D277" s="42">
        <v>57</v>
      </c>
      <c r="E277" s="43">
        <v>15</v>
      </c>
      <c r="F277" s="50" t="str">
        <f>VLOOKUP(tabPontoPed[[#This Row],[GRUPO]],tabGrupos[#Data],2,FALSE)</f>
        <v>MAQ. E EQUIP. P/ IND. GRAFICA COMP. ACESS. E PAPEI</v>
      </c>
      <c r="G277" s="42" t="str">
        <f>VLOOKUP(tabPontoPed[[#This Row],[GRUPO]],tabGrupos[#Data],3,FALSE)</f>
        <v>EDU</v>
      </c>
      <c r="H277" s="41" t="s">
        <v>1339</v>
      </c>
      <c r="I277" s="9">
        <v>4</v>
      </c>
      <c r="J277" s="51">
        <v>779</v>
      </c>
      <c r="K277" s="7">
        <f>tabPontoPed[[#This Row],[QTDMÊS]] * tabPontoPed[[#This Row],[MENSAL]]</f>
        <v>3116</v>
      </c>
      <c r="L277" s="13" t="s">
        <v>1012</v>
      </c>
      <c r="M277" s="44"/>
      <c r="N277" s="45" t="str">
        <f>_xlfn.IFNA(IF(VLOOKUP(tabPontoPed[[#This Row],[CÓDIGO]],Excluir_do_Estoque!$A$4:$A$4004,1,FALSE),"sim",""),"")</f>
        <v/>
      </c>
      <c r="O277" s="10" t="str">
        <f t="shared" si="4"/>
        <v>*</v>
      </c>
    </row>
    <row r="278" spans="1:15" x14ac:dyDescent="0.25">
      <c r="A278" s="2">
        <v>29959</v>
      </c>
      <c r="B278" s="4" t="s">
        <v>71</v>
      </c>
      <c r="C278" s="41" t="s">
        <v>1345</v>
      </c>
      <c r="D278" s="42">
        <v>57</v>
      </c>
      <c r="E278" s="43">
        <v>15</v>
      </c>
      <c r="F278" s="50" t="str">
        <f>VLOOKUP(tabPontoPed[[#This Row],[GRUPO]],tabGrupos[#Data],2,FALSE)</f>
        <v>MAQ. E EQUIP. P/ IND. GRAFICA COMP. ACESS. E PAPEI</v>
      </c>
      <c r="G278" s="42" t="str">
        <f>VLOOKUP(tabPontoPed[[#This Row],[GRUPO]],tabGrupos[#Data],3,FALSE)</f>
        <v>EDU</v>
      </c>
      <c r="H278" s="41" t="s">
        <v>1339</v>
      </c>
      <c r="I278" s="9">
        <v>4</v>
      </c>
      <c r="J278" s="51">
        <v>807</v>
      </c>
      <c r="K278" s="7">
        <f>tabPontoPed[[#This Row],[QTDMÊS]] * tabPontoPed[[#This Row],[MENSAL]]</f>
        <v>3228</v>
      </c>
      <c r="L278" s="13" t="s">
        <v>1012</v>
      </c>
      <c r="M278" s="44"/>
      <c r="N278" s="45" t="str">
        <f>_xlfn.IFNA(IF(VLOOKUP(tabPontoPed[[#This Row],[CÓDIGO]],Excluir_do_Estoque!$A$4:$A$4004,1,FALSE),"sim",""),"")</f>
        <v/>
      </c>
      <c r="O278" s="10" t="str">
        <f t="shared" si="4"/>
        <v>*</v>
      </c>
    </row>
    <row r="279" spans="1:15" x14ac:dyDescent="0.25">
      <c r="A279" s="2">
        <v>29961</v>
      </c>
      <c r="B279" s="4" t="s">
        <v>72</v>
      </c>
      <c r="C279" s="41" t="s">
        <v>1345</v>
      </c>
      <c r="D279" s="42">
        <v>57</v>
      </c>
      <c r="E279" s="43">
        <v>15</v>
      </c>
      <c r="F279" s="50" t="str">
        <f>VLOOKUP(tabPontoPed[[#This Row],[GRUPO]],tabGrupos[#Data],2,FALSE)</f>
        <v>MAQ. E EQUIP. P/ IND. GRAFICA COMP. ACESS. E PAPEI</v>
      </c>
      <c r="G279" s="42" t="str">
        <f>VLOOKUP(tabPontoPed[[#This Row],[GRUPO]],tabGrupos[#Data],3,FALSE)</f>
        <v>EDU</v>
      </c>
      <c r="H279" s="41" t="s">
        <v>1339</v>
      </c>
      <c r="I279" s="9">
        <v>4</v>
      </c>
      <c r="J279" s="51">
        <v>832</v>
      </c>
      <c r="K279" s="7">
        <f>tabPontoPed[[#This Row],[QTDMÊS]] * tabPontoPed[[#This Row],[MENSAL]]</f>
        <v>3328</v>
      </c>
      <c r="L279" s="13" t="s">
        <v>1012</v>
      </c>
      <c r="M279" s="44"/>
      <c r="N279" s="45" t="str">
        <f>_xlfn.IFNA(IF(VLOOKUP(tabPontoPed[[#This Row],[CÓDIGO]],Excluir_do_Estoque!$A$4:$A$4004,1,FALSE),"sim",""),"")</f>
        <v/>
      </c>
      <c r="O279" s="10" t="str">
        <f t="shared" si="4"/>
        <v>*</v>
      </c>
    </row>
    <row r="280" spans="1:15" x14ac:dyDescent="0.25">
      <c r="A280" s="2">
        <v>29962</v>
      </c>
      <c r="B280" s="4" t="s">
        <v>73</v>
      </c>
      <c r="C280" s="41" t="s">
        <v>1345</v>
      </c>
      <c r="D280" s="42">
        <v>57</v>
      </c>
      <c r="E280" s="43">
        <v>15</v>
      </c>
      <c r="F280" s="50" t="str">
        <f>VLOOKUP(tabPontoPed[[#This Row],[GRUPO]],tabGrupos[#Data],2,FALSE)</f>
        <v>MAQ. E EQUIP. P/ IND. GRAFICA COMP. ACESS. E PAPEI</v>
      </c>
      <c r="G280" s="42" t="str">
        <f>VLOOKUP(tabPontoPed[[#This Row],[GRUPO]],tabGrupos[#Data],3,FALSE)</f>
        <v>EDU</v>
      </c>
      <c r="H280" s="41" t="s">
        <v>1339</v>
      </c>
      <c r="I280" s="9">
        <v>4</v>
      </c>
      <c r="J280" s="51">
        <v>724</v>
      </c>
      <c r="K280" s="7">
        <f>tabPontoPed[[#This Row],[QTDMÊS]] * tabPontoPed[[#This Row],[MENSAL]]</f>
        <v>2896</v>
      </c>
      <c r="L280" s="13" t="s">
        <v>1012</v>
      </c>
      <c r="M280" s="44"/>
      <c r="N280" s="45" t="str">
        <f>_xlfn.IFNA(IF(VLOOKUP(tabPontoPed[[#This Row],[CÓDIGO]],Excluir_do_Estoque!$A$4:$A$4004,1,FALSE),"sim",""),"")</f>
        <v/>
      </c>
      <c r="O280" s="10" t="str">
        <f t="shared" si="4"/>
        <v>*</v>
      </c>
    </row>
    <row r="281" spans="1:15" x14ac:dyDescent="0.25">
      <c r="A281" s="2">
        <v>29964</v>
      </c>
      <c r="B281" s="4" t="s">
        <v>74</v>
      </c>
      <c r="C281" s="41" t="s">
        <v>1345</v>
      </c>
      <c r="D281" s="42">
        <v>57</v>
      </c>
      <c r="E281" s="43">
        <v>15</v>
      </c>
      <c r="F281" s="50" t="str">
        <f>VLOOKUP(tabPontoPed[[#This Row],[GRUPO]],tabGrupos[#Data],2,FALSE)</f>
        <v>MAQ. E EQUIP. P/ IND. GRAFICA COMP. ACESS. E PAPEI</v>
      </c>
      <c r="G281" s="42" t="str">
        <f>VLOOKUP(tabPontoPed[[#This Row],[GRUPO]],tabGrupos[#Data],3,FALSE)</f>
        <v>EDU</v>
      </c>
      <c r="H281" s="41" t="s">
        <v>1339</v>
      </c>
      <c r="I281" s="9">
        <v>4</v>
      </c>
      <c r="J281" s="51">
        <v>774</v>
      </c>
      <c r="K281" s="7">
        <f>tabPontoPed[[#This Row],[QTDMÊS]] * tabPontoPed[[#This Row],[MENSAL]]</f>
        <v>3096</v>
      </c>
      <c r="L281" s="13" t="s">
        <v>1012</v>
      </c>
      <c r="M281" s="44"/>
      <c r="N281" s="45" t="str">
        <f>_xlfn.IFNA(IF(VLOOKUP(tabPontoPed[[#This Row],[CÓDIGO]],Excluir_do_Estoque!$A$4:$A$4004,1,FALSE),"sim",""),"")</f>
        <v/>
      </c>
      <c r="O281" s="10" t="str">
        <f t="shared" si="4"/>
        <v>*</v>
      </c>
    </row>
    <row r="282" spans="1:15" x14ac:dyDescent="0.25">
      <c r="A282" s="2">
        <v>30165</v>
      </c>
      <c r="B282" s="4" t="s">
        <v>91</v>
      </c>
      <c r="C282" s="41" t="s">
        <v>1345</v>
      </c>
      <c r="D282" s="42">
        <v>57</v>
      </c>
      <c r="E282" s="43">
        <v>16</v>
      </c>
      <c r="F282" s="50" t="str">
        <f>VLOOKUP(tabPontoPed[[#This Row],[GRUPO]],tabGrupos[#Data],2,FALSE)</f>
        <v>MAQ. E EQUIP. P/ IND. GRAFICA COMP. ACESS. E PAPEI</v>
      </c>
      <c r="G282" s="42" t="str">
        <f>VLOOKUP(tabPontoPed[[#This Row],[GRUPO]],tabGrupos[#Data],3,FALSE)</f>
        <v>EDU</v>
      </c>
      <c r="H282" s="41" t="s">
        <v>1339</v>
      </c>
      <c r="I282" s="9">
        <v>4</v>
      </c>
      <c r="J282" s="51">
        <v>1604</v>
      </c>
      <c r="K282" s="7">
        <f>tabPontoPed[[#This Row],[QTDMÊS]] * tabPontoPed[[#This Row],[MENSAL]]</f>
        <v>6416</v>
      </c>
      <c r="L282" s="13" t="s">
        <v>1012</v>
      </c>
      <c r="M282" s="44"/>
      <c r="N282" s="45" t="str">
        <f>_xlfn.IFNA(IF(VLOOKUP(tabPontoPed[[#This Row],[CÓDIGO]],Excluir_do_Estoque!$A$4:$A$4004,1,FALSE),"sim",""),"")</f>
        <v/>
      </c>
      <c r="O282" s="10" t="str">
        <f t="shared" si="4"/>
        <v>*</v>
      </c>
    </row>
    <row r="283" spans="1:15" x14ac:dyDescent="0.25">
      <c r="A283" s="2">
        <v>30171</v>
      </c>
      <c r="B283" s="4" t="s">
        <v>11</v>
      </c>
      <c r="C283" s="41" t="s">
        <v>1345</v>
      </c>
      <c r="D283" s="42">
        <v>76</v>
      </c>
      <c r="E283" s="43">
        <v>9</v>
      </c>
      <c r="F283" s="50" t="str">
        <f>VLOOKUP(tabPontoPed[[#This Row],[GRUPO]],tabGrupos[#Data],2,FALSE)</f>
        <v>EQUIP. E MATERIAIS P/PINTURAS E IMPERMEABILIZACAO</v>
      </c>
      <c r="G283" s="42" t="str">
        <f>VLOOKUP(tabPontoPed[[#This Row],[GRUPO]],tabGrupos[#Data],3,FALSE)</f>
        <v>MPI</v>
      </c>
      <c r="H283" s="41" t="s">
        <v>1339</v>
      </c>
      <c r="I283" s="9">
        <v>4</v>
      </c>
      <c r="J283" s="51">
        <v>3</v>
      </c>
      <c r="K283" s="7">
        <f>tabPontoPed[[#This Row],[QTDMÊS]] * tabPontoPed[[#This Row],[MENSAL]]</f>
        <v>12</v>
      </c>
      <c r="L283" s="13" t="s">
        <v>1012</v>
      </c>
      <c r="M283" s="44"/>
      <c r="N283" s="45" t="str">
        <f>_xlfn.IFNA(IF(VLOOKUP(tabPontoPed[[#This Row],[CÓDIGO]],Excluir_do_Estoque!$A$4:$A$4004,1,FALSE),"sim",""),"")</f>
        <v/>
      </c>
      <c r="O283" s="10" t="str">
        <f t="shared" si="4"/>
        <v>*</v>
      </c>
    </row>
    <row r="284" spans="1:15" x14ac:dyDescent="0.25">
      <c r="A284" s="2">
        <v>30658</v>
      </c>
      <c r="B284" s="4" t="s">
        <v>320</v>
      </c>
      <c r="C284" s="41" t="s">
        <v>1345</v>
      </c>
      <c r="D284" s="42">
        <v>61</v>
      </c>
      <c r="E284" s="43">
        <v>15</v>
      </c>
      <c r="F284" s="50" t="str">
        <f>VLOOKUP(tabPontoPed[[#This Row],[GRUPO]],tabGrupos[#Data],2,FALSE)</f>
        <v>MATERIAL HIDRAULICO, CANOS, TUBOS, MANGUEIRAS, CONEXOES E ACESS.</v>
      </c>
      <c r="G284" s="42" t="str">
        <f>VLOOKUP(tabPontoPed[[#This Row],[GRUPO]],tabGrupos[#Data],3,FALSE)</f>
        <v>MHI</v>
      </c>
      <c r="H284" s="41" t="s">
        <v>1339</v>
      </c>
      <c r="I284" s="9">
        <v>4</v>
      </c>
      <c r="J284" s="51">
        <v>2</v>
      </c>
      <c r="K284" s="7">
        <f>tabPontoPed[[#This Row],[QTDMÊS]] * tabPontoPed[[#This Row],[MENSAL]]</f>
        <v>8</v>
      </c>
      <c r="L284" s="13" t="s">
        <v>1012</v>
      </c>
      <c r="M284" s="44"/>
      <c r="N284" s="45" t="str">
        <f>_xlfn.IFNA(IF(VLOOKUP(tabPontoPed[[#This Row],[CÓDIGO]],Excluir_do_Estoque!$A$4:$A$4004,1,FALSE),"sim",""),"")</f>
        <v/>
      </c>
      <c r="O284" s="10" t="str">
        <f t="shared" si="4"/>
        <v>*</v>
      </c>
    </row>
    <row r="285" spans="1:15" x14ac:dyDescent="0.25">
      <c r="A285" s="2">
        <v>30772</v>
      </c>
      <c r="B285" s="4" t="s">
        <v>190</v>
      </c>
      <c r="C285" s="41" t="s">
        <v>1345</v>
      </c>
      <c r="D285" s="42">
        <v>72</v>
      </c>
      <c r="E285" s="43">
        <v>5</v>
      </c>
      <c r="F285" s="50" t="str">
        <f>VLOOKUP(tabPontoPed[[#This Row],[GRUPO]],tabGrupos[#Data],2,FALSE)</f>
        <v>MAQ.EQUIP.E MATERIAIS P/ HIGIEN.LIMP.POLIM.E LUBR.</v>
      </c>
      <c r="G285" s="42" t="str">
        <f>VLOOKUP(tabPontoPed[[#This Row],[GRUPO]],tabGrupos[#Data],3,FALSE)</f>
        <v>ADM</v>
      </c>
      <c r="H285" s="41" t="s">
        <v>1339</v>
      </c>
      <c r="I285" s="9">
        <v>4</v>
      </c>
      <c r="J285" s="51">
        <v>5</v>
      </c>
      <c r="K285" s="7">
        <f>tabPontoPed[[#This Row],[QTDMÊS]] * tabPontoPed[[#This Row],[MENSAL]]</f>
        <v>20</v>
      </c>
      <c r="L285" s="13" t="s">
        <v>1012</v>
      </c>
      <c r="M285" s="44"/>
      <c r="N285" s="45" t="str">
        <f>_xlfn.IFNA(IF(VLOOKUP(tabPontoPed[[#This Row],[CÓDIGO]],Excluir_do_Estoque!$A$4:$A$4004,1,FALSE),"sim",""),"")</f>
        <v/>
      </c>
      <c r="O285" s="10" t="str">
        <f t="shared" si="4"/>
        <v>*</v>
      </c>
    </row>
    <row r="286" spans="1:15" x14ac:dyDescent="0.25">
      <c r="A286" s="2">
        <v>31321</v>
      </c>
      <c r="B286" s="4" t="s">
        <v>120</v>
      </c>
      <c r="C286" s="41" t="s">
        <v>1345</v>
      </c>
      <c r="D286" s="42">
        <v>55</v>
      </c>
      <c r="E286" s="43">
        <v>19</v>
      </c>
      <c r="F286" s="50" t="str">
        <f>VLOOKUP(tabPontoPed[[#This Row],[GRUPO]],tabGrupos[#Data],2,FALSE)</f>
        <v>EQUIP. MAT. P/ GERACAO, TRANSM. DISTR. RETIF...</v>
      </c>
      <c r="G286" s="42" t="str">
        <f>VLOOKUP(tabPontoPed[[#This Row],[GRUPO]],tabGrupos[#Data],3,FALSE)</f>
        <v>MEL</v>
      </c>
      <c r="H286" s="41" t="s">
        <v>1339</v>
      </c>
      <c r="I286" s="9">
        <v>4</v>
      </c>
      <c r="J286" s="51">
        <v>1460</v>
      </c>
      <c r="K286" s="7">
        <f>tabPontoPed[[#This Row],[QTDMÊS]] * tabPontoPed[[#This Row],[MENSAL]]</f>
        <v>5840</v>
      </c>
      <c r="L286" s="13" t="s">
        <v>1012</v>
      </c>
      <c r="M286" s="44"/>
      <c r="N286" s="45" t="str">
        <f>_xlfn.IFNA(IF(VLOOKUP(tabPontoPed[[#This Row],[CÓDIGO]],Excluir_do_Estoque!$A$4:$A$4004,1,FALSE),"sim",""),"")</f>
        <v/>
      </c>
      <c r="O286" s="10" t="str">
        <f t="shared" si="4"/>
        <v>*</v>
      </c>
    </row>
    <row r="287" spans="1:15" x14ac:dyDescent="0.25">
      <c r="A287" s="2">
        <v>31555</v>
      </c>
      <c r="B287" s="4" t="s">
        <v>684</v>
      </c>
      <c r="C287" s="41" t="s">
        <v>1345</v>
      </c>
      <c r="D287" s="42">
        <v>55</v>
      </c>
      <c r="E287" s="43">
        <v>40</v>
      </c>
      <c r="F287" s="50" t="str">
        <f>VLOOKUP(tabPontoPed[[#This Row],[GRUPO]],tabGrupos[#Data],2,FALSE)</f>
        <v>EQUIP. MAT. P/ GERACAO, TRANSM. DISTR. RETIF...</v>
      </c>
      <c r="G287" s="42" t="str">
        <f>VLOOKUP(tabPontoPed[[#This Row],[GRUPO]],tabGrupos[#Data],3,FALSE)</f>
        <v>MEL</v>
      </c>
      <c r="H287" s="41" t="s">
        <v>1339</v>
      </c>
      <c r="I287" s="9">
        <v>4</v>
      </c>
      <c r="J287" s="51">
        <v>0</v>
      </c>
      <c r="K287" s="7">
        <f>tabPontoPed[[#This Row],[QTDMÊS]] * tabPontoPed[[#This Row],[MENSAL]]</f>
        <v>0</v>
      </c>
      <c r="L287" s="13" t="s">
        <v>1012</v>
      </c>
      <c r="M287" s="44"/>
      <c r="N287" s="45" t="str">
        <f>_xlfn.IFNA(IF(VLOOKUP(tabPontoPed[[#This Row],[CÓDIGO]],Excluir_do_Estoque!$A$4:$A$4004,1,FALSE),"sim",""),"")</f>
        <v/>
      </c>
      <c r="O287" s="10" t="str">
        <f t="shared" si="4"/>
        <v>*</v>
      </c>
    </row>
    <row r="288" spans="1:15" x14ac:dyDescent="0.25">
      <c r="A288" s="2">
        <v>31580</v>
      </c>
      <c r="B288" s="4" t="s">
        <v>650</v>
      </c>
      <c r="C288" s="41" t="s">
        <v>1345</v>
      </c>
      <c r="D288" s="42">
        <v>55</v>
      </c>
      <c r="E288" s="43">
        <v>32</v>
      </c>
      <c r="F288" s="50" t="str">
        <f>VLOOKUP(tabPontoPed[[#This Row],[GRUPO]],tabGrupos[#Data],2,FALSE)</f>
        <v>EQUIP. MAT. P/ GERACAO, TRANSM. DISTR. RETIF...</v>
      </c>
      <c r="G288" s="42" t="str">
        <f>VLOOKUP(tabPontoPed[[#This Row],[GRUPO]],tabGrupos[#Data],3,FALSE)</f>
        <v>MEL</v>
      </c>
      <c r="H288" s="41" t="s">
        <v>1339</v>
      </c>
      <c r="I288" s="9">
        <v>4</v>
      </c>
      <c r="J288" s="51">
        <v>1</v>
      </c>
      <c r="K288" s="7">
        <f>tabPontoPed[[#This Row],[QTDMÊS]] * tabPontoPed[[#This Row],[MENSAL]]</f>
        <v>4</v>
      </c>
      <c r="L288" s="13" t="s">
        <v>1012</v>
      </c>
      <c r="M288" s="44"/>
      <c r="N288" s="45" t="str">
        <f>_xlfn.IFNA(IF(VLOOKUP(tabPontoPed[[#This Row],[CÓDIGO]],Excluir_do_Estoque!$A$4:$A$4004,1,FALSE),"sim",""),"")</f>
        <v/>
      </c>
      <c r="O288" s="10" t="str">
        <f t="shared" si="4"/>
        <v>*</v>
      </c>
    </row>
    <row r="289" spans="1:15" x14ac:dyDescent="0.25">
      <c r="A289" s="2">
        <v>32487</v>
      </c>
      <c r="B289" s="4" t="s">
        <v>234</v>
      </c>
      <c r="C289" s="41" t="s">
        <v>1345</v>
      </c>
      <c r="D289" s="42">
        <v>76</v>
      </c>
      <c r="E289" s="43">
        <v>9</v>
      </c>
      <c r="F289" s="50" t="str">
        <f>VLOOKUP(tabPontoPed[[#This Row],[GRUPO]],tabGrupos[#Data],2,FALSE)</f>
        <v>EQUIP. E MATERIAIS P/PINTURAS E IMPERMEABILIZACAO</v>
      </c>
      <c r="G289" s="42" t="str">
        <f>VLOOKUP(tabPontoPed[[#This Row],[GRUPO]],tabGrupos[#Data],3,FALSE)</f>
        <v>MPI</v>
      </c>
      <c r="H289" s="41" t="s">
        <v>1339</v>
      </c>
      <c r="I289" s="9">
        <v>4</v>
      </c>
      <c r="J289" s="51">
        <v>4</v>
      </c>
      <c r="K289" s="7">
        <f>tabPontoPed[[#This Row],[QTDMÊS]] * tabPontoPed[[#This Row],[MENSAL]]</f>
        <v>16</v>
      </c>
      <c r="L289" s="13" t="s">
        <v>1012</v>
      </c>
      <c r="M289" s="44"/>
      <c r="N289" s="45" t="str">
        <f>_xlfn.IFNA(IF(VLOOKUP(tabPontoPed[[#This Row],[CÓDIGO]],Excluir_do_Estoque!$A$4:$A$4004,1,FALSE),"sim",""),"")</f>
        <v/>
      </c>
      <c r="O289" s="10" t="str">
        <f t="shared" si="4"/>
        <v>*</v>
      </c>
    </row>
    <row r="290" spans="1:15" x14ac:dyDescent="0.25">
      <c r="A290" s="2">
        <v>32534</v>
      </c>
      <c r="B290" s="4" t="s">
        <v>1122</v>
      </c>
      <c r="C290" s="41" t="s">
        <v>1345</v>
      </c>
      <c r="D290" s="42">
        <v>51</v>
      </c>
      <c r="E290" s="43">
        <v>7</v>
      </c>
      <c r="F290" s="50" t="str">
        <f>VLOOKUP(tabPontoPed[[#This Row],[GRUPO]],tabGrupos[#Data],2,FALSE)</f>
        <v>MAT.E EQUIP. P/ CONSTR.CIVIL E CONSERV. DE VIAS PUBL.</v>
      </c>
      <c r="G290" s="42" t="str">
        <f>VLOOKUP(tabPontoPed[[#This Row],[GRUPO]],tabGrupos[#Data],3,FALSE)</f>
        <v>MCO</v>
      </c>
      <c r="H290" s="41" t="s">
        <v>1339</v>
      </c>
      <c r="I290" s="9">
        <v>4</v>
      </c>
      <c r="J290" s="51">
        <v>795</v>
      </c>
      <c r="K290" s="7">
        <f>tabPontoPed[[#This Row],[QTDMÊS]] * tabPontoPed[[#This Row],[MENSAL]]</f>
        <v>3180</v>
      </c>
      <c r="L290" s="13" t="s">
        <v>1012</v>
      </c>
      <c r="M290" s="44"/>
      <c r="N290" s="45" t="str">
        <f>_xlfn.IFNA(IF(VLOOKUP(tabPontoPed[[#This Row],[CÓDIGO]],Excluir_do_Estoque!$A$4:$A$4004,1,FALSE),"sim",""),"")</f>
        <v/>
      </c>
      <c r="O290" s="10" t="str">
        <f t="shared" si="4"/>
        <v>*</v>
      </c>
    </row>
    <row r="291" spans="1:15" x14ac:dyDescent="0.25">
      <c r="A291" s="2">
        <v>32927</v>
      </c>
      <c r="B291" s="4" t="s">
        <v>203</v>
      </c>
      <c r="C291" s="41" t="s">
        <v>1345</v>
      </c>
      <c r="D291" s="42">
        <v>57</v>
      </c>
      <c r="E291" s="43">
        <v>15</v>
      </c>
      <c r="F291" s="50" t="str">
        <f>VLOOKUP(tabPontoPed[[#This Row],[GRUPO]],tabGrupos[#Data],2,FALSE)</f>
        <v>MAQ. E EQUIP. P/ IND. GRAFICA COMP. ACESS. E PAPEI</v>
      </c>
      <c r="G291" s="42" t="str">
        <f>VLOOKUP(tabPontoPed[[#This Row],[GRUPO]],tabGrupos[#Data],3,FALSE)</f>
        <v>EDU</v>
      </c>
      <c r="H291" s="41" t="s">
        <v>1339</v>
      </c>
      <c r="I291" s="9">
        <v>4</v>
      </c>
      <c r="J291" s="51">
        <v>718</v>
      </c>
      <c r="K291" s="7">
        <f>tabPontoPed[[#This Row],[QTDMÊS]] * tabPontoPed[[#This Row],[MENSAL]]</f>
        <v>2872</v>
      </c>
      <c r="L291" s="13" t="s">
        <v>1012</v>
      </c>
      <c r="M291" s="44"/>
      <c r="N291" s="45" t="str">
        <f>_xlfn.IFNA(IF(VLOOKUP(tabPontoPed[[#This Row],[CÓDIGO]],Excluir_do_Estoque!$A$4:$A$4004,1,FALSE),"sim",""),"")</f>
        <v/>
      </c>
      <c r="O291" s="10" t="str">
        <f t="shared" si="4"/>
        <v>*</v>
      </c>
    </row>
    <row r="292" spans="1:15" x14ac:dyDescent="0.25">
      <c r="A292" s="2">
        <v>32933</v>
      </c>
      <c r="B292" s="4" t="s">
        <v>92</v>
      </c>
      <c r="C292" s="41" t="s">
        <v>1345</v>
      </c>
      <c r="D292" s="42">
        <v>57</v>
      </c>
      <c r="E292" s="43">
        <v>16</v>
      </c>
      <c r="F292" s="50" t="str">
        <f>VLOOKUP(tabPontoPed[[#This Row],[GRUPO]],tabGrupos[#Data],2,FALSE)</f>
        <v>MAQ. E EQUIP. P/ IND. GRAFICA COMP. ACESS. E PAPEI</v>
      </c>
      <c r="G292" s="42" t="str">
        <f>VLOOKUP(tabPontoPed[[#This Row],[GRUPO]],tabGrupos[#Data],3,FALSE)</f>
        <v>EDU</v>
      </c>
      <c r="H292" s="41" t="s">
        <v>1339</v>
      </c>
      <c r="I292" s="9">
        <v>4</v>
      </c>
      <c r="J292" s="51">
        <v>1616</v>
      </c>
      <c r="K292" s="7">
        <f>tabPontoPed[[#This Row],[QTDMÊS]] * tabPontoPed[[#This Row],[MENSAL]]</f>
        <v>6464</v>
      </c>
      <c r="L292" s="13" t="s">
        <v>1012</v>
      </c>
      <c r="M292" s="44"/>
      <c r="N292" s="45" t="str">
        <f>_xlfn.IFNA(IF(VLOOKUP(tabPontoPed[[#This Row],[CÓDIGO]],Excluir_do_Estoque!$A$4:$A$4004,1,FALSE),"sim",""),"")</f>
        <v/>
      </c>
      <c r="O292" s="10" t="str">
        <f t="shared" si="4"/>
        <v>*</v>
      </c>
    </row>
    <row r="293" spans="1:15" x14ac:dyDescent="0.25">
      <c r="A293" s="2">
        <v>33609</v>
      </c>
      <c r="B293" s="4" t="s">
        <v>862</v>
      </c>
      <c r="C293" s="41" t="s">
        <v>1345</v>
      </c>
      <c r="D293" s="42">
        <v>67</v>
      </c>
      <c r="E293" s="43">
        <v>14</v>
      </c>
      <c r="F293" s="50" t="str">
        <f>VLOOKUP(tabPontoPed[[#This Row],[GRUPO]],tabGrupos[#Data],2,FALSE)</f>
        <v>PARAFUSOS ELEM. VEDACAO UNIAO CONEX . FIXACAO</v>
      </c>
      <c r="G293" s="42" t="str">
        <f>VLOOKUP(tabPontoPed[[#This Row],[GRUPO]],tabGrupos[#Data],3,FALSE)</f>
        <v>MSE</v>
      </c>
      <c r="H293" s="41" t="s">
        <v>1339</v>
      </c>
      <c r="I293" s="9">
        <v>4</v>
      </c>
      <c r="J293" s="51">
        <v>4</v>
      </c>
      <c r="K293" s="7">
        <f>tabPontoPed[[#This Row],[QTDMÊS]] * tabPontoPed[[#This Row],[MENSAL]]</f>
        <v>16</v>
      </c>
      <c r="L293" s="13" t="s">
        <v>1012</v>
      </c>
      <c r="M293" s="44"/>
      <c r="N293" s="45" t="str">
        <f>_xlfn.IFNA(IF(VLOOKUP(tabPontoPed[[#This Row],[CÓDIGO]],Excluir_do_Estoque!$A$4:$A$4004,1,FALSE),"sim",""),"")</f>
        <v/>
      </c>
      <c r="O293" s="10" t="str">
        <f t="shared" si="4"/>
        <v>*</v>
      </c>
    </row>
    <row r="294" spans="1:15" x14ac:dyDescent="0.25">
      <c r="A294" s="2">
        <v>33612</v>
      </c>
      <c r="B294" s="4" t="s">
        <v>863</v>
      </c>
      <c r="C294" s="41" t="s">
        <v>1345</v>
      </c>
      <c r="D294" s="42">
        <v>67</v>
      </c>
      <c r="E294" s="43">
        <v>14</v>
      </c>
      <c r="F294" s="50" t="str">
        <f>VLOOKUP(tabPontoPed[[#This Row],[GRUPO]],tabGrupos[#Data],2,FALSE)</f>
        <v>PARAFUSOS ELEM. VEDACAO UNIAO CONEX . FIXACAO</v>
      </c>
      <c r="G294" s="42" t="str">
        <f>VLOOKUP(tabPontoPed[[#This Row],[GRUPO]],tabGrupos[#Data],3,FALSE)</f>
        <v>MSE</v>
      </c>
      <c r="H294" s="41" t="s">
        <v>1339</v>
      </c>
      <c r="I294" s="9">
        <v>4</v>
      </c>
      <c r="J294" s="51">
        <v>12</v>
      </c>
      <c r="K294" s="7">
        <f>tabPontoPed[[#This Row],[QTDMÊS]] * tabPontoPed[[#This Row],[MENSAL]]</f>
        <v>48</v>
      </c>
      <c r="L294" s="13" t="s">
        <v>1012</v>
      </c>
      <c r="M294" s="44"/>
      <c r="N294" s="45" t="str">
        <f>_xlfn.IFNA(IF(VLOOKUP(tabPontoPed[[#This Row],[CÓDIGO]],Excluir_do_Estoque!$A$4:$A$4004,1,FALSE),"sim",""),"")</f>
        <v/>
      </c>
      <c r="O294" s="10" t="str">
        <f t="shared" si="4"/>
        <v>*</v>
      </c>
    </row>
    <row r="295" spans="1:15" x14ac:dyDescent="0.25">
      <c r="A295" s="2">
        <v>33623</v>
      </c>
      <c r="B295" s="4" t="s">
        <v>864</v>
      </c>
      <c r="C295" s="41" t="s">
        <v>1345</v>
      </c>
      <c r="D295" s="42">
        <v>67</v>
      </c>
      <c r="E295" s="43">
        <v>14</v>
      </c>
      <c r="F295" s="50" t="str">
        <f>VLOOKUP(tabPontoPed[[#This Row],[GRUPO]],tabGrupos[#Data],2,FALSE)</f>
        <v>PARAFUSOS ELEM. VEDACAO UNIAO CONEX . FIXACAO</v>
      </c>
      <c r="G295" s="42" t="str">
        <f>VLOOKUP(tabPontoPed[[#This Row],[GRUPO]],tabGrupos[#Data],3,FALSE)</f>
        <v>MSE</v>
      </c>
      <c r="H295" s="41" t="s">
        <v>1339</v>
      </c>
      <c r="I295" s="9">
        <v>4</v>
      </c>
      <c r="J295" s="51">
        <v>14</v>
      </c>
      <c r="K295" s="7">
        <f>tabPontoPed[[#This Row],[QTDMÊS]] * tabPontoPed[[#This Row],[MENSAL]]</f>
        <v>56</v>
      </c>
      <c r="L295" s="13" t="s">
        <v>1012</v>
      </c>
      <c r="M295" s="44"/>
      <c r="N295" s="45" t="str">
        <f>_xlfn.IFNA(IF(VLOOKUP(tabPontoPed[[#This Row],[CÓDIGO]],Excluir_do_Estoque!$A$4:$A$4004,1,FALSE),"sim",""),"")</f>
        <v/>
      </c>
      <c r="O295" s="10" t="str">
        <f t="shared" si="4"/>
        <v>*</v>
      </c>
    </row>
    <row r="296" spans="1:15" x14ac:dyDescent="0.25">
      <c r="A296" s="2">
        <v>34214</v>
      </c>
      <c r="B296" s="4" t="s">
        <v>542</v>
      </c>
      <c r="C296" s="41" t="s">
        <v>1345</v>
      </c>
      <c r="D296" s="42">
        <v>51</v>
      </c>
      <c r="E296" s="43">
        <v>26</v>
      </c>
      <c r="F296" s="50" t="str">
        <f>VLOOKUP(tabPontoPed[[#This Row],[GRUPO]],tabGrupos[#Data],2,FALSE)</f>
        <v>MAT.E EQUIP. P/ CONSTR.CIVIL E CONSERV. DE VIAS PUBL.</v>
      </c>
      <c r="G296" s="42" t="str">
        <f>VLOOKUP(tabPontoPed[[#This Row],[GRUPO]],tabGrupos[#Data],3,FALSE)</f>
        <v>MCO</v>
      </c>
      <c r="H296" s="41" t="s">
        <v>1339</v>
      </c>
      <c r="I296" s="9">
        <v>4</v>
      </c>
      <c r="J296" s="51">
        <v>1</v>
      </c>
      <c r="K296" s="7">
        <f>tabPontoPed[[#This Row],[QTDMÊS]] * tabPontoPed[[#This Row],[MENSAL]]</f>
        <v>4</v>
      </c>
      <c r="L296" s="13" t="s">
        <v>1012</v>
      </c>
      <c r="M296" s="44"/>
      <c r="N296" s="45" t="str">
        <f>_xlfn.IFNA(IF(VLOOKUP(tabPontoPed[[#This Row],[CÓDIGO]],Excluir_do_Estoque!$A$4:$A$4004,1,FALSE),"sim",""),"")</f>
        <v/>
      </c>
      <c r="O296" s="10" t="str">
        <f t="shared" si="4"/>
        <v>*</v>
      </c>
    </row>
    <row r="297" spans="1:15" x14ac:dyDescent="0.25">
      <c r="A297" s="2">
        <v>34801</v>
      </c>
      <c r="B297" s="4" t="s">
        <v>250</v>
      </c>
      <c r="C297" s="41" t="s">
        <v>1345</v>
      </c>
      <c r="D297" s="42">
        <v>51</v>
      </c>
      <c r="E297" s="43">
        <v>7</v>
      </c>
      <c r="F297" s="50" t="str">
        <f>VLOOKUP(tabPontoPed[[#This Row],[GRUPO]],tabGrupos[#Data],2,FALSE)</f>
        <v>MAT.E EQUIP. P/ CONSTR.CIVIL E CONSERV. DE VIAS PUBL.</v>
      </c>
      <c r="G297" s="42" t="str">
        <f>VLOOKUP(tabPontoPed[[#This Row],[GRUPO]],tabGrupos[#Data],3,FALSE)</f>
        <v>MCO</v>
      </c>
      <c r="H297" s="41" t="s">
        <v>1339</v>
      </c>
      <c r="I297" s="9">
        <v>4</v>
      </c>
      <c r="J297" s="51">
        <v>412</v>
      </c>
      <c r="K297" s="7">
        <f>tabPontoPed[[#This Row],[QTDMÊS]] * tabPontoPed[[#This Row],[MENSAL]]</f>
        <v>1648</v>
      </c>
      <c r="L297" s="13" t="s">
        <v>1012</v>
      </c>
      <c r="M297" s="44"/>
      <c r="N297" s="45" t="str">
        <f>_xlfn.IFNA(IF(VLOOKUP(tabPontoPed[[#This Row],[CÓDIGO]],Excluir_do_Estoque!$A$4:$A$4004,1,FALSE),"sim",""),"")</f>
        <v/>
      </c>
      <c r="O297" s="10" t="str">
        <f t="shared" si="4"/>
        <v>*</v>
      </c>
    </row>
    <row r="298" spans="1:15" x14ac:dyDescent="0.25">
      <c r="A298" s="2">
        <v>35224</v>
      </c>
      <c r="B298" s="4" t="s">
        <v>793</v>
      </c>
      <c r="C298" s="41" t="s">
        <v>1345</v>
      </c>
      <c r="D298" s="42">
        <v>61</v>
      </c>
      <c r="E298" s="43">
        <v>15</v>
      </c>
      <c r="F298" s="50" t="str">
        <f>VLOOKUP(tabPontoPed[[#This Row],[GRUPO]],tabGrupos[#Data],2,FALSE)</f>
        <v>MATERIAL HIDRAULICO, CANOS, TUBOS, MANGUEIRAS, CONEXOES E ACESS.</v>
      </c>
      <c r="G298" s="42" t="str">
        <f>VLOOKUP(tabPontoPed[[#This Row],[GRUPO]],tabGrupos[#Data],3,FALSE)</f>
        <v>MHI</v>
      </c>
      <c r="H298" s="41" t="s">
        <v>1339</v>
      </c>
      <c r="I298" s="9">
        <v>4</v>
      </c>
      <c r="J298" s="51">
        <v>2</v>
      </c>
      <c r="K298" s="7">
        <f>tabPontoPed[[#This Row],[QTDMÊS]] * tabPontoPed[[#This Row],[MENSAL]]</f>
        <v>8</v>
      </c>
      <c r="L298" s="13" t="s">
        <v>1012</v>
      </c>
      <c r="M298" s="44"/>
      <c r="N298" s="45" t="str">
        <f>_xlfn.IFNA(IF(VLOOKUP(tabPontoPed[[#This Row],[CÓDIGO]],Excluir_do_Estoque!$A$4:$A$4004,1,FALSE),"sim",""),"")</f>
        <v/>
      </c>
      <c r="O298" s="10" t="str">
        <f t="shared" si="4"/>
        <v>*</v>
      </c>
    </row>
    <row r="299" spans="1:15" x14ac:dyDescent="0.25">
      <c r="A299" s="2">
        <v>35227</v>
      </c>
      <c r="B299" s="4" t="s">
        <v>289</v>
      </c>
      <c r="C299" s="41" t="s">
        <v>1345</v>
      </c>
      <c r="D299" s="42">
        <v>61</v>
      </c>
      <c r="E299" s="43">
        <v>8</v>
      </c>
      <c r="F299" s="50" t="str">
        <f>VLOOKUP(tabPontoPed[[#This Row],[GRUPO]],tabGrupos[#Data],2,FALSE)</f>
        <v>MATERIAL HIDRAULICO, CANOS, TUBOS, MANGUEIRAS, CONEXOES E ACESS.</v>
      </c>
      <c r="G299" s="42" t="str">
        <f>VLOOKUP(tabPontoPed[[#This Row],[GRUPO]],tabGrupos[#Data],3,FALSE)</f>
        <v>MHI</v>
      </c>
      <c r="H299" s="41" t="s">
        <v>1339</v>
      </c>
      <c r="I299" s="9">
        <v>4</v>
      </c>
      <c r="J299" s="51">
        <v>8</v>
      </c>
      <c r="K299" s="7">
        <f>tabPontoPed[[#This Row],[QTDMÊS]] * tabPontoPed[[#This Row],[MENSAL]]</f>
        <v>32</v>
      </c>
      <c r="L299" s="13" t="s">
        <v>1012</v>
      </c>
      <c r="M299" s="44"/>
      <c r="N299" s="45" t="str">
        <f>_xlfn.IFNA(IF(VLOOKUP(tabPontoPed[[#This Row],[CÓDIGO]],Excluir_do_Estoque!$A$4:$A$4004,1,FALSE),"sim",""),"")</f>
        <v/>
      </c>
      <c r="O299" s="10" t="str">
        <f t="shared" si="4"/>
        <v>*</v>
      </c>
    </row>
    <row r="300" spans="1:15" x14ac:dyDescent="0.25">
      <c r="A300" s="2">
        <v>35238</v>
      </c>
      <c r="B300" s="4" t="s">
        <v>571</v>
      </c>
      <c r="C300" s="41" t="s">
        <v>1345</v>
      </c>
      <c r="D300" s="42">
        <v>54</v>
      </c>
      <c r="E300" s="43">
        <v>4</v>
      </c>
      <c r="F300" s="50" t="str">
        <f>VLOOKUP(tabPontoPed[[#This Row],[GRUPO]],tabGrupos[#Data],2,FALSE)</f>
        <v>EQUIP PROT IND, INST MAT P/ SINAL, CONTR, COMB ...</v>
      </c>
      <c r="G300" s="42" t="str">
        <f>VLOOKUP(tabPontoPed[[#This Row],[GRUPO]],tabGrupos[#Data],3,FALSE)</f>
        <v>MAN</v>
      </c>
      <c r="H300" s="41" t="s">
        <v>1339</v>
      </c>
      <c r="I300" s="9">
        <v>4</v>
      </c>
      <c r="J300" s="51">
        <v>0</v>
      </c>
      <c r="K300" s="7">
        <f>tabPontoPed[[#This Row],[QTDMÊS]] * tabPontoPed[[#This Row],[MENSAL]]</f>
        <v>0</v>
      </c>
      <c r="L300" s="13" t="s">
        <v>1012</v>
      </c>
      <c r="M300" s="44"/>
      <c r="N300" s="45" t="str">
        <f>_xlfn.IFNA(IF(VLOOKUP(tabPontoPed[[#This Row],[CÓDIGO]],Excluir_do_Estoque!$A$4:$A$4004,1,FALSE),"sim",""),"")</f>
        <v/>
      </c>
      <c r="O300" s="10" t="str">
        <f t="shared" si="4"/>
        <v>*</v>
      </c>
    </row>
    <row r="301" spans="1:15" x14ac:dyDescent="0.25">
      <c r="A301" s="2">
        <v>35256</v>
      </c>
      <c r="B301" s="4" t="s">
        <v>256</v>
      </c>
      <c r="C301" s="41" t="s">
        <v>1345</v>
      </c>
      <c r="D301" s="42">
        <v>69</v>
      </c>
      <c r="E301" s="43">
        <v>3</v>
      </c>
      <c r="F301" s="50" t="str">
        <f>VLOOKUP(tabPontoPed[[#This Row],[GRUPO]],tabGrupos[#Data],2,FALSE)</f>
        <v>METAIS,LAMINAD.,PERFILADOS E ARTEFATOS METALICOS</v>
      </c>
      <c r="G301" s="42" t="str">
        <f>VLOOKUP(tabPontoPed[[#This Row],[GRUPO]],tabGrupos[#Data],3,FALSE)</f>
        <v>MSE</v>
      </c>
      <c r="H301" s="41" t="s">
        <v>1339</v>
      </c>
      <c r="I301" s="9">
        <v>4</v>
      </c>
      <c r="J301" s="51">
        <v>31</v>
      </c>
      <c r="K301" s="7">
        <f>tabPontoPed[[#This Row],[QTDMÊS]] * tabPontoPed[[#This Row],[MENSAL]]</f>
        <v>124</v>
      </c>
      <c r="L301" s="13" t="s">
        <v>1012</v>
      </c>
      <c r="M301" s="44"/>
      <c r="N301" s="45" t="str">
        <f>_xlfn.IFNA(IF(VLOOKUP(tabPontoPed[[#This Row],[CÓDIGO]],Excluir_do_Estoque!$A$4:$A$4004,1,FALSE),"sim",""),"")</f>
        <v/>
      </c>
      <c r="O301" s="10" t="str">
        <f t="shared" si="4"/>
        <v>*</v>
      </c>
    </row>
    <row r="302" spans="1:15" x14ac:dyDescent="0.25">
      <c r="A302" s="2">
        <v>35331</v>
      </c>
      <c r="B302" s="4" t="s">
        <v>572</v>
      </c>
      <c r="C302" s="41" t="s">
        <v>1345</v>
      </c>
      <c r="D302" s="42">
        <v>54</v>
      </c>
      <c r="E302" s="43">
        <v>4</v>
      </c>
      <c r="F302" s="50" t="str">
        <f>VLOOKUP(tabPontoPed[[#This Row],[GRUPO]],tabGrupos[#Data],2,FALSE)</f>
        <v>EQUIP PROT IND, INST MAT P/ SINAL, CONTR, COMB ...</v>
      </c>
      <c r="G302" s="42" t="str">
        <f>VLOOKUP(tabPontoPed[[#This Row],[GRUPO]],tabGrupos[#Data],3,FALSE)</f>
        <v>MAN</v>
      </c>
      <c r="H302" s="41" t="s">
        <v>1339</v>
      </c>
      <c r="I302" s="9">
        <v>4</v>
      </c>
      <c r="J302" s="51">
        <v>1</v>
      </c>
      <c r="K302" s="7">
        <f>tabPontoPed[[#This Row],[QTDMÊS]] * tabPontoPed[[#This Row],[MENSAL]]</f>
        <v>4</v>
      </c>
      <c r="L302" s="13" t="s">
        <v>1012</v>
      </c>
      <c r="M302" s="44"/>
      <c r="N302" s="45" t="str">
        <f>_xlfn.IFNA(IF(VLOOKUP(tabPontoPed[[#This Row],[CÓDIGO]],Excluir_do_Estoque!$A$4:$A$4004,1,FALSE),"sim",""),"")</f>
        <v/>
      </c>
      <c r="O302" s="10" t="str">
        <f t="shared" si="4"/>
        <v>*</v>
      </c>
    </row>
    <row r="303" spans="1:15" x14ac:dyDescent="0.25">
      <c r="A303" s="2">
        <v>35550</v>
      </c>
      <c r="B303" s="4" t="s">
        <v>159</v>
      </c>
      <c r="C303" s="41" t="s">
        <v>1345</v>
      </c>
      <c r="D303" s="42">
        <v>83</v>
      </c>
      <c r="E303" s="43">
        <v>2</v>
      </c>
      <c r="F303" s="50" t="str">
        <f>VLOOKUP(tabPontoPed[[#This Row],[GRUPO]],tabGrupos[#Data],2,FALSE)</f>
        <v>ABRASIVOS</v>
      </c>
      <c r="G303" s="42" t="str">
        <f>VLOOKUP(tabPontoPed[[#This Row],[GRUPO]],tabGrupos[#Data],3,FALSE)</f>
        <v>MAN</v>
      </c>
      <c r="H303" s="41" t="s">
        <v>1339</v>
      </c>
      <c r="I303" s="9">
        <v>4</v>
      </c>
      <c r="J303" s="51">
        <v>8</v>
      </c>
      <c r="K303" s="7">
        <f>tabPontoPed[[#This Row],[QTDMÊS]] * tabPontoPed[[#This Row],[MENSAL]]</f>
        <v>32</v>
      </c>
      <c r="L303" s="13" t="s">
        <v>1012</v>
      </c>
      <c r="M303" s="44"/>
      <c r="N303" s="45" t="str">
        <f>_xlfn.IFNA(IF(VLOOKUP(tabPontoPed[[#This Row],[CÓDIGO]],Excluir_do_Estoque!$A$4:$A$4004,1,FALSE),"sim",""),"")</f>
        <v/>
      </c>
      <c r="O303" s="10" t="str">
        <f t="shared" si="4"/>
        <v>*</v>
      </c>
    </row>
    <row r="304" spans="1:15" x14ac:dyDescent="0.25">
      <c r="A304" s="2">
        <v>35554</v>
      </c>
      <c r="B304" s="4" t="s">
        <v>165</v>
      </c>
      <c r="C304" s="41" t="s">
        <v>1345</v>
      </c>
      <c r="D304" s="42">
        <v>83</v>
      </c>
      <c r="E304" s="43">
        <v>2</v>
      </c>
      <c r="F304" s="50" t="str">
        <f>VLOOKUP(tabPontoPed[[#This Row],[GRUPO]],tabGrupos[#Data],2,FALSE)</f>
        <v>ABRASIVOS</v>
      </c>
      <c r="G304" s="42" t="str">
        <f>VLOOKUP(tabPontoPed[[#This Row],[GRUPO]],tabGrupos[#Data],3,FALSE)</f>
        <v>MAN</v>
      </c>
      <c r="H304" s="41" t="s">
        <v>1339</v>
      </c>
      <c r="I304" s="9">
        <v>4</v>
      </c>
      <c r="J304" s="51">
        <v>2</v>
      </c>
      <c r="K304" s="7">
        <f>tabPontoPed[[#This Row],[QTDMÊS]] * tabPontoPed[[#This Row],[MENSAL]]</f>
        <v>8</v>
      </c>
      <c r="L304" s="13" t="s">
        <v>1012</v>
      </c>
      <c r="M304" s="44"/>
      <c r="N304" s="45" t="str">
        <f>_xlfn.IFNA(IF(VLOOKUP(tabPontoPed[[#This Row],[CÓDIGO]],Excluir_do_Estoque!$A$4:$A$4004,1,FALSE),"sim",""),"")</f>
        <v/>
      </c>
      <c r="O304" s="10" t="str">
        <f t="shared" si="4"/>
        <v>*</v>
      </c>
    </row>
    <row r="305" spans="1:15" x14ac:dyDescent="0.25">
      <c r="A305" s="2">
        <v>35555</v>
      </c>
      <c r="B305" s="4" t="s">
        <v>166</v>
      </c>
      <c r="C305" s="41" t="s">
        <v>1345</v>
      </c>
      <c r="D305" s="42">
        <v>83</v>
      </c>
      <c r="E305" s="43">
        <v>2</v>
      </c>
      <c r="F305" s="50" t="str">
        <f>VLOOKUP(tabPontoPed[[#This Row],[GRUPO]],tabGrupos[#Data],2,FALSE)</f>
        <v>ABRASIVOS</v>
      </c>
      <c r="G305" s="42" t="str">
        <f>VLOOKUP(tabPontoPed[[#This Row],[GRUPO]],tabGrupos[#Data],3,FALSE)</f>
        <v>MAN</v>
      </c>
      <c r="H305" s="41" t="s">
        <v>1339</v>
      </c>
      <c r="I305" s="9">
        <v>4</v>
      </c>
      <c r="J305" s="51">
        <v>3</v>
      </c>
      <c r="K305" s="7">
        <f>tabPontoPed[[#This Row],[QTDMÊS]] * tabPontoPed[[#This Row],[MENSAL]]</f>
        <v>12</v>
      </c>
      <c r="L305" s="13" t="s">
        <v>1012</v>
      </c>
      <c r="M305" s="44"/>
      <c r="N305" s="45" t="str">
        <f>_xlfn.IFNA(IF(VLOOKUP(tabPontoPed[[#This Row],[CÓDIGO]],Excluir_do_Estoque!$A$4:$A$4004,1,FALSE),"sim",""),"")</f>
        <v/>
      </c>
      <c r="O305" s="10" t="str">
        <f t="shared" si="4"/>
        <v>*</v>
      </c>
    </row>
    <row r="306" spans="1:15" x14ac:dyDescent="0.25">
      <c r="A306" s="2">
        <v>36011</v>
      </c>
      <c r="B306" s="4" t="s">
        <v>173</v>
      </c>
      <c r="C306" s="41" t="s">
        <v>1345</v>
      </c>
      <c r="D306" s="42">
        <v>76</v>
      </c>
      <c r="E306" s="43">
        <v>9</v>
      </c>
      <c r="F306" s="50" t="str">
        <f>VLOOKUP(tabPontoPed[[#This Row],[GRUPO]],tabGrupos[#Data],2,FALSE)</f>
        <v>EQUIP. E MATERIAIS P/PINTURAS E IMPERMEABILIZACAO</v>
      </c>
      <c r="G306" s="42" t="str">
        <f>VLOOKUP(tabPontoPed[[#This Row],[GRUPO]],tabGrupos[#Data],3,FALSE)</f>
        <v>MPI</v>
      </c>
      <c r="H306" s="41" t="s">
        <v>1339</v>
      </c>
      <c r="I306" s="9">
        <v>4</v>
      </c>
      <c r="J306" s="51">
        <v>2</v>
      </c>
      <c r="K306" s="7">
        <f>tabPontoPed[[#This Row],[QTDMÊS]] * tabPontoPed[[#This Row],[MENSAL]]</f>
        <v>8</v>
      </c>
      <c r="L306" s="13" t="s">
        <v>1012</v>
      </c>
      <c r="M306" s="44"/>
      <c r="N306" s="45" t="str">
        <f>_xlfn.IFNA(IF(VLOOKUP(tabPontoPed[[#This Row],[CÓDIGO]],Excluir_do_Estoque!$A$4:$A$4004,1,FALSE),"sim",""),"")</f>
        <v/>
      </c>
      <c r="O306" s="10" t="str">
        <f t="shared" si="4"/>
        <v>*</v>
      </c>
    </row>
    <row r="307" spans="1:15" x14ac:dyDescent="0.25">
      <c r="A307" s="2">
        <v>36031</v>
      </c>
      <c r="B307" s="4" t="s">
        <v>845</v>
      </c>
      <c r="C307" s="41" t="s">
        <v>1345</v>
      </c>
      <c r="D307" s="42">
        <v>67</v>
      </c>
      <c r="E307" s="43">
        <v>6</v>
      </c>
      <c r="F307" s="50" t="str">
        <f>VLOOKUP(tabPontoPed[[#This Row],[GRUPO]],tabGrupos[#Data],2,FALSE)</f>
        <v>PARAFUSOS ELEM. VEDACAO UNIAO CONEX . FIXACAO</v>
      </c>
      <c r="G307" s="42" t="str">
        <f>VLOOKUP(tabPontoPed[[#This Row],[GRUPO]],tabGrupos[#Data],3,FALSE)</f>
        <v>MSE</v>
      </c>
      <c r="H307" s="41" t="s">
        <v>1339</v>
      </c>
      <c r="I307" s="9">
        <v>4</v>
      </c>
      <c r="J307" s="51">
        <v>16</v>
      </c>
      <c r="K307" s="7">
        <f>tabPontoPed[[#This Row],[QTDMÊS]] * tabPontoPed[[#This Row],[MENSAL]]</f>
        <v>64</v>
      </c>
      <c r="L307" s="13" t="s">
        <v>1012</v>
      </c>
      <c r="M307" s="44"/>
      <c r="N307" s="45" t="str">
        <f>_xlfn.IFNA(IF(VLOOKUP(tabPontoPed[[#This Row],[CÓDIGO]],Excluir_do_Estoque!$A$4:$A$4004,1,FALSE),"sim",""),"")</f>
        <v/>
      </c>
      <c r="O307" s="10" t="str">
        <f t="shared" si="4"/>
        <v>*</v>
      </c>
    </row>
    <row r="308" spans="1:15" x14ac:dyDescent="0.25">
      <c r="A308" s="2">
        <v>36399</v>
      </c>
      <c r="B308" s="4" t="s">
        <v>997</v>
      </c>
      <c r="C308" s="41" t="s">
        <v>1345</v>
      </c>
      <c r="D308" s="42">
        <v>89</v>
      </c>
      <c r="E308" s="43">
        <v>12</v>
      </c>
      <c r="F308" s="50" t="str">
        <f>VLOOKUP(tabPontoPed[[#This Row],[GRUPO]],tabGrupos[#Data],2,FALSE)</f>
        <v>PEC.P/ VEICULO DE USO ESPECIAL E BATERIASROLAMENTO</v>
      </c>
      <c r="G308" s="42" t="str">
        <f>VLOOKUP(tabPontoPed[[#This Row],[GRUPO]],tabGrupos[#Data],3,FALSE)</f>
        <v>MFR</v>
      </c>
      <c r="H308" s="41" t="s">
        <v>1339</v>
      </c>
      <c r="I308" s="9">
        <v>4</v>
      </c>
      <c r="J308" s="51">
        <v>2</v>
      </c>
      <c r="K308" s="7">
        <f>tabPontoPed[[#This Row],[QTDMÊS]] * tabPontoPed[[#This Row],[MENSAL]]</f>
        <v>8</v>
      </c>
      <c r="L308" s="13" t="s">
        <v>1012</v>
      </c>
      <c r="M308" s="44"/>
      <c r="N308" s="45" t="str">
        <f>_xlfn.IFNA(IF(VLOOKUP(tabPontoPed[[#This Row],[CÓDIGO]],Excluir_do_Estoque!$A$4:$A$4004,1,FALSE),"sim",""),"")</f>
        <v/>
      </c>
      <c r="O308" s="10" t="str">
        <f t="shared" si="4"/>
        <v>*</v>
      </c>
    </row>
    <row r="309" spans="1:15" x14ac:dyDescent="0.25">
      <c r="A309" s="2">
        <v>36400</v>
      </c>
      <c r="B309" s="4" t="s">
        <v>998</v>
      </c>
      <c r="C309" s="41" t="s">
        <v>1345</v>
      </c>
      <c r="D309" s="42">
        <v>89</v>
      </c>
      <c r="E309" s="43">
        <v>12</v>
      </c>
      <c r="F309" s="50" t="str">
        <f>VLOOKUP(tabPontoPed[[#This Row],[GRUPO]],tabGrupos[#Data],2,FALSE)</f>
        <v>PEC.P/ VEICULO DE USO ESPECIAL E BATERIASROLAMENTO</v>
      </c>
      <c r="G309" s="42" t="str">
        <f>VLOOKUP(tabPontoPed[[#This Row],[GRUPO]],tabGrupos[#Data],3,FALSE)</f>
        <v>MFR</v>
      </c>
      <c r="H309" s="41" t="s">
        <v>1339</v>
      </c>
      <c r="I309" s="9">
        <v>4</v>
      </c>
      <c r="J309" s="51">
        <v>0</v>
      </c>
      <c r="K309" s="7">
        <f>tabPontoPed[[#This Row],[QTDMÊS]] * tabPontoPed[[#This Row],[MENSAL]]</f>
        <v>0</v>
      </c>
      <c r="L309" s="13" t="s">
        <v>1012</v>
      </c>
      <c r="M309" s="44"/>
      <c r="N309" s="45" t="str">
        <f>_xlfn.IFNA(IF(VLOOKUP(tabPontoPed[[#This Row],[CÓDIGO]],Excluir_do_Estoque!$A$4:$A$4004,1,FALSE),"sim",""),"")</f>
        <v/>
      </c>
      <c r="O309" s="10" t="str">
        <f t="shared" si="4"/>
        <v>*</v>
      </c>
    </row>
    <row r="310" spans="1:15" x14ac:dyDescent="0.25">
      <c r="A310" s="2">
        <v>37518</v>
      </c>
      <c r="B310" s="4" t="s">
        <v>637</v>
      </c>
      <c r="C310" s="41" t="s">
        <v>1345</v>
      </c>
      <c r="D310" s="42">
        <v>55</v>
      </c>
      <c r="E310" s="43">
        <v>27</v>
      </c>
      <c r="F310" s="50" t="str">
        <f>VLOOKUP(tabPontoPed[[#This Row],[GRUPO]],tabGrupos[#Data],2,FALSE)</f>
        <v>EQUIP. MAT. P/ GERACAO, TRANSM. DISTR. RETIF...</v>
      </c>
      <c r="G310" s="42" t="str">
        <f>VLOOKUP(tabPontoPed[[#This Row],[GRUPO]],tabGrupos[#Data],3,FALSE)</f>
        <v>MEL</v>
      </c>
      <c r="H310" s="41" t="s">
        <v>1339</v>
      </c>
      <c r="I310" s="9">
        <v>4</v>
      </c>
      <c r="J310" s="51">
        <v>3</v>
      </c>
      <c r="K310" s="7">
        <f>tabPontoPed[[#This Row],[QTDMÊS]] * tabPontoPed[[#This Row],[MENSAL]]</f>
        <v>12</v>
      </c>
      <c r="L310" s="13" t="s">
        <v>1012</v>
      </c>
      <c r="M310" s="44"/>
      <c r="N310" s="45" t="str">
        <f>_xlfn.IFNA(IF(VLOOKUP(tabPontoPed[[#This Row],[CÓDIGO]],Excluir_do_Estoque!$A$4:$A$4004,1,FALSE),"sim",""),"")</f>
        <v/>
      </c>
      <c r="O310" s="10" t="str">
        <f t="shared" si="4"/>
        <v>*</v>
      </c>
    </row>
    <row r="311" spans="1:15" x14ac:dyDescent="0.25">
      <c r="A311" s="2">
        <v>37519</v>
      </c>
      <c r="B311" s="4" t="s">
        <v>638</v>
      </c>
      <c r="C311" s="41" t="s">
        <v>1345</v>
      </c>
      <c r="D311" s="42">
        <v>55</v>
      </c>
      <c r="E311" s="43">
        <v>27</v>
      </c>
      <c r="F311" s="50" t="str">
        <f>VLOOKUP(tabPontoPed[[#This Row],[GRUPO]],tabGrupos[#Data],2,FALSE)</f>
        <v>EQUIP. MAT. P/ GERACAO, TRANSM. DISTR. RETIF...</v>
      </c>
      <c r="G311" s="42" t="str">
        <f>VLOOKUP(tabPontoPed[[#This Row],[GRUPO]],tabGrupos[#Data],3,FALSE)</f>
        <v>MEL</v>
      </c>
      <c r="H311" s="41" t="s">
        <v>1339</v>
      </c>
      <c r="I311" s="9">
        <v>4</v>
      </c>
      <c r="J311" s="51">
        <v>3</v>
      </c>
      <c r="K311" s="7">
        <f>tabPontoPed[[#This Row],[QTDMÊS]] * tabPontoPed[[#This Row],[MENSAL]]</f>
        <v>12</v>
      </c>
      <c r="L311" s="13" t="s">
        <v>1012</v>
      </c>
      <c r="M311" s="44"/>
      <c r="N311" s="45" t="str">
        <f>_xlfn.IFNA(IF(VLOOKUP(tabPontoPed[[#This Row],[CÓDIGO]],Excluir_do_Estoque!$A$4:$A$4004,1,FALSE),"sim",""),"")</f>
        <v/>
      </c>
      <c r="O311" s="10" t="str">
        <f t="shared" si="4"/>
        <v>*</v>
      </c>
    </row>
    <row r="312" spans="1:15" x14ac:dyDescent="0.25">
      <c r="A312" s="2">
        <v>37528</v>
      </c>
      <c r="B312" s="4" t="s">
        <v>820</v>
      </c>
      <c r="C312" s="41" t="s">
        <v>1345</v>
      </c>
      <c r="D312" s="42">
        <v>67</v>
      </c>
      <c r="E312" s="43">
        <v>1</v>
      </c>
      <c r="F312" s="50" t="str">
        <f>VLOOKUP(tabPontoPed[[#This Row],[GRUPO]],tabGrupos[#Data],2,FALSE)</f>
        <v>PARAFUSOS ELEM. VEDACAO UNIAO CONEX . FIXACAO</v>
      </c>
      <c r="G312" s="42" t="str">
        <f>VLOOKUP(tabPontoPed[[#This Row],[GRUPO]],tabGrupos[#Data],3,FALSE)</f>
        <v>MSE</v>
      </c>
      <c r="H312" s="41" t="s">
        <v>1339</v>
      </c>
      <c r="I312" s="9">
        <v>4</v>
      </c>
      <c r="J312" s="51">
        <v>47</v>
      </c>
      <c r="K312" s="7">
        <f>tabPontoPed[[#This Row],[QTDMÊS]] * tabPontoPed[[#This Row],[MENSAL]]</f>
        <v>188</v>
      </c>
      <c r="L312" s="13" t="s">
        <v>1012</v>
      </c>
      <c r="M312" s="44"/>
      <c r="N312" s="45" t="str">
        <f>_xlfn.IFNA(IF(VLOOKUP(tabPontoPed[[#This Row],[CÓDIGO]],Excluir_do_Estoque!$A$4:$A$4004,1,FALSE),"sim",""),"")</f>
        <v/>
      </c>
      <c r="O312" s="10" t="str">
        <f t="shared" si="4"/>
        <v>*</v>
      </c>
    </row>
    <row r="313" spans="1:15" x14ac:dyDescent="0.25">
      <c r="A313" s="2">
        <v>38534</v>
      </c>
      <c r="B313" s="4" t="s">
        <v>754</v>
      </c>
      <c r="C313" s="41" t="s">
        <v>1345</v>
      </c>
      <c r="D313" s="42">
        <v>61</v>
      </c>
      <c r="E313" s="43">
        <v>8</v>
      </c>
      <c r="F313" s="50" t="str">
        <f>VLOOKUP(tabPontoPed[[#This Row],[GRUPO]],tabGrupos[#Data],2,FALSE)</f>
        <v>MATERIAL HIDRAULICO, CANOS, TUBOS, MANGUEIRAS, CONEXOES E ACESS.</v>
      </c>
      <c r="G313" s="42" t="str">
        <f>VLOOKUP(tabPontoPed[[#This Row],[GRUPO]],tabGrupos[#Data],3,FALSE)</f>
        <v>MHI</v>
      </c>
      <c r="H313" s="41" t="s">
        <v>1339</v>
      </c>
      <c r="I313" s="9">
        <v>4</v>
      </c>
      <c r="J313" s="51">
        <v>1</v>
      </c>
      <c r="K313" s="7">
        <f>tabPontoPed[[#This Row],[QTDMÊS]] * tabPontoPed[[#This Row],[MENSAL]]</f>
        <v>4</v>
      </c>
      <c r="L313" s="13" t="s">
        <v>1012</v>
      </c>
      <c r="M313" s="44"/>
      <c r="N313" s="45" t="str">
        <f>_xlfn.IFNA(IF(VLOOKUP(tabPontoPed[[#This Row],[CÓDIGO]],Excluir_do_Estoque!$A$4:$A$4004,1,FALSE),"sim",""),"")</f>
        <v/>
      </c>
      <c r="O313" s="10" t="str">
        <f t="shared" si="4"/>
        <v>*</v>
      </c>
    </row>
    <row r="314" spans="1:15" x14ac:dyDescent="0.25">
      <c r="A314" s="2">
        <v>38648</v>
      </c>
      <c r="B314" s="4" t="s">
        <v>716</v>
      </c>
      <c r="C314" s="41" t="s">
        <v>1345</v>
      </c>
      <c r="D314" s="42">
        <v>59</v>
      </c>
      <c r="E314" s="43">
        <v>18</v>
      </c>
      <c r="F314" s="50" t="str">
        <f>VLOOKUP(tabPontoPed[[#This Row],[GRUPO]],tabGrupos[#Data],2,FALSE)</f>
        <v>EQUIP.MAT.E ACESS.COMUNIC.CINE FOTO OTICA SOM</v>
      </c>
      <c r="G314" s="42" t="str">
        <f>VLOOKUP(tabPontoPed[[#This Row],[GRUPO]],tabGrupos[#Data],3,FALSE)</f>
        <v>INF</v>
      </c>
      <c r="H314" s="41" t="s">
        <v>1339</v>
      </c>
      <c r="I314" s="9">
        <v>4</v>
      </c>
      <c r="J314" s="51">
        <v>0</v>
      </c>
      <c r="K314" s="7">
        <f>tabPontoPed[[#This Row],[QTDMÊS]] * tabPontoPed[[#This Row],[MENSAL]]</f>
        <v>0</v>
      </c>
      <c r="L314" s="13" t="s">
        <v>1012</v>
      </c>
      <c r="M314" s="44"/>
      <c r="N314" s="45" t="str">
        <f>_xlfn.IFNA(IF(VLOOKUP(tabPontoPed[[#This Row],[CÓDIGO]],Excluir_do_Estoque!$A$4:$A$4004,1,FALSE),"sim",""),"")</f>
        <v/>
      </c>
      <c r="O314" s="10" t="str">
        <f t="shared" si="4"/>
        <v>*</v>
      </c>
    </row>
    <row r="315" spans="1:15" x14ac:dyDescent="0.25">
      <c r="A315" s="2">
        <v>38930</v>
      </c>
      <c r="B315" s="4" t="s">
        <v>917</v>
      </c>
      <c r="C315" s="41" t="s">
        <v>1345</v>
      </c>
      <c r="D315" s="42">
        <v>70</v>
      </c>
      <c r="E315" s="43">
        <v>33</v>
      </c>
      <c r="F315" s="50" t="str">
        <f>VLOOKUP(tabPontoPed[[#This Row],[GRUPO]],tabGrupos[#Data],2,FALSE)</f>
        <v>FERRAMENTAS MAQ.FERRAMENTAS,ELETR.PECAS E ACESSORI</v>
      </c>
      <c r="G315" s="42" t="str">
        <f>VLOOKUP(tabPontoPed[[#This Row],[GRUPO]],tabGrupos[#Data],3,FALSE)</f>
        <v>MAN</v>
      </c>
      <c r="H315" s="41" t="s">
        <v>1339</v>
      </c>
      <c r="I315" s="9">
        <v>4</v>
      </c>
      <c r="J315" s="51">
        <v>2</v>
      </c>
      <c r="K315" s="7">
        <f>tabPontoPed[[#This Row],[QTDMÊS]] * tabPontoPed[[#This Row],[MENSAL]]</f>
        <v>8</v>
      </c>
      <c r="L315" s="13" t="s">
        <v>1012</v>
      </c>
      <c r="M315" s="44"/>
      <c r="N315" s="45" t="str">
        <f>_xlfn.IFNA(IF(VLOOKUP(tabPontoPed[[#This Row],[CÓDIGO]],Excluir_do_Estoque!$A$4:$A$4004,1,FALSE),"sim",""),"")</f>
        <v/>
      </c>
      <c r="O315" s="10" t="str">
        <f t="shared" si="4"/>
        <v>*</v>
      </c>
    </row>
    <row r="316" spans="1:15" x14ac:dyDescent="0.25">
      <c r="A316" s="2">
        <v>39378</v>
      </c>
      <c r="B316" s="4" t="s">
        <v>821</v>
      </c>
      <c r="C316" s="41" t="s">
        <v>1345</v>
      </c>
      <c r="D316" s="42">
        <v>67</v>
      </c>
      <c r="E316" s="43">
        <v>1</v>
      </c>
      <c r="F316" s="50" t="str">
        <f>VLOOKUP(tabPontoPed[[#This Row],[GRUPO]],tabGrupos[#Data],2,FALSE)</f>
        <v>PARAFUSOS ELEM. VEDACAO UNIAO CONEX . FIXACAO</v>
      </c>
      <c r="G316" s="42" t="str">
        <f>VLOOKUP(tabPontoPed[[#This Row],[GRUPO]],tabGrupos[#Data],3,FALSE)</f>
        <v>MSE</v>
      </c>
      <c r="H316" s="41" t="s">
        <v>1339</v>
      </c>
      <c r="I316" s="9">
        <v>4</v>
      </c>
      <c r="J316" s="51">
        <v>27</v>
      </c>
      <c r="K316" s="7">
        <f>tabPontoPed[[#This Row],[QTDMÊS]] * tabPontoPed[[#This Row],[MENSAL]]</f>
        <v>108</v>
      </c>
      <c r="L316" s="13" t="s">
        <v>1012</v>
      </c>
      <c r="M316" s="44"/>
      <c r="N316" s="45" t="str">
        <f>_xlfn.IFNA(IF(VLOOKUP(tabPontoPed[[#This Row],[CÓDIGO]],Excluir_do_Estoque!$A$4:$A$4004,1,FALSE),"sim",""),"")</f>
        <v/>
      </c>
      <c r="O316" s="10" t="str">
        <f t="shared" si="4"/>
        <v>*</v>
      </c>
    </row>
    <row r="317" spans="1:15" x14ac:dyDescent="0.25">
      <c r="A317" s="2">
        <v>40086</v>
      </c>
      <c r="B317" s="4" t="s">
        <v>524</v>
      </c>
      <c r="C317" s="41" t="s">
        <v>1345</v>
      </c>
      <c r="D317" s="42">
        <v>51</v>
      </c>
      <c r="E317" s="43">
        <v>17</v>
      </c>
      <c r="F317" s="50" t="str">
        <f>VLOOKUP(tabPontoPed[[#This Row],[GRUPO]],tabGrupos[#Data],2,FALSE)</f>
        <v>MAT.E EQUIP. P/ CONSTR.CIVIL E CONSERV. DE VIAS PUBL.</v>
      </c>
      <c r="G317" s="42" t="str">
        <f>VLOOKUP(tabPontoPed[[#This Row],[GRUPO]],tabGrupos[#Data],3,FALSE)</f>
        <v>MCO</v>
      </c>
      <c r="H317" s="41" t="s">
        <v>1339</v>
      </c>
      <c r="I317" s="9">
        <v>4</v>
      </c>
      <c r="J317" s="51">
        <v>17</v>
      </c>
      <c r="K317" s="7">
        <f>tabPontoPed[[#This Row],[QTDMÊS]] * tabPontoPed[[#This Row],[MENSAL]]</f>
        <v>68</v>
      </c>
      <c r="L317" s="13" t="s">
        <v>1012</v>
      </c>
      <c r="M317" s="44"/>
      <c r="N317" s="45" t="str">
        <f>_xlfn.IFNA(IF(VLOOKUP(tabPontoPed[[#This Row],[CÓDIGO]],Excluir_do_Estoque!$A$4:$A$4004,1,FALSE),"sim",""),"")</f>
        <v/>
      </c>
      <c r="O317" s="10" t="str">
        <f t="shared" si="4"/>
        <v>*</v>
      </c>
    </row>
    <row r="318" spans="1:15" x14ac:dyDescent="0.25">
      <c r="A318" s="2">
        <v>40251</v>
      </c>
      <c r="B318" s="4" t="s">
        <v>990</v>
      </c>
      <c r="C318" s="41" t="s">
        <v>1345</v>
      </c>
      <c r="D318" s="42">
        <v>83</v>
      </c>
      <c r="E318" s="43">
        <v>4</v>
      </c>
      <c r="F318" s="50" t="str">
        <f>VLOOKUP(tabPontoPed[[#This Row],[GRUPO]],tabGrupos[#Data],2,FALSE)</f>
        <v>ABRASIVOS</v>
      </c>
      <c r="G318" s="42" t="str">
        <f>VLOOKUP(tabPontoPed[[#This Row],[GRUPO]],tabGrupos[#Data],3,FALSE)</f>
        <v>MAN</v>
      </c>
      <c r="H318" s="41" t="s">
        <v>1339</v>
      </c>
      <c r="I318" s="9">
        <v>4</v>
      </c>
      <c r="J318" s="51">
        <v>16</v>
      </c>
      <c r="K318" s="7">
        <f>tabPontoPed[[#This Row],[QTDMÊS]] * tabPontoPed[[#This Row],[MENSAL]]</f>
        <v>64</v>
      </c>
      <c r="L318" s="13" t="s">
        <v>1012</v>
      </c>
      <c r="M318" s="44"/>
      <c r="N318" s="45" t="str">
        <f>_xlfn.IFNA(IF(VLOOKUP(tabPontoPed[[#This Row],[CÓDIGO]],Excluir_do_Estoque!$A$4:$A$4004,1,FALSE),"sim",""),"")</f>
        <v/>
      </c>
      <c r="O318" s="10" t="str">
        <f t="shared" si="4"/>
        <v>*</v>
      </c>
    </row>
    <row r="319" spans="1:15" x14ac:dyDescent="0.25">
      <c r="A319" s="2">
        <v>40685</v>
      </c>
      <c r="B319" s="4" t="s">
        <v>121</v>
      </c>
      <c r="C319" s="41" t="s">
        <v>1345</v>
      </c>
      <c r="D319" s="42">
        <v>55</v>
      </c>
      <c r="E319" s="43">
        <v>19</v>
      </c>
      <c r="F319" s="50" t="str">
        <f>VLOOKUP(tabPontoPed[[#This Row],[GRUPO]],tabGrupos[#Data],2,FALSE)</f>
        <v>EQUIP. MAT. P/ GERACAO, TRANSM. DISTR. RETIF...</v>
      </c>
      <c r="G319" s="42" t="str">
        <f>VLOOKUP(tabPontoPed[[#This Row],[GRUPO]],tabGrupos[#Data],3,FALSE)</f>
        <v>MEL</v>
      </c>
      <c r="H319" s="41" t="s">
        <v>1339</v>
      </c>
      <c r="I319" s="9">
        <v>4</v>
      </c>
      <c r="J319" s="51">
        <v>77</v>
      </c>
      <c r="K319" s="7">
        <f>tabPontoPed[[#This Row],[QTDMÊS]] * tabPontoPed[[#This Row],[MENSAL]]</f>
        <v>308</v>
      </c>
      <c r="L319" s="13" t="s">
        <v>1012</v>
      </c>
      <c r="M319" s="44"/>
      <c r="N319" s="45" t="str">
        <f>_xlfn.IFNA(IF(VLOOKUP(tabPontoPed[[#This Row],[CÓDIGO]],Excluir_do_Estoque!$A$4:$A$4004,1,FALSE),"sim",""),"")</f>
        <v/>
      </c>
      <c r="O319" s="10" t="str">
        <f t="shared" si="4"/>
        <v>*</v>
      </c>
    </row>
    <row r="320" spans="1:15" x14ac:dyDescent="0.25">
      <c r="A320" s="2">
        <v>40772</v>
      </c>
      <c r="B320" s="4" t="s">
        <v>755</v>
      </c>
      <c r="C320" s="41" t="s">
        <v>1345</v>
      </c>
      <c r="D320" s="42">
        <v>61</v>
      </c>
      <c r="E320" s="43">
        <v>8</v>
      </c>
      <c r="F320" s="50" t="str">
        <f>VLOOKUP(tabPontoPed[[#This Row],[GRUPO]],tabGrupos[#Data],2,FALSE)</f>
        <v>MATERIAL HIDRAULICO, CANOS, TUBOS, MANGUEIRAS, CONEXOES E ACESS.</v>
      </c>
      <c r="G320" s="42" t="str">
        <f>VLOOKUP(tabPontoPed[[#This Row],[GRUPO]],tabGrupos[#Data],3,FALSE)</f>
        <v>MHI</v>
      </c>
      <c r="H320" s="41" t="s">
        <v>1339</v>
      </c>
      <c r="I320" s="9">
        <v>4</v>
      </c>
      <c r="J320" s="51">
        <v>2</v>
      </c>
      <c r="K320" s="7">
        <f>tabPontoPed[[#This Row],[QTDMÊS]] * tabPontoPed[[#This Row],[MENSAL]]</f>
        <v>8</v>
      </c>
      <c r="L320" s="13" t="s">
        <v>1012</v>
      </c>
      <c r="M320" s="44"/>
      <c r="N320" s="45" t="str">
        <f>_xlfn.IFNA(IF(VLOOKUP(tabPontoPed[[#This Row],[CÓDIGO]],Excluir_do_Estoque!$A$4:$A$4004,1,FALSE),"sim",""),"")</f>
        <v/>
      </c>
      <c r="O320" s="10" t="str">
        <f t="shared" si="4"/>
        <v>*</v>
      </c>
    </row>
    <row r="321" spans="1:15" x14ac:dyDescent="0.25">
      <c r="A321" s="2">
        <v>42566</v>
      </c>
      <c r="B321" s="4" t="s">
        <v>546</v>
      </c>
      <c r="C321" s="41" t="s">
        <v>1345</v>
      </c>
      <c r="D321" s="42">
        <v>51</v>
      </c>
      <c r="E321" s="43">
        <v>28</v>
      </c>
      <c r="F321" s="50" t="str">
        <f>VLOOKUP(tabPontoPed[[#This Row],[GRUPO]],tabGrupos[#Data],2,FALSE)</f>
        <v>MAT.E EQUIP. P/ CONSTR.CIVIL E CONSERV. DE VIAS PUBL.</v>
      </c>
      <c r="G321" s="42" t="str">
        <f>VLOOKUP(tabPontoPed[[#This Row],[GRUPO]],tabGrupos[#Data],3,FALSE)</f>
        <v>MCO</v>
      </c>
      <c r="H321" s="41" t="s">
        <v>1339</v>
      </c>
      <c r="I321" s="9">
        <v>4</v>
      </c>
      <c r="J321" s="51">
        <v>4</v>
      </c>
      <c r="K321" s="7">
        <f>tabPontoPed[[#This Row],[QTDMÊS]] * tabPontoPed[[#This Row],[MENSAL]]</f>
        <v>16</v>
      </c>
      <c r="L321" s="13" t="s">
        <v>1012</v>
      </c>
      <c r="M321" s="44"/>
      <c r="N321" s="45" t="str">
        <f>_xlfn.IFNA(IF(VLOOKUP(tabPontoPed[[#This Row],[CÓDIGO]],Excluir_do_Estoque!$A$4:$A$4004,1,FALSE),"sim",""),"")</f>
        <v/>
      </c>
      <c r="O321" s="10" t="str">
        <f t="shared" si="4"/>
        <v>*</v>
      </c>
    </row>
    <row r="322" spans="1:15" x14ac:dyDescent="0.25">
      <c r="A322" s="2">
        <v>42681</v>
      </c>
      <c r="B322" s="4" t="s">
        <v>574</v>
      </c>
      <c r="C322" s="41" t="s">
        <v>1345</v>
      </c>
      <c r="D322" s="42">
        <v>54</v>
      </c>
      <c r="E322" s="43">
        <v>4</v>
      </c>
      <c r="F322" s="50" t="str">
        <f>VLOOKUP(tabPontoPed[[#This Row],[GRUPO]],tabGrupos[#Data],2,FALSE)</f>
        <v>EQUIP PROT IND, INST MAT P/ SINAL, CONTR, COMB ...</v>
      </c>
      <c r="G322" s="42" t="str">
        <f>VLOOKUP(tabPontoPed[[#This Row],[GRUPO]],tabGrupos[#Data],3,FALSE)</f>
        <v>MAN</v>
      </c>
      <c r="H322" s="41" t="s">
        <v>1339</v>
      </c>
      <c r="I322" s="9">
        <v>4</v>
      </c>
      <c r="J322" s="51">
        <v>0</v>
      </c>
      <c r="K322" s="7">
        <f>tabPontoPed[[#This Row],[QTDMÊS]] * tabPontoPed[[#This Row],[MENSAL]]</f>
        <v>0</v>
      </c>
      <c r="L322" s="13" t="s">
        <v>1012</v>
      </c>
      <c r="M322" s="44"/>
      <c r="N322" s="45" t="str">
        <f>_xlfn.IFNA(IF(VLOOKUP(tabPontoPed[[#This Row],[CÓDIGO]],Excluir_do_Estoque!$A$4:$A$4004,1,FALSE),"sim",""),"")</f>
        <v/>
      </c>
      <c r="O322" s="10" t="str">
        <f t="shared" si="4"/>
        <v>*</v>
      </c>
    </row>
    <row r="323" spans="1:15" x14ac:dyDescent="0.25">
      <c r="A323" s="2">
        <v>42854</v>
      </c>
      <c r="B323" s="4" t="s">
        <v>491</v>
      </c>
      <c r="C323" s="41" t="s">
        <v>1345</v>
      </c>
      <c r="D323" s="42">
        <v>49</v>
      </c>
      <c r="E323" s="43">
        <v>8</v>
      </c>
      <c r="F323" s="50" t="str">
        <f>VLOOKUP(tabPontoPed[[#This Row],[GRUPO]],tabGrupos[#Data],2,FALSE)</f>
        <v>EQUIP. P/REFR. PURIF. ADUCAO DE AGUA E TRAT. DE ESGOTO</v>
      </c>
      <c r="G323" s="42" t="str">
        <f>VLOOKUP(tabPontoPed[[#This Row],[GRUPO]],tabGrupos[#Data],3,FALSE)</f>
        <v>MHI</v>
      </c>
      <c r="H323" s="41" t="s">
        <v>1339</v>
      </c>
      <c r="I323" s="9">
        <v>4</v>
      </c>
      <c r="J323" s="51">
        <v>82</v>
      </c>
      <c r="K323" s="7">
        <f>tabPontoPed[[#This Row],[QTDMÊS]] * tabPontoPed[[#This Row],[MENSAL]]</f>
        <v>328</v>
      </c>
      <c r="L323" s="13" t="s">
        <v>1012</v>
      </c>
      <c r="M323" s="44"/>
      <c r="N323" s="45" t="str">
        <f>_xlfn.IFNA(IF(VLOOKUP(tabPontoPed[[#This Row],[CÓDIGO]],Excluir_do_Estoque!$A$4:$A$4004,1,FALSE),"sim",""),"")</f>
        <v/>
      </c>
      <c r="O323" s="10" t="str">
        <f t="shared" si="4"/>
        <v>*</v>
      </c>
    </row>
    <row r="324" spans="1:15" x14ac:dyDescent="0.25">
      <c r="A324" s="2">
        <v>44398</v>
      </c>
      <c r="B324" s="4" t="s">
        <v>337</v>
      </c>
      <c r="C324" s="41" t="s">
        <v>1345</v>
      </c>
      <c r="D324" s="42">
        <v>61</v>
      </c>
      <c r="E324" s="43">
        <v>3</v>
      </c>
      <c r="F324" s="50" t="str">
        <f>VLOOKUP(tabPontoPed[[#This Row],[GRUPO]],tabGrupos[#Data],2,FALSE)</f>
        <v>MATERIAL HIDRAULICO, CANOS, TUBOS, MANGUEIRAS, CONEXOES E ACESS.</v>
      </c>
      <c r="G324" s="42" t="str">
        <f>VLOOKUP(tabPontoPed[[#This Row],[GRUPO]],tabGrupos[#Data],3,FALSE)</f>
        <v>MHI</v>
      </c>
      <c r="H324" s="41" t="s">
        <v>1339</v>
      </c>
      <c r="I324" s="9">
        <v>4</v>
      </c>
      <c r="J324" s="51">
        <v>62</v>
      </c>
      <c r="K324" s="7">
        <f>tabPontoPed[[#This Row],[QTDMÊS]] * tabPontoPed[[#This Row],[MENSAL]]</f>
        <v>248</v>
      </c>
      <c r="L324" s="13" t="s">
        <v>1012</v>
      </c>
      <c r="M324" s="44"/>
      <c r="N324" s="45" t="str">
        <f>_xlfn.IFNA(IF(VLOOKUP(tabPontoPed[[#This Row],[CÓDIGO]],Excluir_do_Estoque!$A$4:$A$4004,1,FALSE),"sim",""),"")</f>
        <v/>
      </c>
      <c r="O324" s="10" t="str">
        <f t="shared" ref="O324:O387" si="5">"*"</f>
        <v>*</v>
      </c>
    </row>
    <row r="325" spans="1:15" x14ac:dyDescent="0.25">
      <c r="A325" s="2">
        <v>44789</v>
      </c>
      <c r="B325" s="4" t="s">
        <v>756</v>
      </c>
      <c r="C325" s="41" t="s">
        <v>1345</v>
      </c>
      <c r="D325" s="42">
        <v>61</v>
      </c>
      <c r="E325" s="43">
        <v>8</v>
      </c>
      <c r="F325" s="50" t="str">
        <f>VLOOKUP(tabPontoPed[[#This Row],[GRUPO]],tabGrupos[#Data],2,FALSE)</f>
        <v>MATERIAL HIDRAULICO, CANOS, TUBOS, MANGUEIRAS, CONEXOES E ACESS.</v>
      </c>
      <c r="G325" s="42" t="str">
        <f>VLOOKUP(tabPontoPed[[#This Row],[GRUPO]],tabGrupos[#Data],3,FALSE)</f>
        <v>MHI</v>
      </c>
      <c r="H325" s="41" t="s">
        <v>1339</v>
      </c>
      <c r="I325" s="9">
        <v>4</v>
      </c>
      <c r="J325" s="51">
        <v>1</v>
      </c>
      <c r="K325" s="7">
        <f>tabPontoPed[[#This Row],[QTDMÊS]] * tabPontoPed[[#This Row],[MENSAL]]</f>
        <v>4</v>
      </c>
      <c r="L325" s="13" t="s">
        <v>1012</v>
      </c>
      <c r="M325" s="44"/>
      <c r="N325" s="45" t="str">
        <f>_xlfn.IFNA(IF(VLOOKUP(tabPontoPed[[#This Row],[CÓDIGO]],Excluir_do_Estoque!$A$4:$A$4004,1,FALSE),"sim",""),"")</f>
        <v/>
      </c>
      <c r="O325" s="10" t="str">
        <f t="shared" si="5"/>
        <v>*</v>
      </c>
    </row>
    <row r="326" spans="1:15" x14ac:dyDescent="0.25">
      <c r="A326" s="2">
        <v>45637</v>
      </c>
      <c r="B326" s="4" t="s">
        <v>621</v>
      </c>
      <c r="C326" s="41" t="s">
        <v>1345</v>
      </c>
      <c r="D326" s="42">
        <v>55</v>
      </c>
      <c r="E326" s="43">
        <v>9</v>
      </c>
      <c r="F326" s="50" t="str">
        <f>VLOOKUP(tabPontoPed[[#This Row],[GRUPO]],tabGrupos[#Data],2,FALSE)</f>
        <v>EQUIP. MAT. P/ GERACAO, TRANSM. DISTR. RETIF...</v>
      </c>
      <c r="G326" s="42" t="str">
        <f>VLOOKUP(tabPontoPed[[#This Row],[GRUPO]],tabGrupos[#Data],3,FALSE)</f>
        <v>MEL</v>
      </c>
      <c r="H326" s="41" t="s">
        <v>1339</v>
      </c>
      <c r="I326" s="9">
        <v>4</v>
      </c>
      <c r="J326" s="51">
        <v>7</v>
      </c>
      <c r="K326" s="7">
        <f>tabPontoPed[[#This Row],[QTDMÊS]] * tabPontoPed[[#This Row],[MENSAL]]</f>
        <v>28</v>
      </c>
      <c r="L326" s="13" t="s">
        <v>1012</v>
      </c>
      <c r="M326" s="44"/>
      <c r="N326" s="45" t="str">
        <f>_xlfn.IFNA(IF(VLOOKUP(tabPontoPed[[#This Row],[CÓDIGO]],Excluir_do_Estoque!$A$4:$A$4004,1,FALSE),"sim",""),"")</f>
        <v/>
      </c>
      <c r="O326" s="10" t="str">
        <f t="shared" si="5"/>
        <v>*</v>
      </c>
    </row>
    <row r="327" spans="1:15" x14ac:dyDescent="0.25">
      <c r="A327" s="2">
        <v>46420</v>
      </c>
      <c r="B327" s="4" t="s">
        <v>473</v>
      </c>
      <c r="C327" s="41" t="s">
        <v>1345</v>
      </c>
      <c r="D327" s="42">
        <v>45</v>
      </c>
      <c r="E327" s="43">
        <v>16</v>
      </c>
      <c r="F327" s="50" t="str">
        <f>VLOOKUP(tabPontoPed[[#This Row],[GRUPO]],tabGrupos[#Data],2,FALSE)</f>
        <v>MAQ., EQUIP., COMP., ACES., MAT. PARA ESCRIT.E ESCOLAR</v>
      </c>
      <c r="G327" s="42" t="str">
        <f>VLOOKUP(tabPontoPed[[#This Row],[GRUPO]],tabGrupos[#Data],3,FALSE)</f>
        <v>EDU</v>
      </c>
      <c r="H327" s="41" t="s">
        <v>1339</v>
      </c>
      <c r="I327" s="9">
        <v>4</v>
      </c>
      <c r="J327" s="51">
        <v>155</v>
      </c>
      <c r="K327" s="7">
        <f>tabPontoPed[[#This Row],[QTDMÊS]] * tabPontoPed[[#This Row],[MENSAL]]</f>
        <v>620</v>
      </c>
      <c r="L327" s="13" t="s">
        <v>1012</v>
      </c>
      <c r="M327" s="44"/>
      <c r="N327" s="45" t="str">
        <f>_xlfn.IFNA(IF(VLOOKUP(tabPontoPed[[#This Row],[CÓDIGO]],Excluir_do_Estoque!$A$4:$A$4004,1,FALSE),"sim",""),"")</f>
        <v/>
      </c>
      <c r="O327" s="10" t="str">
        <f t="shared" si="5"/>
        <v>*</v>
      </c>
    </row>
    <row r="328" spans="1:15" x14ac:dyDescent="0.25">
      <c r="A328" s="2">
        <v>47447</v>
      </c>
      <c r="B328" s="4" t="s">
        <v>93</v>
      </c>
      <c r="C328" s="41" t="s">
        <v>1345</v>
      </c>
      <c r="D328" s="42">
        <v>57</v>
      </c>
      <c r="E328" s="43">
        <v>16</v>
      </c>
      <c r="F328" s="50" t="str">
        <f>VLOOKUP(tabPontoPed[[#This Row],[GRUPO]],tabGrupos[#Data],2,FALSE)</f>
        <v>MAQ. E EQUIP. P/ IND. GRAFICA COMP. ACESS. E PAPEI</v>
      </c>
      <c r="G328" s="42" t="str">
        <f>VLOOKUP(tabPontoPed[[#This Row],[GRUPO]],tabGrupos[#Data],3,FALSE)</f>
        <v>EDU</v>
      </c>
      <c r="H328" s="41" t="s">
        <v>1339</v>
      </c>
      <c r="I328" s="9">
        <v>4</v>
      </c>
      <c r="J328" s="51">
        <v>1309</v>
      </c>
      <c r="K328" s="7">
        <f>tabPontoPed[[#This Row],[QTDMÊS]] * tabPontoPed[[#This Row],[MENSAL]]</f>
        <v>5236</v>
      </c>
      <c r="L328" s="13" t="s">
        <v>1012</v>
      </c>
      <c r="M328" s="44"/>
      <c r="N328" s="45" t="str">
        <f>_xlfn.IFNA(IF(VLOOKUP(tabPontoPed[[#This Row],[CÓDIGO]],Excluir_do_Estoque!$A$4:$A$4004,1,FALSE),"sim",""),"")</f>
        <v/>
      </c>
      <c r="O328" s="10" t="str">
        <f t="shared" si="5"/>
        <v>*</v>
      </c>
    </row>
    <row r="329" spans="1:15" x14ac:dyDescent="0.25">
      <c r="A329" s="2">
        <v>48901</v>
      </c>
      <c r="B329" s="4" t="s">
        <v>404</v>
      </c>
      <c r="C329" s="41" t="s">
        <v>1345</v>
      </c>
      <c r="D329" s="42">
        <v>45</v>
      </c>
      <c r="E329" s="43">
        <v>9</v>
      </c>
      <c r="F329" s="50" t="str">
        <f>VLOOKUP(tabPontoPed[[#This Row],[GRUPO]],tabGrupos[#Data],2,FALSE)</f>
        <v>MAQ., EQUIP., COMP., ACES., MAT. PARA ESCRIT.E ESCOLAR</v>
      </c>
      <c r="G329" s="42" t="str">
        <f>VLOOKUP(tabPontoPed[[#This Row],[GRUPO]],tabGrupos[#Data],3,FALSE)</f>
        <v>EDU</v>
      </c>
      <c r="H329" s="41" t="s">
        <v>1339</v>
      </c>
      <c r="I329" s="9">
        <v>4</v>
      </c>
      <c r="J329" s="51">
        <v>6</v>
      </c>
      <c r="K329" s="7">
        <f>tabPontoPed[[#This Row],[QTDMÊS]] * tabPontoPed[[#This Row],[MENSAL]]</f>
        <v>24</v>
      </c>
      <c r="L329" s="13" t="s">
        <v>1012</v>
      </c>
      <c r="M329" s="44"/>
      <c r="N329" s="45" t="str">
        <f>_xlfn.IFNA(IF(VLOOKUP(tabPontoPed[[#This Row],[CÓDIGO]],Excluir_do_Estoque!$A$4:$A$4004,1,FALSE),"sim",""),"")</f>
        <v/>
      </c>
      <c r="O329" s="10" t="str">
        <f t="shared" si="5"/>
        <v>*</v>
      </c>
    </row>
    <row r="330" spans="1:15" x14ac:dyDescent="0.25">
      <c r="A330" s="2">
        <v>49033</v>
      </c>
      <c r="B330" s="4" t="s">
        <v>397</v>
      </c>
      <c r="C330" s="41" t="s">
        <v>1345</v>
      </c>
      <c r="D330" s="42">
        <v>51</v>
      </c>
      <c r="E330" s="43">
        <v>28</v>
      </c>
      <c r="F330" s="50" t="str">
        <f>VLOOKUP(tabPontoPed[[#This Row],[GRUPO]],tabGrupos[#Data],2,FALSE)</f>
        <v>MAT.E EQUIP. P/ CONSTR.CIVIL E CONSERV. DE VIAS PUBL.</v>
      </c>
      <c r="G330" s="42" t="str">
        <f>VLOOKUP(tabPontoPed[[#This Row],[GRUPO]],tabGrupos[#Data],3,FALSE)</f>
        <v>MCO</v>
      </c>
      <c r="H330" s="41" t="s">
        <v>1339</v>
      </c>
      <c r="I330" s="9">
        <v>4</v>
      </c>
      <c r="J330" s="51">
        <v>6</v>
      </c>
      <c r="K330" s="7">
        <f>tabPontoPed[[#This Row],[QTDMÊS]] * tabPontoPed[[#This Row],[MENSAL]]</f>
        <v>24</v>
      </c>
      <c r="L330" s="13" t="s">
        <v>1012</v>
      </c>
      <c r="M330" s="44"/>
      <c r="N330" s="45" t="str">
        <f>_xlfn.IFNA(IF(VLOOKUP(tabPontoPed[[#This Row],[CÓDIGO]],Excluir_do_Estoque!$A$4:$A$4004,1,FALSE),"sim",""),"")</f>
        <v/>
      </c>
      <c r="O330" s="10" t="str">
        <f t="shared" si="5"/>
        <v>*</v>
      </c>
    </row>
    <row r="331" spans="1:15" x14ac:dyDescent="0.25">
      <c r="A331" s="2">
        <v>49254</v>
      </c>
      <c r="B331" s="4" t="s">
        <v>184</v>
      </c>
      <c r="C331" s="41" t="s">
        <v>1345</v>
      </c>
      <c r="D331" s="42">
        <v>72</v>
      </c>
      <c r="E331" s="43">
        <v>7</v>
      </c>
      <c r="F331" s="50" t="str">
        <f>VLOOKUP(tabPontoPed[[#This Row],[GRUPO]],tabGrupos[#Data],2,FALSE)</f>
        <v>MAQ.EQUIP.E MATERIAIS P/ HIGIEN.LIMP.POLIM.E LUBR.</v>
      </c>
      <c r="G331" s="42" t="str">
        <f>VLOOKUP(tabPontoPed[[#This Row],[GRUPO]],tabGrupos[#Data],3,FALSE)</f>
        <v>ADM</v>
      </c>
      <c r="H331" s="41" t="s">
        <v>1339</v>
      </c>
      <c r="I331" s="9">
        <v>4</v>
      </c>
      <c r="J331" s="51">
        <v>90</v>
      </c>
      <c r="K331" s="7">
        <f>tabPontoPed[[#This Row],[QTDMÊS]] * tabPontoPed[[#This Row],[MENSAL]]</f>
        <v>360</v>
      </c>
      <c r="L331" s="13" t="s">
        <v>1012</v>
      </c>
      <c r="M331" s="44"/>
      <c r="N331" s="45" t="str">
        <f>_xlfn.IFNA(IF(VLOOKUP(tabPontoPed[[#This Row],[CÓDIGO]],Excluir_do_Estoque!$A$4:$A$4004,1,FALSE),"sim",""),"")</f>
        <v/>
      </c>
      <c r="O331" s="10" t="str">
        <f t="shared" si="5"/>
        <v>*</v>
      </c>
    </row>
    <row r="332" spans="1:15" x14ac:dyDescent="0.25">
      <c r="A332" s="2">
        <v>49695</v>
      </c>
      <c r="B332" s="4" t="s">
        <v>505</v>
      </c>
      <c r="C332" s="41" t="s">
        <v>1345</v>
      </c>
      <c r="D332" s="42">
        <v>51</v>
      </c>
      <c r="E332" s="43">
        <v>8</v>
      </c>
      <c r="F332" s="50" t="str">
        <f>VLOOKUP(tabPontoPed[[#This Row],[GRUPO]],tabGrupos[#Data],2,FALSE)</f>
        <v>MAT.E EQUIP. P/ CONSTR.CIVIL E CONSERV. DE VIAS PUBL.</v>
      </c>
      <c r="G332" s="42" t="str">
        <f>VLOOKUP(tabPontoPed[[#This Row],[GRUPO]],tabGrupos[#Data],3,FALSE)</f>
        <v>MCO</v>
      </c>
      <c r="H332" s="41" t="s">
        <v>1339</v>
      </c>
      <c r="I332" s="9">
        <v>4</v>
      </c>
      <c r="J332" s="51">
        <v>20</v>
      </c>
      <c r="K332" s="7">
        <f>tabPontoPed[[#This Row],[QTDMÊS]] * tabPontoPed[[#This Row],[MENSAL]]</f>
        <v>80</v>
      </c>
      <c r="L332" s="13" t="s">
        <v>1012</v>
      </c>
      <c r="M332" s="44"/>
      <c r="N332" s="45" t="str">
        <f>_xlfn.IFNA(IF(VLOOKUP(tabPontoPed[[#This Row],[CÓDIGO]],Excluir_do_Estoque!$A$4:$A$4004,1,FALSE),"sim",""),"")</f>
        <v/>
      </c>
      <c r="O332" s="10" t="str">
        <f t="shared" si="5"/>
        <v>*</v>
      </c>
    </row>
    <row r="333" spans="1:15" x14ac:dyDescent="0.25">
      <c r="A333" s="2">
        <v>49858</v>
      </c>
      <c r="B333" s="4" t="s">
        <v>846</v>
      </c>
      <c r="C333" s="41" t="s">
        <v>1345</v>
      </c>
      <c r="D333" s="42">
        <v>67</v>
      </c>
      <c r="E333" s="43">
        <v>6</v>
      </c>
      <c r="F333" s="50" t="str">
        <f>VLOOKUP(tabPontoPed[[#This Row],[GRUPO]],tabGrupos[#Data],2,FALSE)</f>
        <v>PARAFUSOS ELEM. VEDACAO UNIAO CONEX . FIXACAO</v>
      </c>
      <c r="G333" s="42" t="str">
        <f>VLOOKUP(tabPontoPed[[#This Row],[GRUPO]],tabGrupos[#Data],3,FALSE)</f>
        <v>MSE</v>
      </c>
      <c r="H333" s="41" t="s">
        <v>1339</v>
      </c>
      <c r="I333" s="9">
        <v>4</v>
      </c>
      <c r="J333" s="51">
        <v>4</v>
      </c>
      <c r="K333" s="7">
        <f>tabPontoPed[[#This Row],[QTDMÊS]] * tabPontoPed[[#This Row],[MENSAL]]</f>
        <v>16</v>
      </c>
      <c r="L333" s="13" t="s">
        <v>1012</v>
      </c>
      <c r="M333" s="44"/>
      <c r="N333" s="45" t="str">
        <f>_xlfn.IFNA(IF(VLOOKUP(tabPontoPed[[#This Row],[CÓDIGO]],Excluir_do_Estoque!$A$4:$A$4004,1,FALSE),"sim",""),"")</f>
        <v/>
      </c>
      <c r="O333" s="10" t="str">
        <f t="shared" si="5"/>
        <v>*</v>
      </c>
    </row>
    <row r="334" spans="1:15" x14ac:dyDescent="0.25">
      <c r="A334" s="2">
        <v>50475</v>
      </c>
      <c r="B334" s="4" t="s">
        <v>525</v>
      </c>
      <c r="C334" s="41" t="s">
        <v>1345</v>
      </c>
      <c r="D334" s="42">
        <v>51</v>
      </c>
      <c r="E334" s="43">
        <v>17</v>
      </c>
      <c r="F334" s="50" t="str">
        <f>VLOOKUP(tabPontoPed[[#This Row],[GRUPO]],tabGrupos[#Data],2,FALSE)</f>
        <v>MAT.E EQUIP. P/ CONSTR.CIVIL E CONSERV. DE VIAS PUBL.</v>
      </c>
      <c r="G334" s="42" t="str">
        <f>VLOOKUP(tabPontoPed[[#This Row],[GRUPO]],tabGrupos[#Data],3,FALSE)</f>
        <v>MCO</v>
      </c>
      <c r="H334" s="41" t="s">
        <v>1339</v>
      </c>
      <c r="I334" s="9">
        <v>4</v>
      </c>
      <c r="J334" s="51">
        <v>19</v>
      </c>
      <c r="K334" s="7">
        <f>tabPontoPed[[#This Row],[QTDMÊS]] * tabPontoPed[[#This Row],[MENSAL]]</f>
        <v>76</v>
      </c>
      <c r="L334" s="13" t="s">
        <v>1012</v>
      </c>
      <c r="M334" s="44"/>
      <c r="N334" s="45" t="str">
        <f>_xlfn.IFNA(IF(VLOOKUP(tabPontoPed[[#This Row],[CÓDIGO]],Excluir_do_Estoque!$A$4:$A$4004,1,FALSE),"sim",""),"")</f>
        <v/>
      </c>
      <c r="O334" s="10" t="str">
        <f t="shared" si="5"/>
        <v>*</v>
      </c>
    </row>
    <row r="335" spans="1:15" x14ac:dyDescent="0.25">
      <c r="A335" s="2">
        <v>50591</v>
      </c>
      <c r="B335" s="4" t="s">
        <v>390</v>
      </c>
      <c r="C335" s="41" t="s">
        <v>1345</v>
      </c>
      <c r="D335" s="42">
        <v>51</v>
      </c>
      <c r="E335" s="43">
        <v>28</v>
      </c>
      <c r="F335" s="50" t="str">
        <f>VLOOKUP(tabPontoPed[[#This Row],[GRUPO]],tabGrupos[#Data],2,FALSE)</f>
        <v>MAT.E EQUIP. P/ CONSTR.CIVIL E CONSERV. DE VIAS PUBL.</v>
      </c>
      <c r="G335" s="42" t="str">
        <f>VLOOKUP(tabPontoPed[[#This Row],[GRUPO]],tabGrupos[#Data],3,FALSE)</f>
        <v>MCO</v>
      </c>
      <c r="H335" s="41" t="s">
        <v>1339</v>
      </c>
      <c r="I335" s="9">
        <v>4</v>
      </c>
      <c r="J335" s="51">
        <v>3</v>
      </c>
      <c r="K335" s="7">
        <f>tabPontoPed[[#This Row],[QTDMÊS]] * tabPontoPed[[#This Row],[MENSAL]]</f>
        <v>12</v>
      </c>
      <c r="L335" s="13" t="s">
        <v>1012</v>
      </c>
      <c r="M335" s="44"/>
      <c r="N335" s="45" t="str">
        <f>_xlfn.IFNA(IF(VLOOKUP(tabPontoPed[[#This Row],[CÓDIGO]],Excluir_do_Estoque!$A$4:$A$4004,1,FALSE),"sim",""),"")</f>
        <v/>
      </c>
      <c r="O335" s="10" t="str">
        <f t="shared" si="5"/>
        <v>*</v>
      </c>
    </row>
    <row r="336" spans="1:15" x14ac:dyDescent="0.25">
      <c r="A336" s="2">
        <v>50797</v>
      </c>
      <c r="B336" s="4" t="s">
        <v>38</v>
      </c>
      <c r="C336" s="41" t="s">
        <v>1345</v>
      </c>
      <c r="D336" s="42">
        <v>61</v>
      </c>
      <c r="E336" s="43">
        <v>16</v>
      </c>
      <c r="F336" s="50" t="str">
        <f>VLOOKUP(tabPontoPed[[#This Row],[GRUPO]],tabGrupos[#Data],2,FALSE)</f>
        <v>MATERIAL HIDRAULICO, CANOS, TUBOS, MANGUEIRAS, CONEXOES E ACESS.</v>
      </c>
      <c r="G336" s="42" t="str">
        <f>VLOOKUP(tabPontoPed[[#This Row],[GRUPO]],tabGrupos[#Data],3,FALSE)</f>
        <v>MHI</v>
      </c>
      <c r="H336" s="41" t="s">
        <v>1339</v>
      </c>
      <c r="I336" s="9">
        <v>4</v>
      </c>
      <c r="J336" s="51">
        <v>17</v>
      </c>
      <c r="K336" s="7">
        <f>tabPontoPed[[#This Row],[QTDMÊS]] * tabPontoPed[[#This Row],[MENSAL]]</f>
        <v>68</v>
      </c>
      <c r="L336" s="13" t="s">
        <v>1012</v>
      </c>
      <c r="M336" s="44"/>
      <c r="N336" s="45" t="str">
        <f>_xlfn.IFNA(IF(VLOOKUP(tabPontoPed[[#This Row],[CÓDIGO]],Excluir_do_Estoque!$A$4:$A$4004,1,FALSE),"sim",""),"")</f>
        <v/>
      </c>
      <c r="O336" s="10" t="str">
        <f t="shared" si="5"/>
        <v>*</v>
      </c>
    </row>
    <row r="337" spans="1:15" x14ac:dyDescent="0.25">
      <c r="A337" s="2">
        <v>51222</v>
      </c>
      <c r="B337" s="4" t="s">
        <v>689</v>
      </c>
      <c r="C337" s="41" t="s">
        <v>1345</v>
      </c>
      <c r="D337" s="42">
        <v>55</v>
      </c>
      <c r="E337" s="43">
        <v>49</v>
      </c>
      <c r="F337" s="50" t="str">
        <f>VLOOKUP(tabPontoPed[[#This Row],[GRUPO]],tabGrupos[#Data],2,FALSE)</f>
        <v>EQUIP. MAT. P/ GERACAO, TRANSM. DISTR. RETIF...</v>
      </c>
      <c r="G337" s="42" t="str">
        <f>VLOOKUP(tabPontoPed[[#This Row],[GRUPO]],tabGrupos[#Data],3,FALSE)</f>
        <v>MEL</v>
      </c>
      <c r="H337" s="41" t="s">
        <v>1339</v>
      </c>
      <c r="I337" s="9">
        <v>4</v>
      </c>
      <c r="J337" s="51">
        <v>4</v>
      </c>
      <c r="K337" s="7">
        <f>tabPontoPed[[#This Row],[QTDMÊS]] * tabPontoPed[[#This Row],[MENSAL]]</f>
        <v>16</v>
      </c>
      <c r="L337" s="13" t="s">
        <v>1012</v>
      </c>
      <c r="M337" s="44"/>
      <c r="N337" s="45" t="str">
        <f>_xlfn.IFNA(IF(VLOOKUP(tabPontoPed[[#This Row],[CÓDIGO]],Excluir_do_Estoque!$A$4:$A$4004,1,FALSE),"sim",""),"")</f>
        <v/>
      </c>
      <c r="O337" s="10" t="str">
        <f t="shared" si="5"/>
        <v>*</v>
      </c>
    </row>
    <row r="338" spans="1:15" x14ac:dyDescent="0.25">
      <c r="A338" s="2">
        <v>51579</v>
      </c>
      <c r="B338" s="4" t="s">
        <v>43</v>
      </c>
      <c r="C338" s="41" t="s">
        <v>1345</v>
      </c>
      <c r="D338" s="42">
        <v>45</v>
      </c>
      <c r="E338" s="43">
        <v>12</v>
      </c>
      <c r="F338" s="50" t="str">
        <f>VLOOKUP(tabPontoPed[[#This Row],[GRUPO]],tabGrupos[#Data],2,FALSE)</f>
        <v>MAQ., EQUIP., COMP., ACES., MAT. PARA ESCRIT.E ESCOLAR</v>
      </c>
      <c r="G338" s="42" t="str">
        <f>VLOOKUP(tabPontoPed[[#This Row],[GRUPO]],tabGrupos[#Data],3,FALSE)</f>
        <v>EDU</v>
      </c>
      <c r="H338" s="41" t="s">
        <v>1339</v>
      </c>
      <c r="I338" s="9">
        <v>4</v>
      </c>
      <c r="J338" s="51">
        <v>76</v>
      </c>
      <c r="K338" s="7">
        <f>tabPontoPed[[#This Row],[QTDMÊS]] * tabPontoPed[[#This Row],[MENSAL]]</f>
        <v>304</v>
      </c>
      <c r="L338" s="13" t="s">
        <v>1012</v>
      </c>
      <c r="M338" s="44"/>
      <c r="N338" s="45" t="str">
        <f>_xlfn.IFNA(IF(VLOOKUP(tabPontoPed[[#This Row],[CÓDIGO]],Excluir_do_Estoque!$A$4:$A$4004,1,FALSE),"sim",""),"")</f>
        <v/>
      </c>
      <c r="O338" s="10" t="str">
        <f t="shared" si="5"/>
        <v>*</v>
      </c>
    </row>
    <row r="339" spans="1:15" x14ac:dyDescent="0.25">
      <c r="A339" s="2">
        <v>52129</v>
      </c>
      <c r="B339" s="4" t="s">
        <v>904</v>
      </c>
      <c r="C339" s="41" t="s">
        <v>1345</v>
      </c>
      <c r="D339" s="42">
        <v>70</v>
      </c>
      <c r="E339" s="43">
        <v>30</v>
      </c>
      <c r="F339" s="50" t="str">
        <f>VLOOKUP(tabPontoPed[[#This Row],[GRUPO]],tabGrupos[#Data],2,FALSE)</f>
        <v>FERRAMENTAS MAQ.FERRAMENTAS,ELETR.PECAS E ACESSORI</v>
      </c>
      <c r="G339" s="42" t="str">
        <f>VLOOKUP(tabPontoPed[[#This Row],[GRUPO]],tabGrupos[#Data],3,FALSE)</f>
        <v>MAN</v>
      </c>
      <c r="H339" s="41" t="s">
        <v>1339</v>
      </c>
      <c r="I339" s="9">
        <v>4</v>
      </c>
      <c r="J339" s="51">
        <v>10</v>
      </c>
      <c r="K339" s="7">
        <f>tabPontoPed[[#This Row],[QTDMÊS]] * tabPontoPed[[#This Row],[MENSAL]]</f>
        <v>40</v>
      </c>
      <c r="L339" s="13" t="s">
        <v>1012</v>
      </c>
      <c r="M339" s="44"/>
      <c r="N339" s="45" t="str">
        <f>_xlfn.IFNA(IF(VLOOKUP(tabPontoPed[[#This Row],[CÓDIGO]],Excluir_do_Estoque!$A$4:$A$4004,1,FALSE),"sim",""),"")</f>
        <v/>
      </c>
      <c r="O339" s="10" t="str">
        <f t="shared" si="5"/>
        <v>*</v>
      </c>
    </row>
    <row r="340" spans="1:15" x14ac:dyDescent="0.25">
      <c r="A340" s="2">
        <v>52994</v>
      </c>
      <c r="B340" s="4" t="s">
        <v>757</v>
      </c>
      <c r="C340" s="41" t="s">
        <v>1345</v>
      </c>
      <c r="D340" s="42">
        <v>61</v>
      </c>
      <c r="E340" s="43">
        <v>8</v>
      </c>
      <c r="F340" s="50" t="str">
        <f>VLOOKUP(tabPontoPed[[#This Row],[GRUPO]],tabGrupos[#Data],2,FALSE)</f>
        <v>MATERIAL HIDRAULICO, CANOS, TUBOS, MANGUEIRAS, CONEXOES E ACESS.</v>
      </c>
      <c r="G340" s="42" t="str">
        <f>VLOOKUP(tabPontoPed[[#This Row],[GRUPO]],tabGrupos[#Data],3,FALSE)</f>
        <v>MHI</v>
      </c>
      <c r="H340" s="41" t="s">
        <v>1339</v>
      </c>
      <c r="I340" s="9">
        <v>4</v>
      </c>
      <c r="J340" s="51">
        <v>2</v>
      </c>
      <c r="K340" s="7">
        <f>tabPontoPed[[#This Row],[QTDMÊS]] * tabPontoPed[[#This Row],[MENSAL]]</f>
        <v>8</v>
      </c>
      <c r="L340" s="13" t="s">
        <v>1012</v>
      </c>
      <c r="M340" s="44"/>
      <c r="N340" s="45" t="str">
        <f>_xlfn.IFNA(IF(VLOOKUP(tabPontoPed[[#This Row],[CÓDIGO]],Excluir_do_Estoque!$A$4:$A$4004,1,FALSE),"sim",""),"")</f>
        <v/>
      </c>
      <c r="O340" s="10" t="str">
        <f t="shared" si="5"/>
        <v>*</v>
      </c>
    </row>
    <row r="341" spans="1:15" x14ac:dyDescent="0.25">
      <c r="A341" s="2">
        <v>53446</v>
      </c>
      <c r="B341" s="4" t="s">
        <v>274</v>
      </c>
      <c r="C341" s="41" t="s">
        <v>1345</v>
      </c>
      <c r="D341" s="42">
        <v>51</v>
      </c>
      <c r="E341" s="43">
        <v>19</v>
      </c>
      <c r="F341" s="50" t="str">
        <f>VLOOKUP(tabPontoPed[[#This Row],[GRUPO]],tabGrupos[#Data],2,FALSE)</f>
        <v>MAT.E EQUIP. P/ CONSTR.CIVIL E CONSERV. DE VIAS PUBL.</v>
      </c>
      <c r="G341" s="42" t="str">
        <f>VLOOKUP(tabPontoPed[[#This Row],[GRUPO]],tabGrupos[#Data],3,FALSE)</f>
        <v>MCO</v>
      </c>
      <c r="H341" s="41" t="s">
        <v>1339</v>
      </c>
      <c r="I341" s="9">
        <v>4</v>
      </c>
      <c r="J341" s="51">
        <v>76</v>
      </c>
      <c r="K341" s="7">
        <f>tabPontoPed[[#This Row],[QTDMÊS]] * tabPontoPed[[#This Row],[MENSAL]]</f>
        <v>304</v>
      </c>
      <c r="L341" s="13" t="s">
        <v>1012</v>
      </c>
      <c r="M341" s="44"/>
      <c r="N341" s="45" t="str">
        <f>_xlfn.IFNA(IF(VLOOKUP(tabPontoPed[[#This Row],[CÓDIGO]],Excluir_do_Estoque!$A$4:$A$4004,1,FALSE),"sim",""),"")</f>
        <v/>
      </c>
      <c r="O341" s="10" t="str">
        <f t="shared" si="5"/>
        <v>*</v>
      </c>
    </row>
    <row r="342" spans="1:15" x14ac:dyDescent="0.25">
      <c r="A342" s="2">
        <v>53813</v>
      </c>
      <c r="B342" s="4" t="s">
        <v>519</v>
      </c>
      <c r="C342" s="41" t="s">
        <v>1345</v>
      </c>
      <c r="D342" s="42">
        <v>51</v>
      </c>
      <c r="E342" s="43">
        <v>13</v>
      </c>
      <c r="F342" s="50" t="str">
        <f>VLOOKUP(tabPontoPed[[#This Row],[GRUPO]],tabGrupos[#Data],2,FALSE)</f>
        <v>MAT.E EQUIP. P/ CONSTR.CIVIL E CONSERV. DE VIAS PUBL.</v>
      </c>
      <c r="G342" s="42" t="str">
        <f>VLOOKUP(tabPontoPed[[#This Row],[GRUPO]],tabGrupos[#Data],3,FALSE)</f>
        <v>MCO</v>
      </c>
      <c r="H342" s="41" t="s">
        <v>1339</v>
      </c>
      <c r="I342" s="9">
        <v>4</v>
      </c>
      <c r="J342" s="51">
        <v>5</v>
      </c>
      <c r="K342" s="7">
        <f>tabPontoPed[[#This Row],[QTDMÊS]] * tabPontoPed[[#This Row],[MENSAL]]</f>
        <v>20</v>
      </c>
      <c r="L342" s="13" t="s">
        <v>1012</v>
      </c>
      <c r="M342" s="44"/>
      <c r="N342" s="45" t="str">
        <f>_xlfn.IFNA(IF(VLOOKUP(tabPontoPed[[#This Row],[CÓDIGO]],Excluir_do_Estoque!$A$4:$A$4004,1,FALSE),"sim",""),"")</f>
        <v/>
      </c>
      <c r="O342" s="10" t="str">
        <f t="shared" si="5"/>
        <v>*</v>
      </c>
    </row>
    <row r="343" spans="1:15" x14ac:dyDescent="0.25">
      <c r="A343" s="2">
        <v>53814</v>
      </c>
      <c r="B343" s="4" t="s">
        <v>520</v>
      </c>
      <c r="C343" s="41" t="s">
        <v>1345</v>
      </c>
      <c r="D343" s="42">
        <v>51</v>
      </c>
      <c r="E343" s="43">
        <v>13</v>
      </c>
      <c r="F343" s="50" t="str">
        <f>VLOOKUP(tabPontoPed[[#This Row],[GRUPO]],tabGrupos[#Data],2,FALSE)</f>
        <v>MAT.E EQUIP. P/ CONSTR.CIVIL E CONSERV. DE VIAS PUBL.</v>
      </c>
      <c r="G343" s="42" t="str">
        <f>VLOOKUP(tabPontoPed[[#This Row],[GRUPO]],tabGrupos[#Data],3,FALSE)</f>
        <v>MCO</v>
      </c>
      <c r="H343" s="41" t="s">
        <v>1339</v>
      </c>
      <c r="I343" s="9">
        <v>4</v>
      </c>
      <c r="J343" s="51">
        <v>6</v>
      </c>
      <c r="K343" s="7">
        <f>tabPontoPed[[#This Row],[QTDMÊS]] * tabPontoPed[[#This Row],[MENSAL]]</f>
        <v>24</v>
      </c>
      <c r="L343" s="13" t="s">
        <v>1012</v>
      </c>
      <c r="M343" s="44"/>
      <c r="N343" s="45" t="str">
        <f>_xlfn.IFNA(IF(VLOOKUP(tabPontoPed[[#This Row],[CÓDIGO]],Excluir_do_Estoque!$A$4:$A$4004,1,FALSE),"sim",""),"")</f>
        <v/>
      </c>
      <c r="O343" s="10" t="str">
        <f t="shared" si="5"/>
        <v>*</v>
      </c>
    </row>
    <row r="344" spans="1:15" x14ac:dyDescent="0.25">
      <c r="A344" s="2">
        <v>53849</v>
      </c>
      <c r="B344" s="4" t="s">
        <v>321</v>
      </c>
      <c r="C344" s="41" t="s">
        <v>1345</v>
      </c>
      <c r="D344" s="42">
        <v>61</v>
      </c>
      <c r="E344" s="43">
        <v>15</v>
      </c>
      <c r="F344" s="50" t="str">
        <f>VLOOKUP(tabPontoPed[[#This Row],[GRUPO]],tabGrupos[#Data],2,FALSE)</f>
        <v>MATERIAL HIDRAULICO, CANOS, TUBOS, MANGUEIRAS, CONEXOES E ACESS.</v>
      </c>
      <c r="G344" s="42" t="str">
        <f>VLOOKUP(tabPontoPed[[#This Row],[GRUPO]],tabGrupos[#Data],3,FALSE)</f>
        <v>MHI</v>
      </c>
      <c r="H344" s="41" t="s">
        <v>1339</v>
      </c>
      <c r="I344" s="9">
        <v>4</v>
      </c>
      <c r="J344" s="51">
        <v>3</v>
      </c>
      <c r="K344" s="7">
        <f>tabPontoPed[[#This Row],[QTDMÊS]] * tabPontoPed[[#This Row],[MENSAL]]</f>
        <v>12</v>
      </c>
      <c r="L344" s="13" t="s">
        <v>1012</v>
      </c>
      <c r="M344" s="44"/>
      <c r="N344" s="45" t="str">
        <f>_xlfn.IFNA(IF(VLOOKUP(tabPontoPed[[#This Row],[CÓDIGO]],Excluir_do_Estoque!$A$4:$A$4004,1,FALSE),"sim",""),"")</f>
        <v/>
      </c>
      <c r="O344" s="10" t="str">
        <f t="shared" si="5"/>
        <v>*</v>
      </c>
    </row>
    <row r="345" spans="1:15" x14ac:dyDescent="0.25">
      <c r="A345" s="2">
        <v>54017</v>
      </c>
      <c r="B345" s="4" t="s">
        <v>758</v>
      </c>
      <c r="C345" s="41" t="s">
        <v>1345</v>
      </c>
      <c r="D345" s="42">
        <v>61</v>
      </c>
      <c r="E345" s="43">
        <v>8</v>
      </c>
      <c r="F345" s="50" t="str">
        <f>VLOOKUP(tabPontoPed[[#This Row],[GRUPO]],tabGrupos[#Data],2,FALSE)</f>
        <v>MATERIAL HIDRAULICO, CANOS, TUBOS, MANGUEIRAS, CONEXOES E ACESS.</v>
      </c>
      <c r="G345" s="42" t="str">
        <f>VLOOKUP(tabPontoPed[[#This Row],[GRUPO]],tabGrupos[#Data],3,FALSE)</f>
        <v>MHI</v>
      </c>
      <c r="H345" s="41" t="s">
        <v>1339</v>
      </c>
      <c r="I345" s="9">
        <v>4</v>
      </c>
      <c r="J345" s="51">
        <v>1</v>
      </c>
      <c r="K345" s="7">
        <f>tabPontoPed[[#This Row],[QTDMÊS]] * tabPontoPed[[#This Row],[MENSAL]]</f>
        <v>4</v>
      </c>
      <c r="L345" s="13" t="s">
        <v>1012</v>
      </c>
      <c r="M345" s="44"/>
      <c r="N345" s="45" t="str">
        <f>_xlfn.IFNA(IF(VLOOKUP(tabPontoPed[[#This Row],[CÓDIGO]],Excluir_do_Estoque!$A$4:$A$4004,1,FALSE),"sim",""),"")</f>
        <v/>
      </c>
      <c r="O345" s="10" t="str">
        <f t="shared" si="5"/>
        <v>*</v>
      </c>
    </row>
    <row r="346" spans="1:15" x14ac:dyDescent="0.25">
      <c r="A346" s="2">
        <v>54018</v>
      </c>
      <c r="B346" s="4" t="s">
        <v>759</v>
      </c>
      <c r="C346" s="41" t="s">
        <v>1345</v>
      </c>
      <c r="D346" s="42">
        <v>61</v>
      </c>
      <c r="E346" s="43">
        <v>8</v>
      </c>
      <c r="F346" s="50" t="str">
        <f>VLOOKUP(tabPontoPed[[#This Row],[GRUPO]],tabGrupos[#Data],2,FALSE)</f>
        <v>MATERIAL HIDRAULICO, CANOS, TUBOS, MANGUEIRAS, CONEXOES E ACESS.</v>
      </c>
      <c r="G346" s="42" t="str">
        <f>VLOOKUP(tabPontoPed[[#This Row],[GRUPO]],tabGrupos[#Data],3,FALSE)</f>
        <v>MHI</v>
      </c>
      <c r="H346" s="41" t="s">
        <v>1339</v>
      </c>
      <c r="I346" s="9">
        <v>4</v>
      </c>
      <c r="J346" s="51">
        <v>0</v>
      </c>
      <c r="K346" s="7">
        <f>tabPontoPed[[#This Row],[QTDMÊS]] * tabPontoPed[[#This Row],[MENSAL]]</f>
        <v>0</v>
      </c>
      <c r="L346" s="13" t="s">
        <v>1012</v>
      </c>
      <c r="M346" s="44"/>
      <c r="N346" s="45" t="str">
        <f>_xlfn.IFNA(IF(VLOOKUP(tabPontoPed[[#This Row],[CÓDIGO]],Excluir_do_Estoque!$A$4:$A$4004,1,FALSE),"sim",""),"")</f>
        <v/>
      </c>
      <c r="O346" s="10" t="str">
        <f t="shared" si="5"/>
        <v>*</v>
      </c>
    </row>
    <row r="347" spans="1:15" x14ac:dyDescent="0.25">
      <c r="A347" s="2">
        <v>54019</v>
      </c>
      <c r="B347" s="4" t="s">
        <v>145</v>
      </c>
      <c r="C347" s="41" t="s">
        <v>1345</v>
      </c>
      <c r="D347" s="42">
        <v>61</v>
      </c>
      <c r="E347" s="43">
        <v>8</v>
      </c>
      <c r="F347" s="50" t="str">
        <f>VLOOKUP(tabPontoPed[[#This Row],[GRUPO]],tabGrupos[#Data],2,FALSE)</f>
        <v>MATERIAL HIDRAULICO, CANOS, TUBOS, MANGUEIRAS, CONEXOES E ACESS.</v>
      </c>
      <c r="G347" s="42" t="str">
        <f>VLOOKUP(tabPontoPed[[#This Row],[GRUPO]],tabGrupos[#Data],3,FALSE)</f>
        <v>MHI</v>
      </c>
      <c r="H347" s="41" t="s">
        <v>1339</v>
      </c>
      <c r="I347" s="9">
        <v>4</v>
      </c>
      <c r="J347" s="51">
        <v>1</v>
      </c>
      <c r="K347" s="7">
        <f>tabPontoPed[[#This Row],[QTDMÊS]] * tabPontoPed[[#This Row],[MENSAL]]</f>
        <v>4</v>
      </c>
      <c r="L347" s="13" t="s">
        <v>1012</v>
      </c>
      <c r="M347" s="44"/>
      <c r="N347" s="45" t="str">
        <f>_xlfn.IFNA(IF(VLOOKUP(tabPontoPed[[#This Row],[CÓDIGO]],Excluir_do_Estoque!$A$4:$A$4004,1,FALSE),"sim",""),"")</f>
        <v/>
      </c>
      <c r="O347" s="10" t="str">
        <f t="shared" si="5"/>
        <v>*</v>
      </c>
    </row>
    <row r="348" spans="1:15" x14ac:dyDescent="0.25">
      <c r="A348" s="2">
        <v>54026</v>
      </c>
      <c r="B348" s="4" t="s">
        <v>651</v>
      </c>
      <c r="C348" s="41" t="s">
        <v>1345</v>
      </c>
      <c r="D348" s="42">
        <v>55</v>
      </c>
      <c r="E348" s="43">
        <v>32</v>
      </c>
      <c r="F348" s="50" t="str">
        <f>VLOOKUP(tabPontoPed[[#This Row],[GRUPO]],tabGrupos[#Data],2,FALSE)</f>
        <v>EQUIP. MAT. P/ GERACAO, TRANSM. DISTR. RETIF...</v>
      </c>
      <c r="G348" s="42" t="str">
        <f>VLOOKUP(tabPontoPed[[#This Row],[GRUPO]],tabGrupos[#Data],3,FALSE)</f>
        <v>MEL</v>
      </c>
      <c r="H348" s="41" t="s">
        <v>1339</v>
      </c>
      <c r="I348" s="9">
        <v>4</v>
      </c>
      <c r="J348" s="51">
        <v>1</v>
      </c>
      <c r="K348" s="7">
        <f>tabPontoPed[[#This Row],[QTDMÊS]] * tabPontoPed[[#This Row],[MENSAL]]</f>
        <v>4</v>
      </c>
      <c r="L348" s="13" t="s">
        <v>1012</v>
      </c>
      <c r="M348" s="44"/>
      <c r="N348" s="45" t="str">
        <f>_xlfn.IFNA(IF(VLOOKUP(tabPontoPed[[#This Row],[CÓDIGO]],Excluir_do_Estoque!$A$4:$A$4004,1,FALSE),"sim",""),"")</f>
        <v/>
      </c>
      <c r="O348" s="10" t="str">
        <f t="shared" si="5"/>
        <v>*</v>
      </c>
    </row>
    <row r="349" spans="1:15" x14ac:dyDescent="0.25">
      <c r="A349" s="2">
        <v>54029</v>
      </c>
      <c r="B349" s="4" t="s">
        <v>652</v>
      </c>
      <c r="C349" s="41" t="s">
        <v>1345</v>
      </c>
      <c r="D349" s="42">
        <v>55</v>
      </c>
      <c r="E349" s="43">
        <v>32</v>
      </c>
      <c r="F349" s="50" t="str">
        <f>VLOOKUP(tabPontoPed[[#This Row],[GRUPO]],tabGrupos[#Data],2,FALSE)</f>
        <v>EQUIP. MAT. P/ GERACAO, TRANSM. DISTR. RETIF...</v>
      </c>
      <c r="G349" s="42" t="str">
        <f>VLOOKUP(tabPontoPed[[#This Row],[GRUPO]],tabGrupos[#Data],3,FALSE)</f>
        <v>MEL</v>
      </c>
      <c r="H349" s="41" t="s">
        <v>1339</v>
      </c>
      <c r="I349" s="9">
        <v>4</v>
      </c>
      <c r="J349" s="51">
        <v>19</v>
      </c>
      <c r="K349" s="7">
        <f>tabPontoPed[[#This Row],[QTDMÊS]] * tabPontoPed[[#This Row],[MENSAL]]</f>
        <v>76</v>
      </c>
      <c r="L349" s="13" t="s">
        <v>1012</v>
      </c>
      <c r="M349" s="44"/>
      <c r="N349" s="45" t="str">
        <f>_xlfn.IFNA(IF(VLOOKUP(tabPontoPed[[#This Row],[CÓDIGO]],Excluir_do_Estoque!$A$4:$A$4004,1,FALSE),"sim",""),"")</f>
        <v/>
      </c>
      <c r="O349" s="10" t="str">
        <f t="shared" si="5"/>
        <v>*</v>
      </c>
    </row>
    <row r="350" spans="1:15" x14ac:dyDescent="0.25">
      <c r="A350" s="2">
        <v>54032</v>
      </c>
      <c r="B350" s="4" t="s">
        <v>653</v>
      </c>
      <c r="C350" s="41" t="s">
        <v>1345</v>
      </c>
      <c r="D350" s="42">
        <v>55</v>
      </c>
      <c r="E350" s="43">
        <v>32</v>
      </c>
      <c r="F350" s="50" t="str">
        <f>VLOOKUP(tabPontoPed[[#This Row],[GRUPO]],tabGrupos[#Data],2,FALSE)</f>
        <v>EQUIP. MAT. P/ GERACAO, TRANSM. DISTR. RETIF...</v>
      </c>
      <c r="G350" s="42" t="str">
        <f>VLOOKUP(tabPontoPed[[#This Row],[GRUPO]],tabGrupos[#Data],3,FALSE)</f>
        <v>MEL</v>
      </c>
      <c r="H350" s="41" t="s">
        <v>1339</v>
      </c>
      <c r="I350" s="9">
        <v>4</v>
      </c>
      <c r="J350" s="51">
        <v>115</v>
      </c>
      <c r="K350" s="7">
        <f>tabPontoPed[[#This Row],[QTDMÊS]] * tabPontoPed[[#This Row],[MENSAL]]</f>
        <v>460</v>
      </c>
      <c r="L350" s="13" t="s">
        <v>1012</v>
      </c>
      <c r="M350" s="44"/>
      <c r="N350" s="45" t="str">
        <f>_xlfn.IFNA(IF(VLOOKUP(tabPontoPed[[#This Row],[CÓDIGO]],Excluir_do_Estoque!$A$4:$A$4004,1,FALSE),"sim",""),"")</f>
        <v/>
      </c>
      <c r="O350" s="10" t="str">
        <f t="shared" si="5"/>
        <v>*</v>
      </c>
    </row>
    <row r="351" spans="1:15" x14ac:dyDescent="0.25">
      <c r="A351" s="2">
        <v>54144</v>
      </c>
      <c r="B351" s="4" t="s">
        <v>760</v>
      </c>
      <c r="C351" s="41" t="s">
        <v>1345</v>
      </c>
      <c r="D351" s="42">
        <v>61</v>
      </c>
      <c r="E351" s="43">
        <v>8</v>
      </c>
      <c r="F351" s="50" t="str">
        <f>VLOOKUP(tabPontoPed[[#This Row],[GRUPO]],tabGrupos[#Data],2,FALSE)</f>
        <v>MATERIAL HIDRAULICO, CANOS, TUBOS, MANGUEIRAS, CONEXOES E ACESS.</v>
      </c>
      <c r="G351" s="42" t="str">
        <f>VLOOKUP(tabPontoPed[[#This Row],[GRUPO]],tabGrupos[#Data],3,FALSE)</f>
        <v>MHI</v>
      </c>
      <c r="H351" s="41" t="s">
        <v>1339</v>
      </c>
      <c r="I351" s="9">
        <v>4</v>
      </c>
      <c r="J351" s="51">
        <v>2</v>
      </c>
      <c r="K351" s="7">
        <f>tabPontoPed[[#This Row],[QTDMÊS]] * tabPontoPed[[#This Row],[MENSAL]]</f>
        <v>8</v>
      </c>
      <c r="L351" s="13" t="s">
        <v>1012</v>
      </c>
      <c r="M351" s="44"/>
      <c r="N351" s="45" t="str">
        <f>_xlfn.IFNA(IF(VLOOKUP(tabPontoPed[[#This Row],[CÓDIGO]],Excluir_do_Estoque!$A$4:$A$4004,1,FALSE),"sim",""),"")</f>
        <v/>
      </c>
      <c r="O351" s="10" t="str">
        <f t="shared" si="5"/>
        <v>*</v>
      </c>
    </row>
    <row r="352" spans="1:15" x14ac:dyDescent="0.25">
      <c r="A352" s="2">
        <v>54550</v>
      </c>
      <c r="B352" s="4" t="s">
        <v>726</v>
      </c>
      <c r="C352" s="41" t="s">
        <v>1345</v>
      </c>
      <c r="D352" s="42">
        <v>61</v>
      </c>
      <c r="E352" s="43">
        <v>3</v>
      </c>
      <c r="F352" s="50" t="str">
        <f>VLOOKUP(tabPontoPed[[#This Row],[GRUPO]],tabGrupos[#Data],2,FALSE)</f>
        <v>MATERIAL HIDRAULICO, CANOS, TUBOS, MANGUEIRAS, CONEXOES E ACESS.</v>
      </c>
      <c r="G352" s="42" t="str">
        <f>VLOOKUP(tabPontoPed[[#This Row],[GRUPO]],tabGrupos[#Data],3,FALSE)</f>
        <v>MHI</v>
      </c>
      <c r="H352" s="41" t="s">
        <v>1339</v>
      </c>
      <c r="I352" s="9">
        <v>4</v>
      </c>
      <c r="J352" s="51">
        <v>4</v>
      </c>
      <c r="K352" s="7">
        <f>tabPontoPed[[#This Row],[QTDMÊS]] * tabPontoPed[[#This Row],[MENSAL]]</f>
        <v>16</v>
      </c>
      <c r="L352" s="13" t="s">
        <v>1012</v>
      </c>
      <c r="M352" s="44"/>
      <c r="N352" s="45" t="str">
        <f>_xlfn.IFNA(IF(VLOOKUP(tabPontoPed[[#This Row],[CÓDIGO]],Excluir_do_Estoque!$A$4:$A$4004,1,FALSE),"sim",""),"")</f>
        <v/>
      </c>
      <c r="O352" s="10" t="str">
        <f t="shared" si="5"/>
        <v>*</v>
      </c>
    </row>
    <row r="353" spans="1:15" x14ac:dyDescent="0.25">
      <c r="A353" s="2">
        <v>54552</v>
      </c>
      <c r="B353" s="4" t="s">
        <v>338</v>
      </c>
      <c r="C353" s="41" t="s">
        <v>1345</v>
      </c>
      <c r="D353" s="42">
        <v>61</v>
      </c>
      <c r="E353" s="43">
        <v>3</v>
      </c>
      <c r="F353" s="50" t="str">
        <f>VLOOKUP(tabPontoPed[[#This Row],[GRUPO]],tabGrupos[#Data],2,FALSE)</f>
        <v>MATERIAL HIDRAULICO, CANOS, TUBOS, MANGUEIRAS, CONEXOES E ACESS.</v>
      </c>
      <c r="G353" s="42" t="str">
        <f>VLOOKUP(tabPontoPed[[#This Row],[GRUPO]],tabGrupos[#Data],3,FALSE)</f>
        <v>MHI</v>
      </c>
      <c r="H353" s="41" t="s">
        <v>1339</v>
      </c>
      <c r="I353" s="9">
        <v>4</v>
      </c>
      <c r="J353" s="51">
        <v>13</v>
      </c>
      <c r="K353" s="7">
        <f>tabPontoPed[[#This Row],[QTDMÊS]] * tabPontoPed[[#This Row],[MENSAL]]</f>
        <v>52</v>
      </c>
      <c r="L353" s="13" t="s">
        <v>1012</v>
      </c>
      <c r="M353" s="44"/>
      <c r="N353" s="45" t="str">
        <f>_xlfn.IFNA(IF(VLOOKUP(tabPontoPed[[#This Row],[CÓDIGO]],Excluir_do_Estoque!$A$4:$A$4004,1,FALSE),"sim",""),"")</f>
        <v/>
      </c>
      <c r="O353" s="10" t="str">
        <f t="shared" si="5"/>
        <v>*</v>
      </c>
    </row>
    <row r="354" spans="1:15" x14ac:dyDescent="0.25">
      <c r="A354" s="2">
        <v>54586</v>
      </c>
      <c r="B354" s="4" t="s">
        <v>279</v>
      </c>
      <c r="C354" s="41" t="s">
        <v>1345</v>
      </c>
      <c r="D354" s="42">
        <v>61</v>
      </c>
      <c r="E354" s="43">
        <v>2</v>
      </c>
      <c r="F354" s="50" t="str">
        <f>VLOOKUP(tabPontoPed[[#This Row],[GRUPO]],tabGrupos[#Data],2,FALSE)</f>
        <v>MATERIAL HIDRAULICO, CANOS, TUBOS, MANGUEIRAS, CONEXOES E ACESS.</v>
      </c>
      <c r="G354" s="42" t="str">
        <f>VLOOKUP(tabPontoPed[[#This Row],[GRUPO]],tabGrupos[#Data],3,FALSE)</f>
        <v>MHI</v>
      </c>
      <c r="H354" s="41" t="s">
        <v>1339</v>
      </c>
      <c r="I354" s="9">
        <v>4</v>
      </c>
      <c r="J354" s="51">
        <v>1</v>
      </c>
      <c r="K354" s="7">
        <f>tabPontoPed[[#This Row],[QTDMÊS]] * tabPontoPed[[#This Row],[MENSAL]]</f>
        <v>4</v>
      </c>
      <c r="L354" s="13" t="s">
        <v>1012</v>
      </c>
      <c r="M354" s="44"/>
      <c r="N354" s="45" t="str">
        <f>_xlfn.IFNA(IF(VLOOKUP(tabPontoPed[[#This Row],[CÓDIGO]],Excluir_do_Estoque!$A$4:$A$4004,1,FALSE),"sim",""),"")</f>
        <v/>
      </c>
      <c r="O354" s="10" t="str">
        <f t="shared" si="5"/>
        <v>*</v>
      </c>
    </row>
    <row r="355" spans="1:15" x14ac:dyDescent="0.25">
      <c r="A355" s="2">
        <v>54587</v>
      </c>
      <c r="B355" s="4" t="s">
        <v>278</v>
      </c>
      <c r="C355" s="41" t="s">
        <v>1345</v>
      </c>
      <c r="D355" s="42">
        <v>61</v>
      </c>
      <c r="E355" s="43">
        <v>2</v>
      </c>
      <c r="F355" s="50" t="str">
        <f>VLOOKUP(tabPontoPed[[#This Row],[GRUPO]],tabGrupos[#Data],2,FALSE)</f>
        <v>MATERIAL HIDRAULICO, CANOS, TUBOS, MANGUEIRAS, CONEXOES E ACESS.</v>
      </c>
      <c r="G355" s="42" t="str">
        <f>VLOOKUP(tabPontoPed[[#This Row],[GRUPO]],tabGrupos[#Data],3,FALSE)</f>
        <v>MHI</v>
      </c>
      <c r="H355" s="41" t="s">
        <v>1339</v>
      </c>
      <c r="I355" s="9">
        <v>4</v>
      </c>
      <c r="J355" s="51">
        <v>2</v>
      </c>
      <c r="K355" s="7">
        <f>tabPontoPed[[#This Row],[QTDMÊS]] * tabPontoPed[[#This Row],[MENSAL]]</f>
        <v>8</v>
      </c>
      <c r="L355" s="13" t="s">
        <v>1012</v>
      </c>
      <c r="M355" s="44"/>
      <c r="N355" s="45" t="str">
        <f>_xlfn.IFNA(IF(VLOOKUP(tabPontoPed[[#This Row],[CÓDIGO]],Excluir_do_Estoque!$A$4:$A$4004,1,FALSE),"sim",""),"")</f>
        <v/>
      </c>
      <c r="O355" s="10" t="str">
        <f t="shared" si="5"/>
        <v>*</v>
      </c>
    </row>
    <row r="356" spans="1:15" x14ac:dyDescent="0.25">
      <c r="A356" s="2">
        <v>54668</v>
      </c>
      <c r="B356" s="4" t="s">
        <v>12</v>
      </c>
      <c r="C356" s="41" t="s">
        <v>1345</v>
      </c>
      <c r="D356" s="42">
        <v>76</v>
      </c>
      <c r="E356" s="43">
        <v>9</v>
      </c>
      <c r="F356" s="50" t="str">
        <f>VLOOKUP(tabPontoPed[[#This Row],[GRUPO]],tabGrupos[#Data],2,FALSE)</f>
        <v>EQUIP. E MATERIAIS P/PINTURAS E IMPERMEABILIZACAO</v>
      </c>
      <c r="G356" s="42" t="str">
        <f>VLOOKUP(tabPontoPed[[#This Row],[GRUPO]],tabGrupos[#Data],3,FALSE)</f>
        <v>MPI</v>
      </c>
      <c r="H356" s="41" t="s">
        <v>1339</v>
      </c>
      <c r="I356" s="9">
        <v>4</v>
      </c>
      <c r="J356" s="51">
        <v>11</v>
      </c>
      <c r="K356" s="7">
        <f>tabPontoPed[[#This Row],[QTDMÊS]] * tabPontoPed[[#This Row],[MENSAL]]</f>
        <v>44</v>
      </c>
      <c r="L356" s="13" t="s">
        <v>1012</v>
      </c>
      <c r="M356" s="44"/>
      <c r="N356" s="45" t="str">
        <f>_xlfn.IFNA(IF(VLOOKUP(tabPontoPed[[#This Row],[CÓDIGO]],Excluir_do_Estoque!$A$4:$A$4004,1,FALSE),"sim",""),"")</f>
        <v/>
      </c>
      <c r="O356" s="10" t="str">
        <f t="shared" si="5"/>
        <v>*</v>
      </c>
    </row>
    <row r="357" spans="1:15" x14ac:dyDescent="0.25">
      <c r="A357" s="2">
        <v>54682</v>
      </c>
      <c r="B357" s="4" t="s">
        <v>464</v>
      </c>
      <c r="C357" s="41" t="s">
        <v>1345</v>
      </c>
      <c r="D357" s="42">
        <v>45</v>
      </c>
      <c r="E357" s="43">
        <v>12</v>
      </c>
      <c r="F357" s="50" t="str">
        <f>VLOOKUP(tabPontoPed[[#This Row],[GRUPO]],tabGrupos[#Data],2,FALSE)</f>
        <v>MAQ., EQUIP., COMP., ACES., MAT. PARA ESCRIT.E ESCOLAR</v>
      </c>
      <c r="G357" s="42" t="str">
        <f>VLOOKUP(tabPontoPed[[#This Row],[GRUPO]],tabGrupos[#Data],3,FALSE)</f>
        <v>EDU</v>
      </c>
      <c r="H357" s="41" t="s">
        <v>1339</v>
      </c>
      <c r="I357" s="9">
        <v>4</v>
      </c>
      <c r="J357" s="51">
        <v>220</v>
      </c>
      <c r="K357" s="7">
        <f>tabPontoPed[[#This Row],[QTDMÊS]] * tabPontoPed[[#This Row],[MENSAL]]</f>
        <v>880</v>
      </c>
      <c r="L357" s="13" t="s">
        <v>1012</v>
      </c>
      <c r="M357" s="44"/>
      <c r="N357" s="45" t="str">
        <f>_xlfn.IFNA(IF(VLOOKUP(tabPontoPed[[#This Row],[CÓDIGO]],Excluir_do_Estoque!$A$4:$A$4004,1,FALSE),"sim",""),"")</f>
        <v/>
      </c>
      <c r="O357" s="10" t="str">
        <f t="shared" si="5"/>
        <v>*</v>
      </c>
    </row>
    <row r="358" spans="1:15" x14ac:dyDescent="0.25">
      <c r="A358" s="2">
        <v>55836</v>
      </c>
      <c r="B358" s="4" t="s">
        <v>968</v>
      </c>
      <c r="C358" s="41" t="s">
        <v>1345</v>
      </c>
      <c r="D358" s="42">
        <v>78</v>
      </c>
      <c r="E358" s="43">
        <v>2</v>
      </c>
      <c r="F358" s="50" t="str">
        <f>VLOOKUP(tabPontoPed[[#This Row],[GRUPO]],tabGrupos[#Data],2,FALSE)</f>
        <v>MOBILIARIO E COFRE</v>
      </c>
      <c r="G358" s="42" t="str">
        <f>VLOOKUP(tabPontoPed[[#This Row],[GRUPO]],tabGrupos[#Data],3,FALSE)</f>
        <v>ADM</v>
      </c>
      <c r="H358" s="41" t="s">
        <v>1339</v>
      </c>
      <c r="I358" s="9">
        <v>4</v>
      </c>
      <c r="J358" s="51">
        <v>0</v>
      </c>
      <c r="K358" s="7">
        <f>tabPontoPed[[#This Row],[QTDMÊS]] * tabPontoPed[[#This Row],[MENSAL]]</f>
        <v>0</v>
      </c>
      <c r="L358" s="13" t="s">
        <v>1012</v>
      </c>
      <c r="M358" s="44"/>
      <c r="N358" s="45" t="str">
        <f>_xlfn.IFNA(IF(VLOOKUP(tabPontoPed[[#This Row],[CÓDIGO]],Excluir_do_Estoque!$A$4:$A$4004,1,FALSE),"sim",""),"")</f>
        <v/>
      </c>
      <c r="O358" s="10" t="str">
        <f t="shared" si="5"/>
        <v>*</v>
      </c>
    </row>
    <row r="359" spans="1:15" x14ac:dyDescent="0.25">
      <c r="A359" s="2">
        <v>56519</v>
      </c>
      <c r="B359" s="4" t="s">
        <v>391</v>
      </c>
      <c r="C359" s="41" t="s">
        <v>1345</v>
      </c>
      <c r="D359" s="42">
        <v>51</v>
      </c>
      <c r="E359" s="43">
        <v>28</v>
      </c>
      <c r="F359" s="50" t="str">
        <f>VLOOKUP(tabPontoPed[[#This Row],[GRUPO]],tabGrupos[#Data],2,FALSE)</f>
        <v>MAT.E EQUIP. P/ CONSTR.CIVIL E CONSERV. DE VIAS PUBL.</v>
      </c>
      <c r="G359" s="42" t="str">
        <f>VLOOKUP(tabPontoPed[[#This Row],[GRUPO]],tabGrupos[#Data],3,FALSE)</f>
        <v>MCO</v>
      </c>
      <c r="H359" s="41" t="s">
        <v>1339</v>
      </c>
      <c r="I359" s="9">
        <v>4</v>
      </c>
      <c r="J359" s="51">
        <v>2</v>
      </c>
      <c r="K359" s="7">
        <f>tabPontoPed[[#This Row],[QTDMÊS]] * tabPontoPed[[#This Row],[MENSAL]]</f>
        <v>8</v>
      </c>
      <c r="L359" s="13" t="s">
        <v>1012</v>
      </c>
      <c r="M359" s="44"/>
      <c r="N359" s="45" t="str">
        <f>_xlfn.IFNA(IF(VLOOKUP(tabPontoPed[[#This Row],[CÓDIGO]],Excluir_do_Estoque!$A$4:$A$4004,1,FALSE),"sim",""),"")</f>
        <v/>
      </c>
      <c r="O359" s="10" t="str">
        <f t="shared" si="5"/>
        <v>*</v>
      </c>
    </row>
    <row r="360" spans="1:15" x14ac:dyDescent="0.25">
      <c r="A360" s="2">
        <v>56520</v>
      </c>
      <c r="B360" s="4" t="s">
        <v>398</v>
      </c>
      <c r="C360" s="41" t="s">
        <v>1345</v>
      </c>
      <c r="D360" s="42">
        <v>51</v>
      </c>
      <c r="E360" s="43">
        <v>28</v>
      </c>
      <c r="F360" s="50" t="str">
        <f>VLOOKUP(tabPontoPed[[#This Row],[GRUPO]],tabGrupos[#Data],2,FALSE)</f>
        <v>MAT.E EQUIP. P/ CONSTR.CIVIL E CONSERV. DE VIAS PUBL.</v>
      </c>
      <c r="G360" s="42" t="str">
        <f>VLOOKUP(tabPontoPed[[#This Row],[GRUPO]],tabGrupos[#Data],3,FALSE)</f>
        <v>MCO</v>
      </c>
      <c r="H360" s="41" t="s">
        <v>1339</v>
      </c>
      <c r="I360" s="9">
        <v>4</v>
      </c>
      <c r="J360" s="51">
        <v>3</v>
      </c>
      <c r="K360" s="7">
        <f>tabPontoPed[[#This Row],[QTDMÊS]] * tabPontoPed[[#This Row],[MENSAL]]</f>
        <v>12</v>
      </c>
      <c r="L360" s="13" t="s">
        <v>1012</v>
      </c>
      <c r="M360" s="44"/>
      <c r="N360" s="45" t="str">
        <f>_xlfn.IFNA(IF(VLOOKUP(tabPontoPed[[#This Row],[CÓDIGO]],Excluir_do_Estoque!$A$4:$A$4004,1,FALSE),"sim",""),"")</f>
        <v/>
      </c>
      <c r="O360" s="10" t="str">
        <f t="shared" si="5"/>
        <v>*</v>
      </c>
    </row>
    <row r="361" spans="1:15" x14ac:dyDescent="0.25">
      <c r="A361" s="2">
        <v>57444</v>
      </c>
      <c r="B361" s="4" t="s">
        <v>10</v>
      </c>
      <c r="C361" s="41" t="s">
        <v>1345</v>
      </c>
      <c r="D361" s="42">
        <v>76</v>
      </c>
      <c r="E361" s="43">
        <v>6</v>
      </c>
      <c r="F361" s="50" t="str">
        <f>VLOOKUP(tabPontoPed[[#This Row],[GRUPO]],tabGrupos[#Data],2,FALSE)</f>
        <v>EQUIP. E MATERIAIS P/PINTURAS E IMPERMEABILIZACAO</v>
      </c>
      <c r="G361" s="42" t="str">
        <f>VLOOKUP(tabPontoPed[[#This Row],[GRUPO]],tabGrupos[#Data],3,FALSE)</f>
        <v>MPI</v>
      </c>
      <c r="H361" s="41" t="s">
        <v>1339</v>
      </c>
      <c r="I361" s="9">
        <v>4</v>
      </c>
      <c r="J361" s="51">
        <v>10</v>
      </c>
      <c r="K361" s="7">
        <f>tabPontoPed[[#This Row],[QTDMÊS]] * tabPontoPed[[#This Row],[MENSAL]]</f>
        <v>40</v>
      </c>
      <c r="L361" s="13" t="s">
        <v>1012</v>
      </c>
      <c r="M361" s="44"/>
      <c r="N361" s="45" t="str">
        <f>_xlfn.IFNA(IF(VLOOKUP(tabPontoPed[[#This Row],[CÓDIGO]],Excluir_do_Estoque!$A$4:$A$4004,1,FALSE),"sim",""),"")</f>
        <v/>
      </c>
      <c r="O361" s="10" t="str">
        <f t="shared" si="5"/>
        <v>*</v>
      </c>
    </row>
    <row r="362" spans="1:15" x14ac:dyDescent="0.25">
      <c r="A362" s="2">
        <v>57598</v>
      </c>
      <c r="B362" s="4" t="s">
        <v>275</v>
      </c>
      <c r="C362" s="41" t="s">
        <v>1345</v>
      </c>
      <c r="D362" s="42">
        <v>51</v>
      </c>
      <c r="E362" s="43">
        <v>19</v>
      </c>
      <c r="F362" s="50" t="str">
        <f>VLOOKUP(tabPontoPed[[#This Row],[GRUPO]],tabGrupos[#Data],2,FALSE)</f>
        <v>MAT.E EQUIP. P/ CONSTR.CIVIL E CONSERV. DE VIAS PUBL.</v>
      </c>
      <c r="G362" s="42" t="str">
        <f>VLOOKUP(tabPontoPed[[#This Row],[GRUPO]],tabGrupos[#Data],3,FALSE)</f>
        <v>MCO</v>
      </c>
      <c r="H362" s="41" t="s">
        <v>1339</v>
      </c>
      <c r="I362" s="9">
        <v>4</v>
      </c>
      <c r="J362" s="51">
        <v>102</v>
      </c>
      <c r="K362" s="7">
        <f>tabPontoPed[[#This Row],[QTDMÊS]] * tabPontoPed[[#This Row],[MENSAL]]</f>
        <v>408</v>
      </c>
      <c r="L362" s="13" t="s">
        <v>1012</v>
      </c>
      <c r="M362" s="44"/>
      <c r="N362" s="45" t="str">
        <f>_xlfn.IFNA(IF(VLOOKUP(tabPontoPed[[#This Row],[CÓDIGO]],Excluir_do_Estoque!$A$4:$A$4004,1,FALSE),"sim",""),"")</f>
        <v/>
      </c>
      <c r="O362" s="10" t="str">
        <f t="shared" si="5"/>
        <v>*</v>
      </c>
    </row>
    <row r="363" spans="1:15" x14ac:dyDescent="0.25">
      <c r="A363" s="2">
        <v>57900</v>
      </c>
      <c r="B363" s="4" t="s">
        <v>962</v>
      </c>
      <c r="C363" s="41" t="s">
        <v>1345</v>
      </c>
      <c r="D363" s="42">
        <v>76</v>
      </c>
      <c r="E363" s="43">
        <v>8</v>
      </c>
      <c r="F363" s="50" t="str">
        <f>VLOOKUP(tabPontoPed[[#This Row],[GRUPO]],tabGrupos[#Data],2,FALSE)</f>
        <v>EQUIP. E MATERIAIS P/PINTURAS E IMPERMEABILIZACAO</v>
      </c>
      <c r="G363" s="42" t="str">
        <f>VLOOKUP(tabPontoPed[[#This Row],[GRUPO]],tabGrupos[#Data],3,FALSE)</f>
        <v>MPI</v>
      </c>
      <c r="H363" s="41" t="s">
        <v>1339</v>
      </c>
      <c r="I363" s="9">
        <v>4</v>
      </c>
      <c r="J363" s="51">
        <v>1</v>
      </c>
      <c r="K363" s="7">
        <f>tabPontoPed[[#This Row],[QTDMÊS]] * tabPontoPed[[#This Row],[MENSAL]]</f>
        <v>4</v>
      </c>
      <c r="L363" s="13" t="s">
        <v>1012</v>
      </c>
      <c r="M363" s="44"/>
      <c r="N363" s="45" t="str">
        <f>_xlfn.IFNA(IF(VLOOKUP(tabPontoPed[[#This Row],[CÓDIGO]],Excluir_do_Estoque!$A$4:$A$4004,1,FALSE),"sim",""),"")</f>
        <v/>
      </c>
      <c r="O363" s="10" t="str">
        <f t="shared" si="5"/>
        <v>*</v>
      </c>
    </row>
    <row r="364" spans="1:15" x14ac:dyDescent="0.25">
      <c r="A364" s="2">
        <v>58116</v>
      </c>
      <c r="B364" s="4" t="s">
        <v>919</v>
      </c>
      <c r="C364" s="41" t="s">
        <v>1345</v>
      </c>
      <c r="D364" s="42">
        <v>70</v>
      </c>
      <c r="E364" s="43">
        <v>38</v>
      </c>
      <c r="F364" s="50" t="str">
        <f>VLOOKUP(tabPontoPed[[#This Row],[GRUPO]],tabGrupos[#Data],2,FALSE)</f>
        <v>FERRAMENTAS MAQ.FERRAMENTAS,ELETR.PECAS E ACESSORI</v>
      </c>
      <c r="G364" s="42" t="str">
        <f>VLOOKUP(tabPontoPed[[#This Row],[GRUPO]],tabGrupos[#Data],3,FALSE)</f>
        <v>MAN</v>
      </c>
      <c r="H364" s="41" t="s">
        <v>1339</v>
      </c>
      <c r="I364" s="9">
        <v>4</v>
      </c>
      <c r="J364" s="51">
        <v>0</v>
      </c>
      <c r="K364" s="7">
        <f>tabPontoPed[[#This Row],[QTDMÊS]] * tabPontoPed[[#This Row],[MENSAL]]</f>
        <v>0</v>
      </c>
      <c r="L364" s="13" t="s">
        <v>1012</v>
      </c>
      <c r="M364" s="44"/>
      <c r="N364" s="45" t="str">
        <f>_xlfn.IFNA(IF(VLOOKUP(tabPontoPed[[#This Row],[CÓDIGO]],Excluir_do_Estoque!$A$4:$A$4004,1,FALSE),"sim",""),"")</f>
        <v/>
      </c>
      <c r="O364" s="10" t="str">
        <f t="shared" si="5"/>
        <v>*</v>
      </c>
    </row>
    <row r="365" spans="1:15" x14ac:dyDescent="0.25">
      <c r="A365" s="2">
        <v>58117</v>
      </c>
      <c r="B365" s="4" t="s">
        <v>920</v>
      </c>
      <c r="C365" s="41" t="s">
        <v>1345</v>
      </c>
      <c r="D365" s="42">
        <v>70</v>
      </c>
      <c r="E365" s="43">
        <v>38</v>
      </c>
      <c r="F365" s="50" t="str">
        <f>VLOOKUP(tabPontoPed[[#This Row],[GRUPO]],tabGrupos[#Data],2,FALSE)</f>
        <v>FERRAMENTAS MAQ.FERRAMENTAS,ELETR.PECAS E ACESSORI</v>
      </c>
      <c r="G365" s="42" t="str">
        <f>VLOOKUP(tabPontoPed[[#This Row],[GRUPO]],tabGrupos[#Data],3,FALSE)</f>
        <v>MAN</v>
      </c>
      <c r="H365" s="41" t="s">
        <v>1339</v>
      </c>
      <c r="I365" s="9">
        <v>4</v>
      </c>
      <c r="J365" s="51">
        <v>2</v>
      </c>
      <c r="K365" s="7">
        <f>tabPontoPed[[#This Row],[QTDMÊS]] * tabPontoPed[[#This Row],[MENSAL]]</f>
        <v>8</v>
      </c>
      <c r="L365" s="13" t="s">
        <v>1012</v>
      </c>
      <c r="M365" s="44"/>
      <c r="N365" s="45" t="str">
        <f>_xlfn.IFNA(IF(VLOOKUP(tabPontoPed[[#This Row],[CÓDIGO]],Excluir_do_Estoque!$A$4:$A$4004,1,FALSE),"sim",""),"")</f>
        <v/>
      </c>
      <c r="O365" s="10" t="str">
        <f t="shared" si="5"/>
        <v>*</v>
      </c>
    </row>
    <row r="366" spans="1:15" x14ac:dyDescent="0.25">
      <c r="A366" s="2">
        <v>58436</v>
      </c>
      <c r="B366" s="4" t="s">
        <v>880</v>
      </c>
      <c r="C366" s="41" t="s">
        <v>1345</v>
      </c>
      <c r="D366" s="42">
        <v>69</v>
      </c>
      <c r="E366" s="43">
        <v>2</v>
      </c>
      <c r="F366" s="50" t="str">
        <f>VLOOKUP(tabPontoPed[[#This Row],[GRUPO]],tabGrupos[#Data],2,FALSE)</f>
        <v>METAIS,LAMINAD.,PERFILADOS E ARTEFATOS METALICOS</v>
      </c>
      <c r="G366" s="42" t="str">
        <f>VLOOKUP(tabPontoPed[[#This Row],[GRUPO]],tabGrupos[#Data],3,FALSE)</f>
        <v>MSE</v>
      </c>
      <c r="H366" s="41" t="s">
        <v>1339</v>
      </c>
      <c r="I366" s="9">
        <v>4</v>
      </c>
      <c r="J366" s="51">
        <v>3</v>
      </c>
      <c r="K366" s="7">
        <f>tabPontoPed[[#This Row],[QTDMÊS]] * tabPontoPed[[#This Row],[MENSAL]]</f>
        <v>12</v>
      </c>
      <c r="L366" s="13" t="s">
        <v>1012</v>
      </c>
      <c r="M366" s="44"/>
      <c r="N366" s="45" t="str">
        <f>_xlfn.IFNA(IF(VLOOKUP(tabPontoPed[[#This Row],[CÓDIGO]],Excluir_do_Estoque!$A$4:$A$4004,1,FALSE),"sim",""),"")</f>
        <v/>
      </c>
      <c r="O366" s="10" t="str">
        <f t="shared" si="5"/>
        <v>*</v>
      </c>
    </row>
    <row r="367" spans="1:15" x14ac:dyDescent="0.25">
      <c r="A367" s="2">
        <v>58647</v>
      </c>
      <c r="B367" s="4" t="s">
        <v>549</v>
      </c>
      <c r="C367" s="41" t="s">
        <v>1345</v>
      </c>
      <c r="D367" s="42">
        <v>51</v>
      </c>
      <c r="E367" s="43">
        <v>30</v>
      </c>
      <c r="F367" s="50" t="str">
        <f>VLOOKUP(tabPontoPed[[#This Row],[GRUPO]],tabGrupos[#Data],2,FALSE)</f>
        <v>MAT.E EQUIP. P/ CONSTR.CIVIL E CONSERV. DE VIAS PUBL.</v>
      </c>
      <c r="G367" s="42" t="str">
        <f>VLOOKUP(tabPontoPed[[#This Row],[GRUPO]],tabGrupos[#Data],3,FALSE)</f>
        <v>MCO</v>
      </c>
      <c r="H367" s="41" t="s">
        <v>1339</v>
      </c>
      <c r="I367" s="9">
        <v>4</v>
      </c>
      <c r="J367" s="51">
        <v>8</v>
      </c>
      <c r="K367" s="7">
        <f>tabPontoPed[[#This Row],[QTDMÊS]] * tabPontoPed[[#This Row],[MENSAL]]</f>
        <v>32</v>
      </c>
      <c r="L367" s="13" t="s">
        <v>1012</v>
      </c>
      <c r="M367" s="44"/>
      <c r="N367" s="45" t="str">
        <f>_xlfn.IFNA(IF(VLOOKUP(tabPontoPed[[#This Row],[CÓDIGO]],Excluir_do_Estoque!$A$4:$A$4004,1,FALSE),"sim",""),"")</f>
        <v/>
      </c>
      <c r="O367" s="10" t="str">
        <f t="shared" si="5"/>
        <v>*</v>
      </c>
    </row>
    <row r="368" spans="1:15" x14ac:dyDescent="0.25">
      <c r="A368" s="2">
        <v>58706</v>
      </c>
      <c r="B368" s="4" t="s">
        <v>225</v>
      </c>
      <c r="C368" s="41" t="s">
        <v>1345</v>
      </c>
      <c r="D368" s="42">
        <v>74</v>
      </c>
      <c r="E368" s="43">
        <v>3</v>
      </c>
      <c r="F368" s="50" t="str">
        <f>VLOOKUP(tabPontoPed[[#This Row],[GRUPO]],tabGrupos[#Data],2,FALSE)</f>
        <v>MADEIRAS,LAMINADOS,COMPENSADOS E AGLOMERADOS</v>
      </c>
      <c r="G368" s="42" t="str">
        <f>VLOOKUP(tabPontoPed[[#This Row],[GRUPO]],tabGrupos[#Data],3,FALSE)</f>
        <v>MCO</v>
      </c>
      <c r="H368" s="41" t="s">
        <v>1339</v>
      </c>
      <c r="I368" s="9">
        <v>4</v>
      </c>
      <c r="J368" s="51">
        <v>8</v>
      </c>
      <c r="K368" s="7">
        <f>tabPontoPed[[#This Row],[QTDMÊS]] * tabPontoPed[[#This Row],[MENSAL]]</f>
        <v>32</v>
      </c>
      <c r="L368" s="13" t="s">
        <v>1012</v>
      </c>
      <c r="M368" s="44"/>
      <c r="N368" s="45" t="str">
        <f>_xlfn.IFNA(IF(VLOOKUP(tabPontoPed[[#This Row],[CÓDIGO]],Excluir_do_Estoque!$A$4:$A$4004,1,FALSE),"sim",""),"")</f>
        <v/>
      </c>
      <c r="O368" s="10" t="str">
        <f t="shared" si="5"/>
        <v>*</v>
      </c>
    </row>
    <row r="369" spans="1:15" x14ac:dyDescent="0.25">
      <c r="A369" s="2">
        <v>58792</v>
      </c>
      <c r="B369" s="4" t="s">
        <v>1323</v>
      </c>
      <c r="C369" s="41" t="s">
        <v>1345</v>
      </c>
      <c r="D369" s="42">
        <v>72</v>
      </c>
      <c r="E369" s="43">
        <v>6</v>
      </c>
      <c r="F369" s="50" t="str">
        <f>VLOOKUP(tabPontoPed[[#This Row],[GRUPO]],tabGrupos[#Data],2,FALSE)</f>
        <v>MAQ.EQUIP.E MATERIAIS P/ HIGIEN.LIMP.POLIM.E LUBR.</v>
      </c>
      <c r="G369" s="42" t="str">
        <f>VLOOKUP(tabPontoPed[[#This Row],[GRUPO]],tabGrupos[#Data],3,FALSE)</f>
        <v>ADM</v>
      </c>
      <c r="H369" s="41" t="s">
        <v>1339</v>
      </c>
      <c r="I369" s="9">
        <v>4</v>
      </c>
      <c r="J369" s="51">
        <v>0</v>
      </c>
      <c r="K369" s="7">
        <f>tabPontoPed[[#This Row],[QTDMÊS]] * tabPontoPed[[#This Row],[MENSAL]]</f>
        <v>0</v>
      </c>
      <c r="L369" s="13" t="s">
        <v>1012</v>
      </c>
      <c r="M369" s="44"/>
      <c r="N369" s="45" t="str">
        <f>_xlfn.IFNA(IF(VLOOKUP(tabPontoPed[[#This Row],[CÓDIGO]],Excluir_do_Estoque!$A$4:$A$4004,1,FALSE),"sim",""),"")</f>
        <v/>
      </c>
      <c r="O369" s="10" t="str">
        <f t="shared" si="5"/>
        <v>*</v>
      </c>
    </row>
    <row r="370" spans="1:15" x14ac:dyDescent="0.25">
      <c r="A370" s="2">
        <v>58977</v>
      </c>
      <c r="B370" s="4" t="s">
        <v>204</v>
      </c>
      <c r="C370" s="41" t="s">
        <v>1345</v>
      </c>
      <c r="D370" s="42">
        <v>51</v>
      </c>
      <c r="E370" s="43">
        <v>37</v>
      </c>
      <c r="F370" s="50" t="str">
        <f>VLOOKUP(tabPontoPed[[#This Row],[GRUPO]],tabGrupos[#Data],2,FALSE)</f>
        <v>MAT.E EQUIP. P/ CONSTR.CIVIL E CONSERV. DE VIAS PUBL.</v>
      </c>
      <c r="G370" s="42" t="str">
        <f>VLOOKUP(tabPontoPed[[#This Row],[GRUPO]],tabGrupos[#Data],3,FALSE)</f>
        <v>MCO</v>
      </c>
      <c r="H370" s="41" t="s">
        <v>1339</v>
      </c>
      <c r="I370" s="9">
        <v>4</v>
      </c>
      <c r="J370" s="51">
        <v>5</v>
      </c>
      <c r="K370" s="7">
        <f>tabPontoPed[[#This Row],[QTDMÊS]] * tabPontoPed[[#This Row],[MENSAL]]</f>
        <v>20</v>
      </c>
      <c r="L370" s="13" t="s">
        <v>1012</v>
      </c>
      <c r="M370" s="44"/>
      <c r="N370" s="45" t="str">
        <f>_xlfn.IFNA(IF(VLOOKUP(tabPontoPed[[#This Row],[CÓDIGO]],Excluir_do_Estoque!$A$4:$A$4004,1,FALSE),"sim",""),"")</f>
        <v/>
      </c>
      <c r="O370" s="10" t="str">
        <f t="shared" si="5"/>
        <v>*</v>
      </c>
    </row>
    <row r="371" spans="1:15" x14ac:dyDescent="0.25">
      <c r="A371" s="2">
        <v>59018</v>
      </c>
      <c r="B371" s="4" t="s">
        <v>257</v>
      </c>
      <c r="C371" s="41" t="s">
        <v>1345</v>
      </c>
      <c r="D371" s="42">
        <v>69</v>
      </c>
      <c r="E371" s="43">
        <v>3</v>
      </c>
      <c r="F371" s="50" t="str">
        <f>VLOOKUP(tabPontoPed[[#This Row],[GRUPO]],tabGrupos[#Data],2,FALSE)</f>
        <v>METAIS,LAMINAD.,PERFILADOS E ARTEFATOS METALICOS</v>
      </c>
      <c r="G371" s="42" t="str">
        <f>VLOOKUP(tabPontoPed[[#This Row],[GRUPO]],tabGrupos[#Data],3,FALSE)</f>
        <v>MSE</v>
      </c>
      <c r="H371" s="41" t="s">
        <v>1339</v>
      </c>
      <c r="I371" s="9">
        <v>4</v>
      </c>
      <c r="J371" s="51">
        <v>8</v>
      </c>
      <c r="K371" s="7">
        <f>tabPontoPed[[#This Row],[QTDMÊS]] * tabPontoPed[[#This Row],[MENSAL]]</f>
        <v>32</v>
      </c>
      <c r="L371" s="13" t="s">
        <v>1012</v>
      </c>
      <c r="M371" s="44"/>
      <c r="N371" s="45" t="str">
        <f>_xlfn.IFNA(IF(VLOOKUP(tabPontoPed[[#This Row],[CÓDIGO]],Excluir_do_Estoque!$A$4:$A$4004,1,FALSE),"sim",""),"")</f>
        <v/>
      </c>
      <c r="O371" s="10" t="str">
        <f t="shared" si="5"/>
        <v>*</v>
      </c>
    </row>
    <row r="372" spans="1:15" x14ac:dyDescent="0.25">
      <c r="A372" s="2">
        <v>59069</v>
      </c>
      <c r="B372" s="4" t="s">
        <v>290</v>
      </c>
      <c r="C372" s="41" t="s">
        <v>1345</v>
      </c>
      <c r="D372" s="42">
        <v>61</v>
      </c>
      <c r="E372" s="43">
        <v>8</v>
      </c>
      <c r="F372" s="50" t="str">
        <f>VLOOKUP(tabPontoPed[[#This Row],[GRUPO]],tabGrupos[#Data],2,FALSE)</f>
        <v>MATERIAL HIDRAULICO, CANOS, TUBOS, MANGUEIRAS, CONEXOES E ACESS.</v>
      </c>
      <c r="G372" s="42" t="str">
        <f>VLOOKUP(tabPontoPed[[#This Row],[GRUPO]],tabGrupos[#Data],3,FALSE)</f>
        <v>MHI</v>
      </c>
      <c r="H372" s="41" t="s">
        <v>1339</v>
      </c>
      <c r="I372" s="9">
        <v>4</v>
      </c>
      <c r="J372" s="51">
        <v>1</v>
      </c>
      <c r="K372" s="7">
        <f>tabPontoPed[[#This Row],[QTDMÊS]] * tabPontoPed[[#This Row],[MENSAL]]</f>
        <v>4</v>
      </c>
      <c r="L372" s="13" t="s">
        <v>1012</v>
      </c>
      <c r="M372" s="44"/>
      <c r="N372" s="45" t="str">
        <f>_xlfn.IFNA(IF(VLOOKUP(tabPontoPed[[#This Row],[CÓDIGO]],Excluir_do_Estoque!$A$4:$A$4004,1,FALSE),"sim",""),"")</f>
        <v/>
      </c>
      <c r="O372" s="10" t="str">
        <f t="shared" si="5"/>
        <v>*</v>
      </c>
    </row>
    <row r="373" spans="1:15" x14ac:dyDescent="0.25">
      <c r="A373" s="2">
        <v>59074</v>
      </c>
      <c r="B373" s="4" t="s">
        <v>444</v>
      </c>
      <c r="C373" s="41" t="s">
        <v>1345</v>
      </c>
      <c r="D373" s="42">
        <v>45</v>
      </c>
      <c r="E373" s="43">
        <v>11</v>
      </c>
      <c r="F373" s="50" t="str">
        <f>VLOOKUP(tabPontoPed[[#This Row],[GRUPO]],tabGrupos[#Data],2,FALSE)</f>
        <v>MAQ., EQUIP., COMP., ACES., MAT. PARA ESCRIT.E ESCOLAR</v>
      </c>
      <c r="G373" s="42" t="str">
        <f>VLOOKUP(tabPontoPed[[#This Row],[GRUPO]],tabGrupos[#Data],3,FALSE)</f>
        <v>EDU</v>
      </c>
      <c r="H373" s="41" t="s">
        <v>1339</v>
      </c>
      <c r="I373" s="9">
        <v>4</v>
      </c>
      <c r="J373" s="51">
        <v>126</v>
      </c>
      <c r="K373" s="7">
        <f>tabPontoPed[[#This Row],[QTDMÊS]] * tabPontoPed[[#This Row],[MENSAL]]</f>
        <v>504</v>
      </c>
      <c r="L373" s="13" t="s">
        <v>1012</v>
      </c>
      <c r="M373" s="44"/>
      <c r="N373" s="45" t="str">
        <f>_xlfn.IFNA(IF(VLOOKUP(tabPontoPed[[#This Row],[CÓDIGO]],Excluir_do_Estoque!$A$4:$A$4004,1,FALSE),"sim",""),"")</f>
        <v/>
      </c>
      <c r="O373" s="10" t="str">
        <f t="shared" si="5"/>
        <v>*</v>
      </c>
    </row>
    <row r="374" spans="1:15" x14ac:dyDescent="0.25">
      <c r="A374" s="2">
        <v>59097</v>
      </c>
      <c r="B374" s="4" t="s">
        <v>291</v>
      </c>
      <c r="C374" s="41" t="s">
        <v>1345</v>
      </c>
      <c r="D374" s="42">
        <v>61</v>
      </c>
      <c r="E374" s="43">
        <v>8</v>
      </c>
      <c r="F374" s="50" t="str">
        <f>VLOOKUP(tabPontoPed[[#This Row],[GRUPO]],tabGrupos[#Data],2,FALSE)</f>
        <v>MATERIAL HIDRAULICO, CANOS, TUBOS, MANGUEIRAS, CONEXOES E ACESS.</v>
      </c>
      <c r="G374" s="42" t="str">
        <f>VLOOKUP(tabPontoPed[[#This Row],[GRUPO]],tabGrupos[#Data],3,FALSE)</f>
        <v>MHI</v>
      </c>
      <c r="H374" s="41" t="s">
        <v>1339</v>
      </c>
      <c r="I374" s="9">
        <v>4</v>
      </c>
      <c r="J374" s="51">
        <v>5</v>
      </c>
      <c r="K374" s="7">
        <f>tabPontoPed[[#This Row],[QTDMÊS]] * tabPontoPed[[#This Row],[MENSAL]]</f>
        <v>20</v>
      </c>
      <c r="L374" s="13" t="s">
        <v>1012</v>
      </c>
      <c r="M374" s="44"/>
      <c r="N374" s="45" t="str">
        <f>_xlfn.IFNA(IF(VLOOKUP(tabPontoPed[[#This Row],[CÓDIGO]],Excluir_do_Estoque!$A$4:$A$4004,1,FALSE),"sim",""),"")</f>
        <v/>
      </c>
      <c r="O374" s="10" t="str">
        <f t="shared" si="5"/>
        <v>*</v>
      </c>
    </row>
    <row r="375" spans="1:15" x14ac:dyDescent="0.25">
      <c r="A375" s="2">
        <v>59882</v>
      </c>
      <c r="B375" s="4" t="s">
        <v>894</v>
      </c>
      <c r="C375" s="41" t="s">
        <v>1345</v>
      </c>
      <c r="D375" s="42">
        <v>69</v>
      </c>
      <c r="E375" s="43">
        <v>8</v>
      </c>
      <c r="F375" s="50" t="str">
        <f>VLOOKUP(tabPontoPed[[#This Row],[GRUPO]],tabGrupos[#Data],2,FALSE)</f>
        <v>METAIS,LAMINAD.,PERFILADOS E ARTEFATOS METALICOS</v>
      </c>
      <c r="G375" s="42" t="str">
        <f>VLOOKUP(tabPontoPed[[#This Row],[GRUPO]],tabGrupos[#Data],3,FALSE)</f>
        <v>MSE</v>
      </c>
      <c r="H375" s="41" t="s">
        <v>1339</v>
      </c>
      <c r="I375" s="9">
        <v>4</v>
      </c>
      <c r="J375" s="51">
        <v>40</v>
      </c>
      <c r="K375" s="7">
        <f>tabPontoPed[[#This Row],[QTDMÊS]] * tabPontoPed[[#This Row],[MENSAL]]</f>
        <v>160</v>
      </c>
      <c r="L375" s="13" t="s">
        <v>1012</v>
      </c>
      <c r="M375" s="44"/>
      <c r="N375" s="45" t="str">
        <f>_xlfn.IFNA(IF(VLOOKUP(tabPontoPed[[#This Row],[CÓDIGO]],Excluir_do_Estoque!$A$4:$A$4004,1,FALSE),"sim",""),"")</f>
        <v/>
      </c>
      <c r="O375" s="10" t="str">
        <f t="shared" si="5"/>
        <v>*</v>
      </c>
    </row>
    <row r="376" spans="1:15" x14ac:dyDescent="0.25">
      <c r="A376" s="2">
        <v>59942</v>
      </c>
      <c r="B376" s="4" t="s">
        <v>262</v>
      </c>
      <c r="C376" s="41" t="s">
        <v>1345</v>
      </c>
      <c r="D376" s="42">
        <v>69</v>
      </c>
      <c r="E376" s="43">
        <v>8</v>
      </c>
      <c r="F376" s="50" t="str">
        <f>VLOOKUP(tabPontoPed[[#This Row],[GRUPO]],tabGrupos[#Data],2,FALSE)</f>
        <v>METAIS,LAMINAD.,PERFILADOS E ARTEFATOS METALICOS</v>
      </c>
      <c r="G376" s="42" t="str">
        <f>VLOOKUP(tabPontoPed[[#This Row],[GRUPO]],tabGrupos[#Data],3,FALSE)</f>
        <v>MSE</v>
      </c>
      <c r="H376" s="41" t="s">
        <v>1339</v>
      </c>
      <c r="I376" s="9">
        <v>4</v>
      </c>
      <c r="J376" s="51">
        <v>40</v>
      </c>
      <c r="K376" s="7">
        <f>tabPontoPed[[#This Row],[QTDMÊS]] * tabPontoPed[[#This Row],[MENSAL]]</f>
        <v>160</v>
      </c>
      <c r="L376" s="13" t="s">
        <v>1012</v>
      </c>
      <c r="M376" s="44"/>
      <c r="N376" s="45" t="str">
        <f>_xlfn.IFNA(IF(VLOOKUP(tabPontoPed[[#This Row],[CÓDIGO]],Excluir_do_Estoque!$A$4:$A$4004,1,FALSE),"sim",""),"")</f>
        <v/>
      </c>
      <c r="O376" s="10" t="str">
        <f t="shared" si="5"/>
        <v>*</v>
      </c>
    </row>
    <row r="377" spans="1:15" x14ac:dyDescent="0.25">
      <c r="A377" s="2">
        <v>60116</v>
      </c>
      <c r="B377" s="4" t="s">
        <v>280</v>
      </c>
      <c r="C377" s="41" t="s">
        <v>1345</v>
      </c>
      <c r="D377" s="42">
        <v>61</v>
      </c>
      <c r="E377" s="43">
        <v>3</v>
      </c>
      <c r="F377" s="50" t="str">
        <f>VLOOKUP(tabPontoPed[[#This Row],[GRUPO]],tabGrupos[#Data],2,FALSE)</f>
        <v>MATERIAL HIDRAULICO, CANOS, TUBOS, MANGUEIRAS, CONEXOES E ACESS.</v>
      </c>
      <c r="G377" s="42" t="str">
        <f>VLOOKUP(tabPontoPed[[#This Row],[GRUPO]],tabGrupos[#Data],3,FALSE)</f>
        <v>MHI</v>
      </c>
      <c r="H377" s="41" t="s">
        <v>1339</v>
      </c>
      <c r="I377" s="9">
        <v>4</v>
      </c>
      <c r="J377" s="51">
        <v>12</v>
      </c>
      <c r="K377" s="7">
        <f>tabPontoPed[[#This Row],[QTDMÊS]] * tabPontoPed[[#This Row],[MENSAL]]</f>
        <v>48</v>
      </c>
      <c r="L377" s="13" t="s">
        <v>1012</v>
      </c>
      <c r="M377" s="44"/>
      <c r="N377" s="45" t="str">
        <f>_xlfn.IFNA(IF(VLOOKUP(tabPontoPed[[#This Row],[CÓDIGO]],Excluir_do_Estoque!$A$4:$A$4004,1,FALSE),"sim",""),"")</f>
        <v/>
      </c>
      <c r="O377" s="10" t="str">
        <f t="shared" si="5"/>
        <v>*</v>
      </c>
    </row>
    <row r="378" spans="1:15" x14ac:dyDescent="0.25">
      <c r="A378" s="2">
        <v>60517</v>
      </c>
      <c r="B378" s="4" t="s">
        <v>521</v>
      </c>
      <c r="C378" s="41" t="s">
        <v>1345</v>
      </c>
      <c r="D378" s="42">
        <v>51</v>
      </c>
      <c r="E378" s="43">
        <v>13</v>
      </c>
      <c r="F378" s="50" t="str">
        <f>VLOOKUP(tabPontoPed[[#This Row],[GRUPO]],tabGrupos[#Data],2,FALSE)</f>
        <v>MAT.E EQUIP. P/ CONSTR.CIVIL E CONSERV. DE VIAS PUBL.</v>
      </c>
      <c r="G378" s="42" t="str">
        <f>VLOOKUP(tabPontoPed[[#This Row],[GRUPO]],tabGrupos[#Data],3,FALSE)</f>
        <v>MCO</v>
      </c>
      <c r="H378" s="41" t="s">
        <v>1339</v>
      </c>
      <c r="I378" s="9">
        <v>4</v>
      </c>
      <c r="J378" s="51">
        <v>54</v>
      </c>
      <c r="K378" s="7">
        <f>tabPontoPed[[#This Row],[QTDMÊS]] * tabPontoPed[[#This Row],[MENSAL]]</f>
        <v>216</v>
      </c>
      <c r="L378" s="13" t="s">
        <v>1012</v>
      </c>
      <c r="M378" s="44"/>
      <c r="N378" s="45" t="str">
        <f>_xlfn.IFNA(IF(VLOOKUP(tabPontoPed[[#This Row],[CÓDIGO]],Excluir_do_Estoque!$A$4:$A$4004,1,FALSE),"sim",""),"")</f>
        <v/>
      </c>
      <c r="O378" s="10" t="str">
        <f t="shared" si="5"/>
        <v>*</v>
      </c>
    </row>
    <row r="379" spans="1:15" x14ac:dyDescent="0.25">
      <c r="A379" s="2">
        <v>60830</v>
      </c>
      <c r="B379" s="4" t="s">
        <v>761</v>
      </c>
      <c r="C379" s="41" t="s">
        <v>1345</v>
      </c>
      <c r="D379" s="42">
        <v>61</v>
      </c>
      <c r="E379" s="43">
        <v>8</v>
      </c>
      <c r="F379" s="50" t="str">
        <f>VLOOKUP(tabPontoPed[[#This Row],[GRUPO]],tabGrupos[#Data],2,FALSE)</f>
        <v>MATERIAL HIDRAULICO, CANOS, TUBOS, MANGUEIRAS, CONEXOES E ACESS.</v>
      </c>
      <c r="G379" s="42" t="str">
        <f>VLOOKUP(tabPontoPed[[#This Row],[GRUPO]],tabGrupos[#Data],3,FALSE)</f>
        <v>MHI</v>
      </c>
      <c r="H379" s="41" t="s">
        <v>1339</v>
      </c>
      <c r="I379" s="9">
        <v>4</v>
      </c>
      <c r="J379" s="51">
        <v>1</v>
      </c>
      <c r="K379" s="7">
        <f>tabPontoPed[[#This Row],[QTDMÊS]] * tabPontoPed[[#This Row],[MENSAL]]</f>
        <v>4</v>
      </c>
      <c r="L379" s="13" t="s">
        <v>1012</v>
      </c>
      <c r="M379" s="44"/>
      <c r="N379" s="45" t="str">
        <f>_xlfn.IFNA(IF(VLOOKUP(tabPontoPed[[#This Row],[CÓDIGO]],Excluir_do_Estoque!$A$4:$A$4004,1,FALSE),"sim",""),"")</f>
        <v/>
      </c>
      <c r="O379" s="10" t="str">
        <f t="shared" si="5"/>
        <v>*</v>
      </c>
    </row>
    <row r="380" spans="1:15" x14ac:dyDescent="0.25">
      <c r="A380" s="2">
        <v>60889</v>
      </c>
      <c r="B380" s="4" t="s">
        <v>654</v>
      </c>
      <c r="C380" s="41" t="s">
        <v>1345</v>
      </c>
      <c r="D380" s="42">
        <v>55</v>
      </c>
      <c r="E380" s="43">
        <v>32</v>
      </c>
      <c r="F380" s="50" t="str">
        <f>VLOOKUP(tabPontoPed[[#This Row],[GRUPO]],tabGrupos[#Data],2,FALSE)</f>
        <v>EQUIP. MAT. P/ GERACAO, TRANSM. DISTR. RETIF...</v>
      </c>
      <c r="G380" s="42" t="str">
        <f>VLOOKUP(tabPontoPed[[#This Row],[GRUPO]],tabGrupos[#Data],3,FALSE)</f>
        <v>MEL</v>
      </c>
      <c r="H380" s="41" t="s">
        <v>1339</v>
      </c>
      <c r="I380" s="9">
        <v>4</v>
      </c>
      <c r="J380" s="51">
        <v>42</v>
      </c>
      <c r="K380" s="7">
        <f>tabPontoPed[[#This Row],[QTDMÊS]] * tabPontoPed[[#This Row],[MENSAL]]</f>
        <v>168</v>
      </c>
      <c r="L380" s="13" t="s">
        <v>1012</v>
      </c>
      <c r="M380" s="44"/>
      <c r="N380" s="45" t="str">
        <f>_xlfn.IFNA(IF(VLOOKUP(tabPontoPed[[#This Row],[CÓDIGO]],Excluir_do_Estoque!$A$4:$A$4004,1,FALSE),"sim",""),"")</f>
        <v/>
      </c>
      <c r="O380" s="10" t="str">
        <f t="shared" si="5"/>
        <v>*</v>
      </c>
    </row>
    <row r="381" spans="1:15" x14ac:dyDescent="0.25">
      <c r="A381" s="2">
        <v>60973</v>
      </c>
      <c r="B381" s="4" t="s">
        <v>986</v>
      </c>
      <c r="C381" s="41" t="s">
        <v>1345</v>
      </c>
      <c r="D381" s="42">
        <v>83</v>
      </c>
      <c r="E381" s="43">
        <v>3</v>
      </c>
      <c r="F381" s="50" t="str">
        <f>VLOOKUP(tabPontoPed[[#This Row],[GRUPO]],tabGrupos[#Data],2,FALSE)</f>
        <v>ABRASIVOS</v>
      </c>
      <c r="G381" s="42" t="str">
        <f>VLOOKUP(tabPontoPed[[#This Row],[GRUPO]],tabGrupos[#Data],3,FALSE)</f>
        <v>MAN</v>
      </c>
      <c r="H381" s="41" t="s">
        <v>1339</v>
      </c>
      <c r="I381" s="9">
        <v>4</v>
      </c>
      <c r="J381" s="51">
        <v>0</v>
      </c>
      <c r="K381" s="7">
        <f>tabPontoPed[[#This Row],[QTDMÊS]] * tabPontoPed[[#This Row],[MENSAL]]</f>
        <v>0</v>
      </c>
      <c r="L381" s="13" t="s">
        <v>1012</v>
      </c>
      <c r="M381" s="44"/>
      <c r="N381" s="45" t="str">
        <f>_xlfn.IFNA(IF(VLOOKUP(tabPontoPed[[#This Row],[CÓDIGO]],Excluir_do_Estoque!$A$4:$A$4004,1,FALSE),"sim",""),"")</f>
        <v/>
      </c>
      <c r="O381" s="10" t="str">
        <f t="shared" si="5"/>
        <v>*</v>
      </c>
    </row>
    <row r="382" spans="1:15" x14ac:dyDescent="0.25">
      <c r="A382" s="2">
        <v>61046</v>
      </c>
      <c r="B382" s="4" t="s">
        <v>258</v>
      </c>
      <c r="C382" s="41" t="s">
        <v>1345</v>
      </c>
      <c r="D382" s="42">
        <v>69</v>
      </c>
      <c r="E382" s="43">
        <v>3</v>
      </c>
      <c r="F382" s="50" t="str">
        <f>VLOOKUP(tabPontoPed[[#This Row],[GRUPO]],tabGrupos[#Data],2,FALSE)</f>
        <v>METAIS,LAMINAD.,PERFILADOS E ARTEFATOS METALICOS</v>
      </c>
      <c r="G382" s="42" t="str">
        <f>VLOOKUP(tabPontoPed[[#This Row],[GRUPO]],tabGrupos[#Data],3,FALSE)</f>
        <v>MSE</v>
      </c>
      <c r="H382" s="41" t="s">
        <v>1339</v>
      </c>
      <c r="I382" s="9">
        <v>4</v>
      </c>
      <c r="J382" s="51">
        <v>2</v>
      </c>
      <c r="K382" s="7">
        <f>tabPontoPed[[#This Row],[QTDMÊS]] * tabPontoPed[[#This Row],[MENSAL]]</f>
        <v>8</v>
      </c>
      <c r="L382" s="13" t="s">
        <v>1012</v>
      </c>
      <c r="M382" s="44"/>
      <c r="N382" s="45" t="str">
        <f>_xlfn.IFNA(IF(VLOOKUP(tabPontoPed[[#This Row],[CÓDIGO]],Excluir_do_Estoque!$A$4:$A$4004,1,FALSE),"sim",""),"")</f>
        <v/>
      </c>
      <c r="O382" s="10" t="str">
        <f t="shared" si="5"/>
        <v>*</v>
      </c>
    </row>
    <row r="383" spans="1:15" x14ac:dyDescent="0.25">
      <c r="A383" s="2">
        <v>61200</v>
      </c>
      <c r="B383" s="4" t="s">
        <v>292</v>
      </c>
      <c r="C383" s="41" t="s">
        <v>1345</v>
      </c>
      <c r="D383" s="42">
        <v>61</v>
      </c>
      <c r="E383" s="43">
        <v>8</v>
      </c>
      <c r="F383" s="50" t="str">
        <f>VLOOKUP(tabPontoPed[[#This Row],[GRUPO]],tabGrupos[#Data],2,FALSE)</f>
        <v>MATERIAL HIDRAULICO, CANOS, TUBOS, MANGUEIRAS, CONEXOES E ACESS.</v>
      </c>
      <c r="G383" s="42" t="str">
        <f>VLOOKUP(tabPontoPed[[#This Row],[GRUPO]],tabGrupos[#Data],3,FALSE)</f>
        <v>MHI</v>
      </c>
      <c r="H383" s="41" t="s">
        <v>1339</v>
      </c>
      <c r="I383" s="9">
        <v>4</v>
      </c>
      <c r="J383" s="51">
        <v>6</v>
      </c>
      <c r="K383" s="7">
        <f>tabPontoPed[[#This Row],[QTDMÊS]] * tabPontoPed[[#This Row],[MENSAL]]</f>
        <v>24</v>
      </c>
      <c r="L383" s="13" t="s">
        <v>1012</v>
      </c>
      <c r="M383" s="44"/>
      <c r="N383" s="45" t="str">
        <f>_xlfn.IFNA(IF(VLOOKUP(tabPontoPed[[#This Row],[CÓDIGO]],Excluir_do_Estoque!$A$4:$A$4004,1,FALSE),"sim",""),"")</f>
        <v/>
      </c>
      <c r="O383" s="10" t="str">
        <f t="shared" si="5"/>
        <v>*</v>
      </c>
    </row>
    <row r="384" spans="1:15" x14ac:dyDescent="0.25">
      <c r="A384" s="2">
        <v>61201</v>
      </c>
      <c r="B384" s="4" t="s">
        <v>762</v>
      </c>
      <c r="C384" s="41" t="s">
        <v>1345</v>
      </c>
      <c r="D384" s="42">
        <v>61</v>
      </c>
      <c r="E384" s="43">
        <v>8</v>
      </c>
      <c r="F384" s="50" t="str">
        <f>VLOOKUP(tabPontoPed[[#This Row],[GRUPO]],tabGrupos[#Data],2,FALSE)</f>
        <v>MATERIAL HIDRAULICO, CANOS, TUBOS, MANGUEIRAS, CONEXOES E ACESS.</v>
      </c>
      <c r="G384" s="42" t="str">
        <f>VLOOKUP(tabPontoPed[[#This Row],[GRUPO]],tabGrupos[#Data],3,FALSE)</f>
        <v>MHI</v>
      </c>
      <c r="H384" s="41" t="s">
        <v>1339</v>
      </c>
      <c r="I384" s="9">
        <v>4</v>
      </c>
      <c r="J384" s="51">
        <v>7</v>
      </c>
      <c r="K384" s="7">
        <f>tabPontoPed[[#This Row],[QTDMÊS]] * tabPontoPed[[#This Row],[MENSAL]]</f>
        <v>28</v>
      </c>
      <c r="L384" s="13" t="s">
        <v>1012</v>
      </c>
      <c r="M384" s="44"/>
      <c r="N384" s="45" t="str">
        <f>_xlfn.IFNA(IF(VLOOKUP(tabPontoPed[[#This Row],[CÓDIGO]],Excluir_do_Estoque!$A$4:$A$4004,1,FALSE),"sim",""),"")</f>
        <v/>
      </c>
      <c r="O384" s="10" t="str">
        <f t="shared" si="5"/>
        <v>*</v>
      </c>
    </row>
    <row r="385" spans="1:15" x14ac:dyDescent="0.25">
      <c r="A385" s="2">
        <v>63031</v>
      </c>
      <c r="B385" s="4" t="s">
        <v>780</v>
      </c>
      <c r="C385" s="41" t="s">
        <v>1345</v>
      </c>
      <c r="D385" s="42">
        <v>61</v>
      </c>
      <c r="E385" s="43">
        <v>11</v>
      </c>
      <c r="F385" s="50" t="str">
        <f>VLOOKUP(tabPontoPed[[#This Row],[GRUPO]],tabGrupos[#Data],2,FALSE)</f>
        <v>MATERIAL HIDRAULICO, CANOS, TUBOS, MANGUEIRAS, CONEXOES E ACESS.</v>
      </c>
      <c r="G385" s="42" t="str">
        <f>VLOOKUP(tabPontoPed[[#This Row],[GRUPO]],tabGrupos[#Data],3,FALSE)</f>
        <v>MHI</v>
      </c>
      <c r="H385" s="41" t="s">
        <v>1339</v>
      </c>
      <c r="I385" s="9">
        <v>4</v>
      </c>
      <c r="J385" s="51">
        <v>62</v>
      </c>
      <c r="K385" s="7">
        <f>tabPontoPed[[#This Row],[QTDMÊS]] * tabPontoPed[[#This Row],[MENSAL]]</f>
        <v>248</v>
      </c>
      <c r="L385" s="13" t="s">
        <v>1012</v>
      </c>
      <c r="M385" s="44"/>
      <c r="N385" s="45" t="str">
        <f>_xlfn.IFNA(IF(VLOOKUP(tabPontoPed[[#This Row],[CÓDIGO]],Excluir_do_Estoque!$A$4:$A$4004,1,FALSE),"sim",""),"")</f>
        <v/>
      </c>
      <c r="O385" s="10" t="str">
        <f t="shared" si="5"/>
        <v>*</v>
      </c>
    </row>
    <row r="386" spans="1:15" x14ac:dyDescent="0.25">
      <c r="A386" s="2">
        <v>63252</v>
      </c>
      <c r="B386" s="4" t="s">
        <v>942</v>
      </c>
      <c r="C386" s="41" t="s">
        <v>1345</v>
      </c>
      <c r="D386" s="42">
        <v>72</v>
      </c>
      <c r="E386" s="43">
        <v>13</v>
      </c>
      <c r="F386" s="50" t="str">
        <f>VLOOKUP(tabPontoPed[[#This Row],[GRUPO]],tabGrupos[#Data],2,FALSE)</f>
        <v>MAQ.EQUIP.E MATERIAIS P/ HIGIEN.LIMP.POLIM.E LUBR.</v>
      </c>
      <c r="G386" s="42" t="str">
        <f>VLOOKUP(tabPontoPed[[#This Row],[GRUPO]],tabGrupos[#Data],3,FALSE)</f>
        <v>ADM</v>
      </c>
      <c r="H386" s="41" t="s">
        <v>1339</v>
      </c>
      <c r="I386" s="9">
        <v>4</v>
      </c>
      <c r="J386" s="51">
        <v>8</v>
      </c>
      <c r="K386" s="7">
        <f>tabPontoPed[[#This Row],[QTDMÊS]] * tabPontoPed[[#This Row],[MENSAL]]</f>
        <v>32</v>
      </c>
      <c r="L386" s="13" t="s">
        <v>1012</v>
      </c>
      <c r="M386" s="44"/>
      <c r="N386" s="45" t="str">
        <f>_xlfn.IFNA(IF(VLOOKUP(tabPontoPed[[#This Row],[CÓDIGO]],Excluir_do_Estoque!$A$4:$A$4004,1,FALSE),"sim",""),"")</f>
        <v/>
      </c>
      <c r="O386" s="10" t="str">
        <f t="shared" si="5"/>
        <v>*</v>
      </c>
    </row>
    <row r="387" spans="1:15" x14ac:dyDescent="0.25">
      <c r="A387" s="2">
        <v>63382</v>
      </c>
      <c r="B387" s="4" t="s">
        <v>552</v>
      </c>
      <c r="C387" s="41" t="s">
        <v>1345</v>
      </c>
      <c r="D387" s="42">
        <v>51</v>
      </c>
      <c r="E387" s="43">
        <v>33</v>
      </c>
      <c r="F387" s="50" t="str">
        <f>VLOOKUP(tabPontoPed[[#This Row],[GRUPO]],tabGrupos[#Data],2,FALSE)</f>
        <v>MAT.E EQUIP. P/ CONSTR.CIVIL E CONSERV. DE VIAS PUBL.</v>
      </c>
      <c r="G387" s="42" t="str">
        <f>VLOOKUP(tabPontoPed[[#This Row],[GRUPO]],tabGrupos[#Data],3,FALSE)</f>
        <v>MCO</v>
      </c>
      <c r="H387" s="41" t="s">
        <v>1339</v>
      </c>
      <c r="I387" s="9">
        <v>4</v>
      </c>
      <c r="J387" s="51">
        <v>2</v>
      </c>
      <c r="K387" s="7">
        <f>tabPontoPed[[#This Row],[QTDMÊS]] * tabPontoPed[[#This Row],[MENSAL]]</f>
        <v>8</v>
      </c>
      <c r="L387" s="13" t="s">
        <v>1012</v>
      </c>
      <c r="M387" s="44"/>
      <c r="N387" s="45" t="str">
        <f>_xlfn.IFNA(IF(VLOOKUP(tabPontoPed[[#This Row],[CÓDIGO]],Excluir_do_Estoque!$A$4:$A$4004,1,FALSE),"sim",""),"")</f>
        <v/>
      </c>
      <c r="O387" s="10" t="str">
        <f t="shared" si="5"/>
        <v>*</v>
      </c>
    </row>
    <row r="388" spans="1:15" x14ac:dyDescent="0.25">
      <c r="A388" s="2">
        <v>63385</v>
      </c>
      <c r="B388" s="4" t="s">
        <v>96</v>
      </c>
      <c r="C388" s="41" t="s">
        <v>1345</v>
      </c>
      <c r="D388" s="42">
        <v>57</v>
      </c>
      <c r="E388" s="43">
        <v>17</v>
      </c>
      <c r="F388" s="50" t="str">
        <f>VLOOKUP(tabPontoPed[[#This Row],[GRUPO]],tabGrupos[#Data],2,FALSE)</f>
        <v>MAQ. E EQUIP. P/ IND. GRAFICA COMP. ACESS. E PAPEI</v>
      </c>
      <c r="G388" s="42" t="str">
        <f>VLOOKUP(tabPontoPed[[#This Row],[GRUPO]],tabGrupos[#Data],3,FALSE)</f>
        <v>EDU</v>
      </c>
      <c r="H388" s="41" t="s">
        <v>1339</v>
      </c>
      <c r="I388" s="9">
        <v>4</v>
      </c>
      <c r="J388" s="51">
        <v>2144</v>
      </c>
      <c r="K388" s="7">
        <f>tabPontoPed[[#This Row],[QTDMÊS]] * tabPontoPed[[#This Row],[MENSAL]]</f>
        <v>8576</v>
      </c>
      <c r="L388" s="13" t="s">
        <v>1012</v>
      </c>
      <c r="M388" s="44"/>
      <c r="N388" s="45" t="str">
        <f>_xlfn.IFNA(IF(VLOOKUP(tabPontoPed[[#This Row],[CÓDIGO]],Excluir_do_Estoque!$A$4:$A$4004,1,FALSE),"sim",""),"")</f>
        <v/>
      </c>
      <c r="O388" s="10" t="str">
        <f t="shared" ref="O388:O451" si="6">"*"</f>
        <v>*</v>
      </c>
    </row>
    <row r="389" spans="1:15" x14ac:dyDescent="0.25">
      <c r="A389" s="2">
        <v>63591</v>
      </c>
      <c r="B389" s="4" t="s">
        <v>61</v>
      </c>
      <c r="C389" s="41" t="s">
        <v>1345</v>
      </c>
      <c r="D389" s="42">
        <v>57</v>
      </c>
      <c r="E389" s="43">
        <v>2</v>
      </c>
      <c r="F389" s="50" t="str">
        <f>VLOOKUP(tabPontoPed[[#This Row],[GRUPO]],tabGrupos[#Data],2,FALSE)</f>
        <v>MAQ. E EQUIP. P/ IND. GRAFICA COMP. ACESS. E PAPEI</v>
      </c>
      <c r="G389" s="42" t="str">
        <f>VLOOKUP(tabPontoPed[[#This Row],[GRUPO]],tabGrupos[#Data],3,FALSE)</f>
        <v>EDU</v>
      </c>
      <c r="H389" s="41" t="s">
        <v>1339</v>
      </c>
      <c r="I389" s="9">
        <v>4</v>
      </c>
      <c r="J389" s="51">
        <v>1025</v>
      </c>
      <c r="K389" s="7">
        <f>tabPontoPed[[#This Row],[QTDMÊS]] * tabPontoPed[[#This Row],[MENSAL]]</f>
        <v>4100</v>
      </c>
      <c r="L389" s="13" t="s">
        <v>1012</v>
      </c>
      <c r="M389" s="44"/>
      <c r="N389" s="45" t="str">
        <f>_xlfn.IFNA(IF(VLOOKUP(tabPontoPed[[#This Row],[CÓDIGO]],Excluir_do_Estoque!$A$4:$A$4004,1,FALSE),"sim",""),"")</f>
        <v/>
      </c>
      <c r="O389" s="10" t="str">
        <f t="shared" si="6"/>
        <v>*</v>
      </c>
    </row>
    <row r="390" spans="1:15" x14ac:dyDescent="0.25">
      <c r="A390" s="2">
        <v>63839</v>
      </c>
      <c r="B390" s="4" t="s">
        <v>951</v>
      </c>
      <c r="C390" s="41" t="s">
        <v>1345</v>
      </c>
      <c r="D390" s="42">
        <v>74</v>
      </c>
      <c r="E390" s="43">
        <v>4</v>
      </c>
      <c r="F390" s="50" t="str">
        <f>VLOOKUP(tabPontoPed[[#This Row],[GRUPO]],tabGrupos[#Data],2,FALSE)</f>
        <v>MADEIRAS,LAMINADOS,COMPENSADOS E AGLOMERADOS</v>
      </c>
      <c r="G390" s="42" t="str">
        <f>VLOOKUP(tabPontoPed[[#This Row],[GRUPO]],tabGrupos[#Data],3,FALSE)</f>
        <v>MCO</v>
      </c>
      <c r="H390" s="41" t="s">
        <v>1339</v>
      </c>
      <c r="I390" s="9">
        <v>4</v>
      </c>
      <c r="J390" s="51">
        <v>21</v>
      </c>
      <c r="K390" s="7">
        <f>tabPontoPed[[#This Row],[QTDMÊS]] * tabPontoPed[[#This Row],[MENSAL]]</f>
        <v>84</v>
      </c>
      <c r="L390" s="13" t="s">
        <v>1012</v>
      </c>
      <c r="M390" s="44"/>
      <c r="N390" s="45" t="str">
        <f>_xlfn.IFNA(IF(VLOOKUP(tabPontoPed[[#This Row],[CÓDIGO]],Excluir_do_Estoque!$A$4:$A$4004,1,FALSE),"sim",""),"")</f>
        <v/>
      </c>
      <c r="O390" s="10" t="str">
        <f t="shared" si="6"/>
        <v>*</v>
      </c>
    </row>
    <row r="391" spans="1:15" x14ac:dyDescent="0.25">
      <c r="A391" s="2">
        <v>63991</v>
      </c>
      <c r="B391" s="4" t="s">
        <v>712</v>
      </c>
      <c r="C391" s="41" t="s">
        <v>1345</v>
      </c>
      <c r="D391" s="42">
        <v>58</v>
      </c>
      <c r="E391" s="43">
        <v>8</v>
      </c>
      <c r="F391" s="50" t="str">
        <f>VLOOKUP(tabPontoPed[[#This Row],[GRUPO]],tabGrupos[#Data],2,FALSE)</f>
        <v>EQUIP. E MAT. P/ RECREACAO, ATLETISMO, DESPORTO...</v>
      </c>
      <c r="G391" s="42" t="str">
        <f>VLOOKUP(tabPontoPed[[#This Row],[GRUPO]],tabGrupos[#Data],3,FALSE)</f>
        <v>EDU</v>
      </c>
      <c r="H391" s="41" t="s">
        <v>1339</v>
      </c>
      <c r="I391" s="9">
        <v>4</v>
      </c>
      <c r="J391" s="51">
        <v>272</v>
      </c>
      <c r="K391" s="7">
        <f>tabPontoPed[[#This Row],[QTDMÊS]] * tabPontoPed[[#This Row],[MENSAL]]</f>
        <v>1088</v>
      </c>
      <c r="L391" s="13" t="s">
        <v>1012</v>
      </c>
      <c r="M391" s="44"/>
      <c r="N391" s="45" t="str">
        <f>_xlfn.IFNA(IF(VLOOKUP(tabPontoPed[[#This Row],[CÓDIGO]],Excluir_do_Estoque!$A$4:$A$4004,1,FALSE),"sim",""),"")</f>
        <v/>
      </c>
      <c r="O391" s="10" t="str">
        <f t="shared" si="6"/>
        <v>*</v>
      </c>
    </row>
    <row r="392" spans="1:15" x14ac:dyDescent="0.25">
      <c r="A392" s="2">
        <v>64253</v>
      </c>
      <c r="B392" s="4" t="s">
        <v>900</v>
      </c>
      <c r="C392" s="41" t="s">
        <v>1345</v>
      </c>
      <c r="D392" s="42">
        <v>69</v>
      </c>
      <c r="E392" s="43">
        <v>17</v>
      </c>
      <c r="F392" s="50" t="str">
        <f>VLOOKUP(tabPontoPed[[#This Row],[GRUPO]],tabGrupos[#Data],2,FALSE)</f>
        <v>METAIS,LAMINAD.,PERFILADOS E ARTEFATOS METALICOS</v>
      </c>
      <c r="G392" s="42" t="str">
        <f>VLOOKUP(tabPontoPed[[#This Row],[GRUPO]],tabGrupos[#Data],3,FALSE)</f>
        <v>MSE</v>
      </c>
      <c r="H392" s="41" t="s">
        <v>1339</v>
      </c>
      <c r="I392" s="9">
        <v>4</v>
      </c>
      <c r="J392" s="51">
        <v>92</v>
      </c>
      <c r="K392" s="7">
        <f>tabPontoPed[[#This Row],[QTDMÊS]] * tabPontoPed[[#This Row],[MENSAL]]</f>
        <v>368</v>
      </c>
      <c r="L392" s="13" t="s">
        <v>1012</v>
      </c>
      <c r="M392" s="44"/>
      <c r="N392" s="45" t="str">
        <f>_xlfn.IFNA(IF(VLOOKUP(tabPontoPed[[#This Row],[CÓDIGO]],Excluir_do_Estoque!$A$4:$A$4004,1,FALSE),"sim",""),"")</f>
        <v/>
      </c>
      <c r="O392" s="10" t="str">
        <f t="shared" si="6"/>
        <v>*</v>
      </c>
    </row>
    <row r="393" spans="1:15" x14ac:dyDescent="0.25">
      <c r="A393" s="2">
        <v>64302</v>
      </c>
      <c r="B393" s="4" t="s">
        <v>108</v>
      </c>
      <c r="C393" s="41" t="s">
        <v>1345</v>
      </c>
      <c r="D393" s="42">
        <v>55</v>
      </c>
      <c r="E393" s="43">
        <v>19</v>
      </c>
      <c r="F393" s="50" t="str">
        <f>VLOOKUP(tabPontoPed[[#This Row],[GRUPO]],tabGrupos[#Data],2,FALSE)</f>
        <v>EQUIP. MAT. P/ GERACAO, TRANSM. DISTR. RETIF...</v>
      </c>
      <c r="G393" s="42" t="str">
        <f>VLOOKUP(tabPontoPed[[#This Row],[GRUPO]],tabGrupos[#Data],3,FALSE)</f>
        <v>MEL</v>
      </c>
      <c r="H393" s="41" t="s">
        <v>1339</v>
      </c>
      <c r="I393" s="9">
        <v>4</v>
      </c>
      <c r="J393" s="51">
        <v>408</v>
      </c>
      <c r="K393" s="7">
        <f>tabPontoPed[[#This Row],[QTDMÊS]] * tabPontoPed[[#This Row],[MENSAL]]</f>
        <v>1632</v>
      </c>
      <c r="L393" s="13" t="s">
        <v>1012</v>
      </c>
      <c r="M393" s="44"/>
      <c r="N393" s="45" t="str">
        <f>_xlfn.IFNA(IF(VLOOKUP(tabPontoPed[[#This Row],[CÓDIGO]],Excluir_do_Estoque!$A$4:$A$4004,1,FALSE),"sim",""),"")</f>
        <v/>
      </c>
      <c r="O393" s="10" t="str">
        <f t="shared" si="6"/>
        <v>*</v>
      </c>
    </row>
    <row r="394" spans="1:15" x14ac:dyDescent="0.25">
      <c r="A394" s="2">
        <v>64466</v>
      </c>
      <c r="B394" s="4" t="s">
        <v>834</v>
      </c>
      <c r="C394" s="41" t="s">
        <v>1345</v>
      </c>
      <c r="D394" s="42">
        <v>67</v>
      </c>
      <c r="E394" s="43">
        <v>5</v>
      </c>
      <c r="F394" s="50" t="str">
        <f>VLOOKUP(tabPontoPed[[#This Row],[GRUPO]],tabGrupos[#Data],2,FALSE)</f>
        <v>PARAFUSOS ELEM. VEDACAO UNIAO CONEX . FIXACAO</v>
      </c>
      <c r="G394" s="42" t="str">
        <f>VLOOKUP(tabPontoPed[[#This Row],[GRUPO]],tabGrupos[#Data],3,FALSE)</f>
        <v>MSE</v>
      </c>
      <c r="H394" s="41" t="s">
        <v>1339</v>
      </c>
      <c r="I394" s="9">
        <v>4</v>
      </c>
      <c r="J394" s="51">
        <v>7</v>
      </c>
      <c r="K394" s="7">
        <f>tabPontoPed[[#This Row],[QTDMÊS]] * tabPontoPed[[#This Row],[MENSAL]]</f>
        <v>28</v>
      </c>
      <c r="L394" s="13" t="s">
        <v>1012</v>
      </c>
      <c r="M394" s="44"/>
      <c r="N394" s="45" t="str">
        <f>_xlfn.IFNA(IF(VLOOKUP(tabPontoPed[[#This Row],[CÓDIGO]],Excluir_do_Estoque!$A$4:$A$4004,1,FALSE),"sim",""),"")</f>
        <v/>
      </c>
      <c r="O394" s="10" t="str">
        <f t="shared" si="6"/>
        <v>*</v>
      </c>
    </row>
    <row r="395" spans="1:15" x14ac:dyDescent="0.25">
      <c r="A395" s="2">
        <v>64604</v>
      </c>
      <c r="B395" s="4" t="s">
        <v>263</v>
      </c>
      <c r="C395" s="41" t="s">
        <v>1345</v>
      </c>
      <c r="D395" s="42">
        <v>69</v>
      </c>
      <c r="E395" s="43">
        <v>8</v>
      </c>
      <c r="F395" s="50" t="str">
        <f>VLOOKUP(tabPontoPed[[#This Row],[GRUPO]],tabGrupos[#Data],2,FALSE)</f>
        <v>METAIS,LAMINAD.,PERFILADOS E ARTEFATOS METALICOS</v>
      </c>
      <c r="G395" s="42" t="str">
        <f>VLOOKUP(tabPontoPed[[#This Row],[GRUPO]],tabGrupos[#Data],3,FALSE)</f>
        <v>MSE</v>
      </c>
      <c r="H395" s="41" t="s">
        <v>1339</v>
      </c>
      <c r="I395" s="9">
        <v>4</v>
      </c>
      <c r="J395" s="51">
        <v>12</v>
      </c>
      <c r="K395" s="7">
        <f>tabPontoPed[[#This Row],[QTDMÊS]] * tabPontoPed[[#This Row],[MENSAL]]</f>
        <v>48</v>
      </c>
      <c r="L395" s="13" t="s">
        <v>1012</v>
      </c>
      <c r="M395" s="44"/>
      <c r="N395" s="45" t="str">
        <f>_xlfn.IFNA(IF(VLOOKUP(tabPontoPed[[#This Row],[CÓDIGO]],Excluir_do_Estoque!$A$4:$A$4004,1,FALSE),"sim",""),"")</f>
        <v/>
      </c>
      <c r="O395" s="10" t="str">
        <f t="shared" si="6"/>
        <v>*</v>
      </c>
    </row>
    <row r="396" spans="1:15" x14ac:dyDescent="0.25">
      <c r="A396" s="2">
        <v>64605</v>
      </c>
      <c r="B396" s="4" t="s">
        <v>264</v>
      </c>
      <c r="C396" s="41" t="s">
        <v>1345</v>
      </c>
      <c r="D396" s="42">
        <v>69</v>
      </c>
      <c r="E396" s="43">
        <v>8</v>
      </c>
      <c r="F396" s="50" t="str">
        <f>VLOOKUP(tabPontoPed[[#This Row],[GRUPO]],tabGrupos[#Data],2,FALSE)</f>
        <v>METAIS,LAMINAD.,PERFILADOS E ARTEFATOS METALICOS</v>
      </c>
      <c r="G396" s="42" t="str">
        <f>VLOOKUP(tabPontoPed[[#This Row],[GRUPO]],tabGrupos[#Data],3,FALSE)</f>
        <v>MSE</v>
      </c>
      <c r="H396" s="41" t="s">
        <v>1339</v>
      </c>
      <c r="I396" s="9">
        <v>4</v>
      </c>
      <c r="J396" s="51">
        <v>15</v>
      </c>
      <c r="K396" s="7">
        <f>tabPontoPed[[#This Row],[QTDMÊS]] * tabPontoPed[[#This Row],[MENSAL]]</f>
        <v>60</v>
      </c>
      <c r="L396" s="13" t="s">
        <v>1012</v>
      </c>
      <c r="M396" s="44"/>
      <c r="N396" s="45" t="str">
        <f>_xlfn.IFNA(IF(VLOOKUP(tabPontoPed[[#This Row],[CÓDIGO]],Excluir_do_Estoque!$A$4:$A$4004,1,FALSE),"sim",""),"")</f>
        <v/>
      </c>
      <c r="O396" s="10" t="str">
        <f t="shared" si="6"/>
        <v>*</v>
      </c>
    </row>
    <row r="397" spans="1:15" x14ac:dyDescent="0.25">
      <c r="A397" s="2">
        <v>64607</v>
      </c>
      <c r="B397" s="4" t="s">
        <v>259</v>
      </c>
      <c r="C397" s="41" t="s">
        <v>1345</v>
      </c>
      <c r="D397" s="42">
        <v>69</v>
      </c>
      <c r="E397" s="43">
        <v>3</v>
      </c>
      <c r="F397" s="50" t="str">
        <f>VLOOKUP(tabPontoPed[[#This Row],[GRUPO]],tabGrupos[#Data],2,FALSE)</f>
        <v>METAIS,LAMINAD.,PERFILADOS E ARTEFATOS METALICOS</v>
      </c>
      <c r="G397" s="42" t="str">
        <f>VLOOKUP(tabPontoPed[[#This Row],[GRUPO]],tabGrupos[#Data],3,FALSE)</f>
        <v>MSE</v>
      </c>
      <c r="H397" s="41" t="s">
        <v>1339</v>
      </c>
      <c r="I397" s="9">
        <v>4</v>
      </c>
      <c r="J397" s="51">
        <v>16</v>
      </c>
      <c r="K397" s="7">
        <f>tabPontoPed[[#This Row],[QTDMÊS]] * tabPontoPed[[#This Row],[MENSAL]]</f>
        <v>64</v>
      </c>
      <c r="L397" s="13" t="s">
        <v>1012</v>
      </c>
      <c r="M397" s="44"/>
      <c r="N397" s="45" t="str">
        <f>_xlfn.IFNA(IF(VLOOKUP(tabPontoPed[[#This Row],[CÓDIGO]],Excluir_do_Estoque!$A$4:$A$4004,1,FALSE),"sim",""),"")</f>
        <v/>
      </c>
      <c r="O397" s="10" t="str">
        <f t="shared" si="6"/>
        <v>*</v>
      </c>
    </row>
    <row r="398" spans="1:15" x14ac:dyDescent="0.25">
      <c r="A398" s="2">
        <v>64609</v>
      </c>
      <c r="B398" s="4" t="s">
        <v>260</v>
      </c>
      <c r="C398" s="41" t="s">
        <v>1345</v>
      </c>
      <c r="D398" s="42">
        <v>69</v>
      </c>
      <c r="E398" s="43">
        <v>3</v>
      </c>
      <c r="F398" s="50" t="str">
        <f>VLOOKUP(tabPontoPed[[#This Row],[GRUPO]],tabGrupos[#Data],2,FALSE)</f>
        <v>METAIS,LAMINAD.,PERFILADOS E ARTEFATOS METALICOS</v>
      </c>
      <c r="G398" s="42" t="str">
        <f>VLOOKUP(tabPontoPed[[#This Row],[GRUPO]],tabGrupos[#Data],3,FALSE)</f>
        <v>MSE</v>
      </c>
      <c r="H398" s="41" t="s">
        <v>1339</v>
      </c>
      <c r="I398" s="9">
        <v>4</v>
      </c>
      <c r="J398" s="51">
        <v>1</v>
      </c>
      <c r="K398" s="7">
        <f>tabPontoPed[[#This Row],[QTDMÊS]] * tabPontoPed[[#This Row],[MENSAL]]</f>
        <v>4</v>
      </c>
      <c r="L398" s="13" t="s">
        <v>1012</v>
      </c>
      <c r="M398" s="44"/>
      <c r="N398" s="45" t="str">
        <f>_xlfn.IFNA(IF(VLOOKUP(tabPontoPed[[#This Row],[CÓDIGO]],Excluir_do_Estoque!$A$4:$A$4004,1,FALSE),"sim",""),"")</f>
        <v/>
      </c>
      <c r="O398" s="10" t="str">
        <f t="shared" si="6"/>
        <v>*</v>
      </c>
    </row>
    <row r="399" spans="1:15" x14ac:dyDescent="0.25">
      <c r="A399" s="2">
        <v>64610</v>
      </c>
      <c r="B399" s="4" t="s">
        <v>875</v>
      </c>
      <c r="C399" s="41" t="s">
        <v>1345</v>
      </c>
      <c r="D399" s="42">
        <v>69</v>
      </c>
      <c r="E399" s="43">
        <v>1</v>
      </c>
      <c r="F399" s="50" t="str">
        <f>VLOOKUP(tabPontoPed[[#This Row],[GRUPO]],tabGrupos[#Data],2,FALSE)</f>
        <v>METAIS,LAMINAD.,PERFILADOS E ARTEFATOS METALICOS</v>
      </c>
      <c r="G399" s="42" t="str">
        <f>VLOOKUP(tabPontoPed[[#This Row],[GRUPO]],tabGrupos[#Data],3,FALSE)</f>
        <v>MSE</v>
      </c>
      <c r="H399" s="41" t="s">
        <v>1339</v>
      </c>
      <c r="I399" s="9">
        <v>4</v>
      </c>
      <c r="J399" s="51">
        <v>27</v>
      </c>
      <c r="K399" s="7">
        <f>tabPontoPed[[#This Row],[QTDMÊS]] * tabPontoPed[[#This Row],[MENSAL]]</f>
        <v>108</v>
      </c>
      <c r="L399" s="13" t="s">
        <v>1012</v>
      </c>
      <c r="M399" s="44"/>
      <c r="N399" s="45" t="str">
        <f>_xlfn.IFNA(IF(VLOOKUP(tabPontoPed[[#This Row],[CÓDIGO]],Excluir_do_Estoque!$A$4:$A$4004,1,FALSE),"sim",""),"")</f>
        <v/>
      </c>
      <c r="O399" s="10" t="str">
        <f t="shared" si="6"/>
        <v>*</v>
      </c>
    </row>
    <row r="400" spans="1:15" x14ac:dyDescent="0.25">
      <c r="A400" s="2">
        <v>64625</v>
      </c>
      <c r="B400" s="4" t="s">
        <v>265</v>
      </c>
      <c r="C400" s="41" t="s">
        <v>1345</v>
      </c>
      <c r="D400" s="42">
        <v>69</v>
      </c>
      <c r="E400" s="43">
        <v>8</v>
      </c>
      <c r="F400" s="50" t="str">
        <f>VLOOKUP(tabPontoPed[[#This Row],[GRUPO]],tabGrupos[#Data],2,FALSE)</f>
        <v>METAIS,LAMINAD.,PERFILADOS E ARTEFATOS METALICOS</v>
      </c>
      <c r="G400" s="42" t="str">
        <f>VLOOKUP(tabPontoPed[[#This Row],[GRUPO]],tabGrupos[#Data],3,FALSE)</f>
        <v>MSE</v>
      </c>
      <c r="H400" s="41" t="s">
        <v>1339</v>
      </c>
      <c r="I400" s="9">
        <v>4</v>
      </c>
      <c r="J400" s="51">
        <v>9</v>
      </c>
      <c r="K400" s="7">
        <f>tabPontoPed[[#This Row],[QTDMÊS]] * tabPontoPed[[#This Row],[MENSAL]]</f>
        <v>36</v>
      </c>
      <c r="L400" s="13" t="s">
        <v>1012</v>
      </c>
      <c r="M400" s="44"/>
      <c r="N400" s="45" t="str">
        <f>_xlfn.IFNA(IF(VLOOKUP(tabPontoPed[[#This Row],[CÓDIGO]],Excluir_do_Estoque!$A$4:$A$4004,1,FALSE),"sim",""),"")</f>
        <v/>
      </c>
      <c r="O400" s="10" t="str">
        <f t="shared" si="6"/>
        <v>*</v>
      </c>
    </row>
    <row r="401" spans="1:15" x14ac:dyDescent="0.25">
      <c r="A401" s="2">
        <v>64626</v>
      </c>
      <c r="B401" s="4" t="s">
        <v>895</v>
      </c>
      <c r="C401" s="41" t="s">
        <v>1345</v>
      </c>
      <c r="D401" s="42">
        <v>69</v>
      </c>
      <c r="E401" s="43">
        <v>8</v>
      </c>
      <c r="F401" s="50" t="str">
        <f>VLOOKUP(tabPontoPed[[#This Row],[GRUPO]],tabGrupos[#Data],2,FALSE)</f>
        <v>METAIS,LAMINAD.,PERFILADOS E ARTEFATOS METALICOS</v>
      </c>
      <c r="G401" s="42" t="str">
        <f>VLOOKUP(tabPontoPed[[#This Row],[GRUPO]],tabGrupos[#Data],3,FALSE)</f>
        <v>MSE</v>
      </c>
      <c r="H401" s="41" t="s">
        <v>1339</v>
      </c>
      <c r="I401" s="9">
        <v>4</v>
      </c>
      <c r="J401" s="51">
        <v>125</v>
      </c>
      <c r="K401" s="7">
        <f>tabPontoPed[[#This Row],[QTDMÊS]] * tabPontoPed[[#This Row],[MENSAL]]</f>
        <v>500</v>
      </c>
      <c r="L401" s="13" t="s">
        <v>1012</v>
      </c>
      <c r="M401" s="44"/>
      <c r="N401" s="45" t="str">
        <f>_xlfn.IFNA(IF(VLOOKUP(tabPontoPed[[#This Row],[CÓDIGO]],Excluir_do_Estoque!$A$4:$A$4004,1,FALSE),"sim",""),"")</f>
        <v/>
      </c>
      <c r="O401" s="10" t="str">
        <f t="shared" si="6"/>
        <v>*</v>
      </c>
    </row>
    <row r="402" spans="1:15" x14ac:dyDescent="0.25">
      <c r="A402" s="2">
        <v>64627</v>
      </c>
      <c r="B402" s="4" t="s">
        <v>266</v>
      </c>
      <c r="C402" s="41" t="s">
        <v>1345</v>
      </c>
      <c r="D402" s="42">
        <v>69</v>
      </c>
      <c r="E402" s="43">
        <v>8</v>
      </c>
      <c r="F402" s="50" t="str">
        <f>VLOOKUP(tabPontoPed[[#This Row],[GRUPO]],tabGrupos[#Data],2,FALSE)</f>
        <v>METAIS,LAMINAD.,PERFILADOS E ARTEFATOS METALICOS</v>
      </c>
      <c r="G402" s="42" t="str">
        <f>VLOOKUP(tabPontoPed[[#This Row],[GRUPO]],tabGrupos[#Data],3,FALSE)</f>
        <v>MSE</v>
      </c>
      <c r="H402" s="41" t="s">
        <v>1339</v>
      </c>
      <c r="I402" s="9">
        <v>4</v>
      </c>
      <c r="J402" s="51">
        <v>32</v>
      </c>
      <c r="K402" s="7">
        <f>tabPontoPed[[#This Row],[QTDMÊS]] * tabPontoPed[[#This Row],[MENSAL]]</f>
        <v>128</v>
      </c>
      <c r="L402" s="13" t="s">
        <v>1012</v>
      </c>
      <c r="M402" s="44"/>
      <c r="N402" s="45" t="str">
        <f>_xlfn.IFNA(IF(VLOOKUP(tabPontoPed[[#This Row],[CÓDIGO]],Excluir_do_Estoque!$A$4:$A$4004,1,FALSE),"sim",""),"")</f>
        <v/>
      </c>
      <c r="O402" s="10" t="str">
        <f t="shared" si="6"/>
        <v>*</v>
      </c>
    </row>
    <row r="403" spans="1:15" x14ac:dyDescent="0.25">
      <c r="A403" s="2">
        <v>64630</v>
      </c>
      <c r="B403" s="4" t="s">
        <v>993</v>
      </c>
      <c r="C403" s="41" t="s">
        <v>1345</v>
      </c>
      <c r="D403" s="42">
        <v>83</v>
      </c>
      <c r="E403" s="43">
        <v>5</v>
      </c>
      <c r="F403" s="50" t="str">
        <f>VLOOKUP(tabPontoPed[[#This Row],[GRUPO]],tabGrupos[#Data],2,FALSE)</f>
        <v>ABRASIVOS</v>
      </c>
      <c r="G403" s="42" t="str">
        <f>VLOOKUP(tabPontoPed[[#This Row],[GRUPO]],tabGrupos[#Data],3,FALSE)</f>
        <v>MAN</v>
      </c>
      <c r="H403" s="41" t="s">
        <v>1339</v>
      </c>
      <c r="I403" s="9">
        <v>4</v>
      </c>
      <c r="J403" s="51">
        <v>2</v>
      </c>
      <c r="K403" s="7">
        <f>tabPontoPed[[#This Row],[QTDMÊS]] * tabPontoPed[[#This Row],[MENSAL]]</f>
        <v>8</v>
      </c>
      <c r="L403" s="13" t="s">
        <v>1012</v>
      </c>
      <c r="M403" s="44"/>
      <c r="N403" s="45" t="str">
        <f>_xlfn.IFNA(IF(VLOOKUP(tabPontoPed[[#This Row],[CÓDIGO]],Excluir_do_Estoque!$A$4:$A$4004,1,FALSE),"sim",""),"")</f>
        <v/>
      </c>
      <c r="O403" s="10" t="str">
        <f t="shared" si="6"/>
        <v>*</v>
      </c>
    </row>
    <row r="404" spans="1:15" x14ac:dyDescent="0.25">
      <c r="A404" s="2">
        <v>64634</v>
      </c>
      <c r="B404" s="4" t="s">
        <v>995</v>
      </c>
      <c r="C404" s="41" t="s">
        <v>1345</v>
      </c>
      <c r="D404" s="42">
        <v>83</v>
      </c>
      <c r="E404" s="43">
        <v>10</v>
      </c>
      <c r="F404" s="50" t="str">
        <f>VLOOKUP(tabPontoPed[[#This Row],[GRUPO]],tabGrupos[#Data],2,FALSE)</f>
        <v>ABRASIVOS</v>
      </c>
      <c r="G404" s="42" t="str">
        <f>VLOOKUP(tabPontoPed[[#This Row],[GRUPO]],tabGrupos[#Data],3,FALSE)</f>
        <v>MAN</v>
      </c>
      <c r="H404" s="41" t="s">
        <v>1339</v>
      </c>
      <c r="I404" s="9">
        <v>4</v>
      </c>
      <c r="J404" s="51">
        <v>5</v>
      </c>
      <c r="K404" s="7">
        <f>tabPontoPed[[#This Row],[QTDMÊS]] * tabPontoPed[[#This Row],[MENSAL]]</f>
        <v>20</v>
      </c>
      <c r="L404" s="13" t="s">
        <v>1012</v>
      </c>
      <c r="M404" s="44"/>
      <c r="N404" s="45" t="str">
        <f>_xlfn.IFNA(IF(VLOOKUP(tabPontoPed[[#This Row],[CÓDIGO]],Excluir_do_Estoque!$A$4:$A$4004,1,FALSE),"sim",""),"")</f>
        <v/>
      </c>
      <c r="O404" s="10" t="str">
        <f t="shared" si="6"/>
        <v>*</v>
      </c>
    </row>
    <row r="405" spans="1:15" x14ac:dyDescent="0.25">
      <c r="A405" s="2">
        <v>64635</v>
      </c>
      <c r="B405" s="4" t="s">
        <v>763</v>
      </c>
      <c r="C405" s="41" t="s">
        <v>1345</v>
      </c>
      <c r="D405" s="42">
        <v>61</v>
      </c>
      <c r="E405" s="43">
        <v>8</v>
      </c>
      <c r="F405" s="50" t="str">
        <f>VLOOKUP(tabPontoPed[[#This Row],[GRUPO]],tabGrupos[#Data],2,FALSE)</f>
        <v>MATERIAL HIDRAULICO, CANOS, TUBOS, MANGUEIRAS, CONEXOES E ACESS.</v>
      </c>
      <c r="G405" s="42" t="str">
        <f>VLOOKUP(tabPontoPed[[#This Row],[GRUPO]],tabGrupos[#Data],3,FALSE)</f>
        <v>MHI</v>
      </c>
      <c r="H405" s="41" t="s">
        <v>1339</v>
      </c>
      <c r="I405" s="9">
        <v>4</v>
      </c>
      <c r="J405" s="51">
        <v>1</v>
      </c>
      <c r="K405" s="7">
        <f>tabPontoPed[[#This Row],[QTDMÊS]] * tabPontoPed[[#This Row],[MENSAL]]</f>
        <v>4</v>
      </c>
      <c r="L405" s="13" t="s">
        <v>1012</v>
      </c>
      <c r="M405" s="44"/>
      <c r="N405" s="45" t="str">
        <f>_xlfn.IFNA(IF(VLOOKUP(tabPontoPed[[#This Row],[CÓDIGO]],Excluir_do_Estoque!$A$4:$A$4004,1,FALSE),"sim",""),"")</f>
        <v/>
      </c>
      <c r="O405" s="10" t="str">
        <f t="shared" si="6"/>
        <v>*</v>
      </c>
    </row>
    <row r="406" spans="1:15" x14ac:dyDescent="0.25">
      <c r="A406" s="2">
        <v>64636</v>
      </c>
      <c r="B406" s="4" t="s">
        <v>298</v>
      </c>
      <c r="C406" s="41" t="s">
        <v>1345</v>
      </c>
      <c r="D406" s="42">
        <v>61</v>
      </c>
      <c r="E406" s="43">
        <v>8</v>
      </c>
      <c r="F406" s="50" t="str">
        <f>VLOOKUP(tabPontoPed[[#This Row],[GRUPO]],tabGrupos[#Data],2,FALSE)</f>
        <v>MATERIAL HIDRAULICO, CANOS, TUBOS, MANGUEIRAS, CONEXOES E ACESS.</v>
      </c>
      <c r="G406" s="42" t="str">
        <f>VLOOKUP(tabPontoPed[[#This Row],[GRUPO]],tabGrupos[#Data],3,FALSE)</f>
        <v>MHI</v>
      </c>
      <c r="H406" s="41" t="s">
        <v>1339</v>
      </c>
      <c r="I406" s="9">
        <v>4</v>
      </c>
      <c r="J406" s="51">
        <v>4</v>
      </c>
      <c r="K406" s="7">
        <f>tabPontoPed[[#This Row],[QTDMÊS]] * tabPontoPed[[#This Row],[MENSAL]]</f>
        <v>16</v>
      </c>
      <c r="L406" s="13" t="s">
        <v>1012</v>
      </c>
      <c r="M406" s="44"/>
      <c r="N406" s="45" t="str">
        <f>_xlfn.IFNA(IF(VLOOKUP(tabPontoPed[[#This Row],[CÓDIGO]],Excluir_do_Estoque!$A$4:$A$4004,1,FALSE),"sim",""),"")</f>
        <v/>
      </c>
      <c r="O406" s="10" t="str">
        <f t="shared" si="6"/>
        <v>*</v>
      </c>
    </row>
    <row r="407" spans="1:15" x14ac:dyDescent="0.25">
      <c r="A407" s="2">
        <v>64647</v>
      </c>
      <c r="B407" s="4" t="s">
        <v>293</v>
      </c>
      <c r="C407" s="41" t="s">
        <v>1345</v>
      </c>
      <c r="D407" s="42">
        <v>61</v>
      </c>
      <c r="E407" s="43">
        <v>8</v>
      </c>
      <c r="F407" s="50" t="str">
        <f>VLOOKUP(tabPontoPed[[#This Row],[GRUPO]],tabGrupos[#Data],2,FALSE)</f>
        <v>MATERIAL HIDRAULICO, CANOS, TUBOS, MANGUEIRAS, CONEXOES E ACESS.</v>
      </c>
      <c r="G407" s="42" t="str">
        <f>VLOOKUP(tabPontoPed[[#This Row],[GRUPO]],tabGrupos[#Data],3,FALSE)</f>
        <v>MHI</v>
      </c>
      <c r="H407" s="41" t="s">
        <v>1339</v>
      </c>
      <c r="I407" s="9">
        <v>4</v>
      </c>
      <c r="J407" s="51">
        <v>0</v>
      </c>
      <c r="K407" s="7">
        <f>tabPontoPed[[#This Row],[QTDMÊS]] * tabPontoPed[[#This Row],[MENSAL]]</f>
        <v>0</v>
      </c>
      <c r="L407" s="13" t="s">
        <v>1012</v>
      </c>
      <c r="M407" s="44"/>
      <c r="N407" s="45" t="str">
        <f>_xlfn.IFNA(IF(VLOOKUP(tabPontoPed[[#This Row],[CÓDIGO]],Excluir_do_Estoque!$A$4:$A$4004,1,FALSE),"sim",""),"")</f>
        <v/>
      </c>
      <c r="O407" s="10" t="str">
        <f t="shared" si="6"/>
        <v>*</v>
      </c>
    </row>
    <row r="408" spans="1:15" x14ac:dyDescent="0.25">
      <c r="A408" s="2">
        <v>64648</v>
      </c>
      <c r="B408" s="4" t="s">
        <v>764</v>
      </c>
      <c r="C408" s="41" t="s">
        <v>1345</v>
      </c>
      <c r="D408" s="42">
        <v>61</v>
      </c>
      <c r="E408" s="43">
        <v>8</v>
      </c>
      <c r="F408" s="50" t="str">
        <f>VLOOKUP(tabPontoPed[[#This Row],[GRUPO]],tabGrupos[#Data],2,FALSE)</f>
        <v>MATERIAL HIDRAULICO, CANOS, TUBOS, MANGUEIRAS, CONEXOES E ACESS.</v>
      </c>
      <c r="G408" s="42" t="str">
        <f>VLOOKUP(tabPontoPed[[#This Row],[GRUPO]],tabGrupos[#Data],3,FALSE)</f>
        <v>MHI</v>
      </c>
      <c r="H408" s="41" t="s">
        <v>1339</v>
      </c>
      <c r="I408" s="9">
        <v>4</v>
      </c>
      <c r="J408" s="51">
        <v>0</v>
      </c>
      <c r="K408" s="7">
        <f>tabPontoPed[[#This Row],[QTDMÊS]] * tabPontoPed[[#This Row],[MENSAL]]</f>
        <v>0</v>
      </c>
      <c r="L408" s="13" t="s">
        <v>1012</v>
      </c>
      <c r="M408" s="44"/>
      <c r="N408" s="45" t="str">
        <f>_xlfn.IFNA(IF(VLOOKUP(tabPontoPed[[#This Row],[CÓDIGO]],Excluir_do_Estoque!$A$4:$A$4004,1,FALSE),"sim",""),"")</f>
        <v/>
      </c>
      <c r="O408" s="10" t="str">
        <f t="shared" si="6"/>
        <v>*</v>
      </c>
    </row>
    <row r="409" spans="1:15" x14ac:dyDescent="0.25">
      <c r="A409" s="2">
        <v>64817</v>
      </c>
      <c r="B409" s="4" t="s">
        <v>267</v>
      </c>
      <c r="C409" s="41" t="s">
        <v>1345</v>
      </c>
      <c r="D409" s="42">
        <v>69</v>
      </c>
      <c r="E409" s="43">
        <v>8</v>
      </c>
      <c r="F409" s="50" t="str">
        <f>VLOOKUP(tabPontoPed[[#This Row],[GRUPO]],tabGrupos[#Data],2,FALSE)</f>
        <v>METAIS,LAMINAD.,PERFILADOS E ARTEFATOS METALICOS</v>
      </c>
      <c r="G409" s="42" t="str">
        <f>VLOOKUP(tabPontoPed[[#This Row],[GRUPO]],tabGrupos[#Data],3,FALSE)</f>
        <v>MSE</v>
      </c>
      <c r="H409" s="41" t="s">
        <v>1339</v>
      </c>
      <c r="I409" s="9">
        <v>4</v>
      </c>
      <c r="J409" s="51">
        <v>1</v>
      </c>
      <c r="K409" s="7">
        <f>tabPontoPed[[#This Row],[QTDMÊS]] * tabPontoPed[[#This Row],[MENSAL]]</f>
        <v>4</v>
      </c>
      <c r="L409" s="13" t="s">
        <v>1012</v>
      </c>
      <c r="M409" s="44"/>
      <c r="N409" s="45" t="str">
        <f>_xlfn.IFNA(IF(VLOOKUP(tabPontoPed[[#This Row],[CÓDIGO]],Excluir_do_Estoque!$A$4:$A$4004,1,FALSE),"sim",""),"")</f>
        <v/>
      </c>
      <c r="O409" s="10" t="str">
        <f t="shared" si="6"/>
        <v>*</v>
      </c>
    </row>
    <row r="410" spans="1:15" x14ac:dyDescent="0.25">
      <c r="A410" s="2">
        <v>64819</v>
      </c>
      <c r="B410" s="4" t="s">
        <v>215</v>
      </c>
      <c r="C410" s="41" t="s">
        <v>1345</v>
      </c>
      <c r="D410" s="42">
        <v>51</v>
      </c>
      <c r="E410" s="43">
        <v>30</v>
      </c>
      <c r="F410" s="50" t="str">
        <f>VLOOKUP(tabPontoPed[[#This Row],[GRUPO]],tabGrupos[#Data],2,FALSE)</f>
        <v>MAT.E EQUIP. P/ CONSTR.CIVIL E CONSERV. DE VIAS PUBL.</v>
      </c>
      <c r="G410" s="42" t="str">
        <f>VLOOKUP(tabPontoPed[[#This Row],[GRUPO]],tabGrupos[#Data],3,FALSE)</f>
        <v>MCO</v>
      </c>
      <c r="H410" s="41" t="s">
        <v>1339</v>
      </c>
      <c r="I410" s="9">
        <v>4</v>
      </c>
      <c r="J410" s="51">
        <v>47</v>
      </c>
      <c r="K410" s="7">
        <f>tabPontoPed[[#This Row],[QTDMÊS]] * tabPontoPed[[#This Row],[MENSAL]]</f>
        <v>188</v>
      </c>
      <c r="L410" s="13" t="s">
        <v>1012</v>
      </c>
      <c r="M410" s="44"/>
      <c r="N410" s="45" t="str">
        <f>_xlfn.IFNA(IF(VLOOKUP(tabPontoPed[[#This Row],[CÓDIGO]],Excluir_do_Estoque!$A$4:$A$4004,1,FALSE),"sim",""),"")</f>
        <v/>
      </c>
      <c r="O410" s="10" t="str">
        <f t="shared" si="6"/>
        <v>*</v>
      </c>
    </row>
    <row r="411" spans="1:15" x14ac:dyDescent="0.25">
      <c r="A411" s="2">
        <v>64821</v>
      </c>
      <c r="B411" s="4" t="s">
        <v>235</v>
      </c>
      <c r="C411" s="41" t="s">
        <v>1345</v>
      </c>
      <c r="D411" s="42">
        <v>76</v>
      </c>
      <c r="E411" s="43">
        <v>9</v>
      </c>
      <c r="F411" s="50" t="str">
        <f>VLOOKUP(tabPontoPed[[#This Row],[GRUPO]],tabGrupos[#Data],2,FALSE)</f>
        <v>EQUIP. E MATERIAIS P/PINTURAS E IMPERMEABILIZACAO</v>
      </c>
      <c r="G411" s="42" t="str">
        <f>VLOOKUP(tabPontoPed[[#This Row],[GRUPO]],tabGrupos[#Data],3,FALSE)</f>
        <v>MPI</v>
      </c>
      <c r="H411" s="41" t="s">
        <v>1339</v>
      </c>
      <c r="I411" s="9">
        <v>4</v>
      </c>
      <c r="J411" s="51">
        <v>2</v>
      </c>
      <c r="K411" s="7">
        <f>tabPontoPed[[#This Row],[QTDMÊS]] * tabPontoPed[[#This Row],[MENSAL]]</f>
        <v>8</v>
      </c>
      <c r="L411" s="13" t="s">
        <v>1012</v>
      </c>
      <c r="M411" s="44"/>
      <c r="N411" s="45" t="str">
        <f>_xlfn.IFNA(IF(VLOOKUP(tabPontoPed[[#This Row],[CÓDIGO]],Excluir_do_Estoque!$A$4:$A$4004,1,FALSE),"sim",""),"")</f>
        <v/>
      </c>
      <c r="O411" s="10" t="str">
        <f t="shared" si="6"/>
        <v>*</v>
      </c>
    </row>
    <row r="412" spans="1:15" x14ac:dyDescent="0.25">
      <c r="A412" s="2">
        <v>64822</v>
      </c>
      <c r="B412" s="4" t="s">
        <v>174</v>
      </c>
      <c r="C412" s="41" t="s">
        <v>1345</v>
      </c>
      <c r="D412" s="42">
        <v>76</v>
      </c>
      <c r="E412" s="43">
        <v>9</v>
      </c>
      <c r="F412" s="50" t="str">
        <f>VLOOKUP(tabPontoPed[[#This Row],[GRUPO]],tabGrupos[#Data],2,FALSE)</f>
        <v>EQUIP. E MATERIAIS P/PINTURAS E IMPERMEABILIZACAO</v>
      </c>
      <c r="G412" s="42" t="str">
        <f>VLOOKUP(tabPontoPed[[#This Row],[GRUPO]],tabGrupos[#Data],3,FALSE)</f>
        <v>MPI</v>
      </c>
      <c r="H412" s="41" t="s">
        <v>1339</v>
      </c>
      <c r="I412" s="9">
        <v>4</v>
      </c>
      <c r="J412" s="51">
        <v>4</v>
      </c>
      <c r="K412" s="7">
        <f>tabPontoPed[[#This Row],[QTDMÊS]] * tabPontoPed[[#This Row],[MENSAL]]</f>
        <v>16</v>
      </c>
      <c r="L412" s="13" t="s">
        <v>1012</v>
      </c>
      <c r="M412" s="44"/>
      <c r="N412" s="45" t="str">
        <f>_xlfn.IFNA(IF(VLOOKUP(tabPontoPed[[#This Row],[CÓDIGO]],Excluir_do_Estoque!$A$4:$A$4004,1,FALSE),"sim",""),"")</f>
        <v/>
      </c>
      <c r="O412" s="10" t="str">
        <f t="shared" si="6"/>
        <v>*</v>
      </c>
    </row>
    <row r="413" spans="1:15" x14ac:dyDescent="0.25">
      <c r="A413" s="2">
        <v>64860</v>
      </c>
      <c r="B413" s="4" t="s">
        <v>268</v>
      </c>
      <c r="C413" s="41" t="s">
        <v>1345</v>
      </c>
      <c r="D413" s="42">
        <v>69</v>
      </c>
      <c r="E413" s="43">
        <v>8</v>
      </c>
      <c r="F413" s="50" t="str">
        <f>VLOOKUP(tabPontoPed[[#This Row],[GRUPO]],tabGrupos[#Data],2,FALSE)</f>
        <v>METAIS,LAMINAD.,PERFILADOS E ARTEFATOS METALICOS</v>
      </c>
      <c r="G413" s="42" t="str">
        <f>VLOOKUP(tabPontoPed[[#This Row],[GRUPO]],tabGrupos[#Data],3,FALSE)</f>
        <v>MSE</v>
      </c>
      <c r="H413" s="41" t="s">
        <v>1339</v>
      </c>
      <c r="I413" s="9">
        <v>4</v>
      </c>
      <c r="J413" s="51">
        <v>7</v>
      </c>
      <c r="K413" s="7">
        <f>tabPontoPed[[#This Row],[QTDMÊS]] * tabPontoPed[[#This Row],[MENSAL]]</f>
        <v>28</v>
      </c>
      <c r="L413" s="13" t="s">
        <v>1012</v>
      </c>
      <c r="M413" s="44"/>
      <c r="N413" s="45" t="str">
        <f>_xlfn.IFNA(IF(VLOOKUP(tabPontoPed[[#This Row],[CÓDIGO]],Excluir_do_Estoque!$A$4:$A$4004,1,FALSE),"sim",""),"")</f>
        <v/>
      </c>
      <c r="O413" s="10" t="str">
        <f t="shared" si="6"/>
        <v>*</v>
      </c>
    </row>
    <row r="414" spans="1:15" x14ac:dyDescent="0.25">
      <c r="A414" s="2">
        <v>64861</v>
      </c>
      <c r="B414" s="4" t="s">
        <v>269</v>
      </c>
      <c r="C414" s="41" t="s">
        <v>1345</v>
      </c>
      <c r="D414" s="42">
        <v>69</v>
      </c>
      <c r="E414" s="43">
        <v>8</v>
      </c>
      <c r="F414" s="50" t="str">
        <f>VLOOKUP(tabPontoPed[[#This Row],[GRUPO]],tabGrupos[#Data],2,FALSE)</f>
        <v>METAIS,LAMINAD.,PERFILADOS E ARTEFATOS METALICOS</v>
      </c>
      <c r="G414" s="42" t="str">
        <f>VLOOKUP(tabPontoPed[[#This Row],[GRUPO]],tabGrupos[#Data],3,FALSE)</f>
        <v>MSE</v>
      </c>
      <c r="H414" s="41" t="s">
        <v>1339</v>
      </c>
      <c r="I414" s="9">
        <v>4</v>
      </c>
      <c r="J414" s="51">
        <v>6</v>
      </c>
      <c r="K414" s="7">
        <f>tabPontoPed[[#This Row],[QTDMÊS]] * tabPontoPed[[#This Row],[MENSAL]]</f>
        <v>24</v>
      </c>
      <c r="L414" s="13" t="s">
        <v>1012</v>
      </c>
      <c r="M414" s="44"/>
      <c r="N414" s="45" t="str">
        <f>_xlfn.IFNA(IF(VLOOKUP(tabPontoPed[[#This Row],[CÓDIGO]],Excluir_do_Estoque!$A$4:$A$4004,1,FALSE),"sim",""),"")</f>
        <v/>
      </c>
      <c r="O414" s="10" t="str">
        <f t="shared" si="6"/>
        <v>*</v>
      </c>
    </row>
    <row r="415" spans="1:15" x14ac:dyDescent="0.25">
      <c r="A415" s="2">
        <v>65173</v>
      </c>
      <c r="B415" s="4" t="s">
        <v>794</v>
      </c>
      <c r="C415" s="41" t="s">
        <v>1345</v>
      </c>
      <c r="D415" s="42">
        <v>61</v>
      </c>
      <c r="E415" s="43">
        <v>15</v>
      </c>
      <c r="F415" s="50" t="str">
        <f>VLOOKUP(tabPontoPed[[#This Row],[GRUPO]],tabGrupos[#Data],2,FALSE)</f>
        <v>MATERIAL HIDRAULICO, CANOS, TUBOS, MANGUEIRAS, CONEXOES E ACESS.</v>
      </c>
      <c r="G415" s="42" t="str">
        <f>VLOOKUP(tabPontoPed[[#This Row],[GRUPO]],tabGrupos[#Data],3,FALSE)</f>
        <v>MHI</v>
      </c>
      <c r="H415" s="41" t="s">
        <v>1339</v>
      </c>
      <c r="I415" s="9">
        <v>4</v>
      </c>
      <c r="J415" s="51">
        <v>3</v>
      </c>
      <c r="K415" s="7">
        <f>tabPontoPed[[#This Row],[QTDMÊS]] * tabPontoPed[[#This Row],[MENSAL]]</f>
        <v>12</v>
      </c>
      <c r="L415" s="13" t="s">
        <v>1012</v>
      </c>
      <c r="M415" s="44"/>
      <c r="N415" s="45" t="str">
        <f>_xlfn.IFNA(IF(VLOOKUP(tabPontoPed[[#This Row],[CÓDIGO]],Excluir_do_Estoque!$A$4:$A$4004,1,FALSE),"sim",""),"")</f>
        <v/>
      </c>
      <c r="O415" s="10" t="str">
        <f t="shared" si="6"/>
        <v>*</v>
      </c>
    </row>
    <row r="416" spans="1:15" x14ac:dyDescent="0.25">
      <c r="A416" s="2">
        <v>65748</v>
      </c>
      <c r="B416" s="4" t="s">
        <v>122</v>
      </c>
      <c r="C416" s="41" t="s">
        <v>1345</v>
      </c>
      <c r="D416" s="42">
        <v>55</v>
      </c>
      <c r="E416" s="43">
        <v>19</v>
      </c>
      <c r="F416" s="50" t="str">
        <f>VLOOKUP(tabPontoPed[[#This Row],[GRUPO]],tabGrupos[#Data],2,FALSE)</f>
        <v>EQUIP. MAT. P/ GERACAO, TRANSM. DISTR. RETIF...</v>
      </c>
      <c r="G416" s="42" t="str">
        <f>VLOOKUP(tabPontoPed[[#This Row],[GRUPO]],tabGrupos[#Data],3,FALSE)</f>
        <v>MEL</v>
      </c>
      <c r="H416" s="41" t="s">
        <v>1339</v>
      </c>
      <c r="I416" s="9">
        <v>4</v>
      </c>
      <c r="J416" s="51">
        <v>450</v>
      </c>
      <c r="K416" s="7">
        <f>tabPontoPed[[#This Row],[QTDMÊS]] * tabPontoPed[[#This Row],[MENSAL]]</f>
        <v>1800</v>
      </c>
      <c r="L416" s="13" t="s">
        <v>1012</v>
      </c>
      <c r="M416" s="44"/>
      <c r="N416" s="45" t="str">
        <f>_xlfn.IFNA(IF(VLOOKUP(tabPontoPed[[#This Row],[CÓDIGO]],Excluir_do_Estoque!$A$4:$A$4004,1,FALSE),"sim",""),"")</f>
        <v/>
      </c>
      <c r="O416" s="10" t="str">
        <f t="shared" si="6"/>
        <v>*</v>
      </c>
    </row>
    <row r="417" spans="1:15" x14ac:dyDescent="0.25">
      <c r="A417" s="2">
        <v>66168</v>
      </c>
      <c r="B417" s="4" t="s">
        <v>342</v>
      </c>
      <c r="C417" s="41" t="s">
        <v>1345</v>
      </c>
      <c r="D417" s="42">
        <v>69</v>
      </c>
      <c r="E417" s="43">
        <v>17</v>
      </c>
      <c r="F417" s="50" t="str">
        <f>VLOOKUP(tabPontoPed[[#This Row],[GRUPO]],tabGrupos[#Data],2,FALSE)</f>
        <v>METAIS,LAMINAD.,PERFILADOS E ARTEFATOS METALICOS</v>
      </c>
      <c r="G417" s="42" t="str">
        <f>VLOOKUP(tabPontoPed[[#This Row],[GRUPO]],tabGrupos[#Data],3,FALSE)</f>
        <v>MSE</v>
      </c>
      <c r="H417" s="41" t="s">
        <v>1339</v>
      </c>
      <c r="I417" s="9">
        <v>4</v>
      </c>
      <c r="J417" s="51">
        <v>28</v>
      </c>
      <c r="K417" s="7">
        <f>tabPontoPed[[#This Row],[QTDMÊS]] * tabPontoPed[[#This Row],[MENSAL]]</f>
        <v>112</v>
      </c>
      <c r="L417" s="13" t="s">
        <v>1012</v>
      </c>
      <c r="M417" s="44"/>
      <c r="N417" s="45" t="str">
        <f>_xlfn.IFNA(IF(VLOOKUP(tabPontoPed[[#This Row],[CÓDIGO]],Excluir_do_Estoque!$A$4:$A$4004,1,FALSE),"sim",""),"")</f>
        <v/>
      </c>
      <c r="O417" s="10" t="str">
        <f t="shared" si="6"/>
        <v>*</v>
      </c>
    </row>
    <row r="418" spans="1:15" x14ac:dyDescent="0.25">
      <c r="A418" s="2">
        <v>66308</v>
      </c>
      <c r="B418" s="4" t="s">
        <v>598</v>
      </c>
      <c r="C418" s="41" t="s">
        <v>1345</v>
      </c>
      <c r="D418" s="42">
        <v>54</v>
      </c>
      <c r="E418" s="43">
        <v>16</v>
      </c>
      <c r="F418" s="50" t="str">
        <f>VLOOKUP(tabPontoPed[[#This Row],[GRUPO]],tabGrupos[#Data],2,FALSE)</f>
        <v>EQUIP PROT IND, INST MAT P/ SINAL, CONTR, COMB ...</v>
      </c>
      <c r="G418" s="42" t="str">
        <f>VLOOKUP(tabPontoPed[[#This Row],[GRUPO]],tabGrupos[#Data],3,FALSE)</f>
        <v>MAN</v>
      </c>
      <c r="H418" s="41" t="s">
        <v>1339</v>
      </c>
      <c r="I418" s="9">
        <v>4</v>
      </c>
      <c r="J418" s="51">
        <v>2</v>
      </c>
      <c r="K418" s="7">
        <f>tabPontoPed[[#This Row],[QTDMÊS]] * tabPontoPed[[#This Row],[MENSAL]]</f>
        <v>8</v>
      </c>
      <c r="L418" s="13" t="s">
        <v>1012</v>
      </c>
      <c r="M418" s="44"/>
      <c r="N418" s="45" t="str">
        <f>_xlfn.IFNA(IF(VLOOKUP(tabPontoPed[[#This Row],[CÓDIGO]],Excluir_do_Estoque!$A$4:$A$4004,1,FALSE),"sim",""),"")</f>
        <v/>
      </c>
      <c r="O418" s="10" t="str">
        <f t="shared" si="6"/>
        <v>*</v>
      </c>
    </row>
    <row r="419" spans="1:15" x14ac:dyDescent="0.25">
      <c r="A419" s="2">
        <v>66786</v>
      </c>
      <c r="B419" s="4" t="s">
        <v>383</v>
      </c>
      <c r="C419" s="41" t="s">
        <v>1345</v>
      </c>
      <c r="D419" s="42">
        <v>72</v>
      </c>
      <c r="E419" s="43">
        <v>9</v>
      </c>
      <c r="F419" s="50" t="str">
        <f>VLOOKUP(tabPontoPed[[#This Row],[GRUPO]],tabGrupos[#Data],2,FALSE)</f>
        <v>MAQ.EQUIP.E MATERIAIS P/ HIGIEN.LIMP.POLIM.E LUBR.</v>
      </c>
      <c r="G419" s="42" t="str">
        <f>VLOOKUP(tabPontoPed[[#This Row],[GRUPO]],tabGrupos[#Data],3,FALSE)</f>
        <v>ADM</v>
      </c>
      <c r="H419" s="41" t="s">
        <v>1339</v>
      </c>
      <c r="I419" s="9">
        <v>4</v>
      </c>
      <c r="J419" s="51">
        <v>113</v>
      </c>
      <c r="K419" s="7">
        <f>tabPontoPed[[#This Row],[QTDMÊS]] * tabPontoPed[[#This Row],[MENSAL]]</f>
        <v>452</v>
      </c>
      <c r="L419" s="13" t="s">
        <v>1012</v>
      </c>
      <c r="M419" s="44"/>
      <c r="N419" s="45" t="str">
        <f>_xlfn.IFNA(IF(VLOOKUP(tabPontoPed[[#This Row],[CÓDIGO]],Excluir_do_Estoque!$A$4:$A$4004,1,FALSE),"sim",""),"")</f>
        <v/>
      </c>
      <c r="O419" s="10" t="str">
        <f t="shared" si="6"/>
        <v>*</v>
      </c>
    </row>
    <row r="420" spans="1:15" x14ac:dyDescent="0.25">
      <c r="A420" s="2">
        <v>68351</v>
      </c>
      <c r="B420" s="4" t="s">
        <v>617</v>
      </c>
      <c r="C420" s="41" t="s">
        <v>1345</v>
      </c>
      <c r="D420" s="42">
        <v>55</v>
      </c>
      <c r="E420" s="43">
        <v>5</v>
      </c>
      <c r="F420" s="50" t="str">
        <f>VLOOKUP(tabPontoPed[[#This Row],[GRUPO]],tabGrupos[#Data],2,FALSE)</f>
        <v>EQUIP. MAT. P/ GERACAO, TRANSM. DISTR. RETIF...</v>
      </c>
      <c r="G420" s="42" t="str">
        <f>VLOOKUP(tabPontoPed[[#This Row],[GRUPO]],tabGrupos[#Data],3,FALSE)</f>
        <v>MEL</v>
      </c>
      <c r="H420" s="41" t="s">
        <v>1339</v>
      </c>
      <c r="I420" s="9">
        <v>4</v>
      </c>
      <c r="J420" s="51">
        <v>2</v>
      </c>
      <c r="K420" s="7">
        <f>tabPontoPed[[#This Row],[QTDMÊS]] * tabPontoPed[[#This Row],[MENSAL]]</f>
        <v>8</v>
      </c>
      <c r="L420" s="13" t="s">
        <v>1012</v>
      </c>
      <c r="M420" s="44"/>
      <c r="N420" s="45" t="str">
        <f>_xlfn.IFNA(IF(VLOOKUP(tabPontoPed[[#This Row],[CÓDIGO]],Excluir_do_Estoque!$A$4:$A$4004,1,FALSE),"sim",""),"")</f>
        <v/>
      </c>
      <c r="O420" s="10" t="str">
        <f t="shared" si="6"/>
        <v>*</v>
      </c>
    </row>
    <row r="421" spans="1:15" x14ac:dyDescent="0.25">
      <c r="A421" s="2">
        <v>69222</v>
      </c>
      <c r="B421" s="4" t="s">
        <v>445</v>
      </c>
      <c r="C421" s="41" t="s">
        <v>1345</v>
      </c>
      <c r="D421" s="42">
        <v>45</v>
      </c>
      <c r="E421" s="43">
        <v>11</v>
      </c>
      <c r="F421" s="50" t="str">
        <f>VLOOKUP(tabPontoPed[[#This Row],[GRUPO]],tabGrupos[#Data],2,FALSE)</f>
        <v>MAQ., EQUIP., COMP., ACES., MAT. PARA ESCRIT.E ESCOLAR</v>
      </c>
      <c r="G421" s="42" t="str">
        <f>VLOOKUP(tabPontoPed[[#This Row],[GRUPO]],tabGrupos[#Data],3,FALSE)</f>
        <v>EDU</v>
      </c>
      <c r="H421" s="41" t="s">
        <v>1339</v>
      </c>
      <c r="I421" s="9">
        <v>4</v>
      </c>
      <c r="J421" s="51">
        <v>220</v>
      </c>
      <c r="K421" s="7">
        <f>tabPontoPed[[#This Row],[QTDMÊS]] * tabPontoPed[[#This Row],[MENSAL]]</f>
        <v>880</v>
      </c>
      <c r="L421" s="13" t="s">
        <v>1012</v>
      </c>
      <c r="M421" s="44"/>
      <c r="N421" s="45" t="str">
        <f>_xlfn.IFNA(IF(VLOOKUP(tabPontoPed[[#This Row],[CÓDIGO]],Excluir_do_Estoque!$A$4:$A$4004,1,FALSE),"sim",""),"")</f>
        <v/>
      </c>
      <c r="O421" s="10" t="str">
        <f t="shared" si="6"/>
        <v>*</v>
      </c>
    </row>
    <row r="422" spans="1:15" x14ac:dyDescent="0.25">
      <c r="A422" s="2">
        <v>69229</v>
      </c>
      <c r="B422" s="4" t="s">
        <v>180</v>
      </c>
      <c r="C422" s="41" t="s">
        <v>1345</v>
      </c>
      <c r="D422" s="42">
        <v>76</v>
      </c>
      <c r="E422" s="43">
        <v>5</v>
      </c>
      <c r="F422" s="50" t="str">
        <f>VLOOKUP(tabPontoPed[[#This Row],[GRUPO]],tabGrupos[#Data],2,FALSE)</f>
        <v>EQUIP. E MATERIAIS P/PINTURAS E IMPERMEABILIZACAO</v>
      </c>
      <c r="G422" s="42" t="str">
        <f>VLOOKUP(tabPontoPed[[#This Row],[GRUPO]],tabGrupos[#Data],3,FALSE)</f>
        <v>MPI</v>
      </c>
      <c r="H422" s="41" t="s">
        <v>1339</v>
      </c>
      <c r="I422" s="9">
        <v>4</v>
      </c>
      <c r="J422" s="51">
        <v>11</v>
      </c>
      <c r="K422" s="7">
        <f>tabPontoPed[[#This Row],[QTDMÊS]] * tabPontoPed[[#This Row],[MENSAL]]</f>
        <v>44</v>
      </c>
      <c r="L422" s="13" t="s">
        <v>1012</v>
      </c>
      <c r="M422" s="44"/>
      <c r="N422" s="45" t="str">
        <f>_xlfn.IFNA(IF(VLOOKUP(tabPontoPed[[#This Row],[CÓDIGO]],Excluir_do_Estoque!$A$4:$A$4004,1,FALSE),"sim",""),"")</f>
        <v/>
      </c>
      <c r="O422" s="10" t="str">
        <f t="shared" si="6"/>
        <v>*</v>
      </c>
    </row>
    <row r="423" spans="1:15" x14ac:dyDescent="0.25">
      <c r="A423" s="2">
        <v>69339</v>
      </c>
      <c r="B423" s="4" t="s">
        <v>599</v>
      </c>
      <c r="C423" s="41" t="s">
        <v>1345</v>
      </c>
      <c r="D423" s="42">
        <v>54</v>
      </c>
      <c r="E423" s="43">
        <v>16</v>
      </c>
      <c r="F423" s="50" t="str">
        <f>VLOOKUP(tabPontoPed[[#This Row],[GRUPO]],tabGrupos[#Data],2,FALSE)</f>
        <v>EQUIP PROT IND, INST MAT P/ SINAL, CONTR, COMB ...</v>
      </c>
      <c r="G423" s="42" t="str">
        <f>VLOOKUP(tabPontoPed[[#This Row],[GRUPO]],tabGrupos[#Data],3,FALSE)</f>
        <v>MAN</v>
      </c>
      <c r="H423" s="41" t="s">
        <v>1339</v>
      </c>
      <c r="I423" s="9">
        <v>4</v>
      </c>
      <c r="J423" s="51">
        <v>1</v>
      </c>
      <c r="K423" s="7">
        <f>tabPontoPed[[#This Row],[QTDMÊS]] * tabPontoPed[[#This Row],[MENSAL]]</f>
        <v>4</v>
      </c>
      <c r="L423" s="13" t="s">
        <v>1012</v>
      </c>
      <c r="M423" s="44"/>
      <c r="N423" s="45" t="str">
        <f>_xlfn.IFNA(IF(VLOOKUP(tabPontoPed[[#This Row],[CÓDIGO]],Excluir_do_Estoque!$A$4:$A$4004,1,FALSE),"sim",""),"")</f>
        <v/>
      </c>
      <c r="O423" s="10" t="str">
        <f t="shared" si="6"/>
        <v>*</v>
      </c>
    </row>
    <row r="424" spans="1:15" x14ac:dyDescent="0.25">
      <c r="A424" s="2">
        <v>70379</v>
      </c>
      <c r="B424" s="4" t="s">
        <v>707</v>
      </c>
      <c r="C424" s="41" t="s">
        <v>1345</v>
      </c>
      <c r="D424" s="42">
        <v>57</v>
      </c>
      <c r="E424" s="43">
        <v>17</v>
      </c>
      <c r="F424" s="50" t="str">
        <f>VLOOKUP(tabPontoPed[[#This Row],[GRUPO]],tabGrupos[#Data],2,FALSE)</f>
        <v>MAQ. E EQUIP. P/ IND. GRAFICA COMP. ACESS. E PAPEI</v>
      </c>
      <c r="G424" s="42" t="str">
        <f>VLOOKUP(tabPontoPed[[#This Row],[GRUPO]],tabGrupos[#Data],3,FALSE)</f>
        <v>EDU</v>
      </c>
      <c r="H424" s="41" t="s">
        <v>1339</v>
      </c>
      <c r="I424" s="9">
        <v>4</v>
      </c>
      <c r="J424" s="51">
        <v>241</v>
      </c>
      <c r="K424" s="7">
        <f>tabPontoPed[[#This Row],[QTDMÊS]] * tabPontoPed[[#This Row],[MENSAL]]</f>
        <v>964</v>
      </c>
      <c r="L424" s="13" t="s">
        <v>1012</v>
      </c>
      <c r="M424" s="44"/>
      <c r="N424" s="45" t="str">
        <f>_xlfn.IFNA(IF(VLOOKUP(tabPontoPed[[#This Row],[CÓDIGO]],Excluir_do_Estoque!$A$4:$A$4004,1,FALSE),"sim",""),"")</f>
        <v/>
      </c>
      <c r="O424" s="10" t="str">
        <f t="shared" si="6"/>
        <v>*</v>
      </c>
    </row>
    <row r="425" spans="1:15" x14ac:dyDescent="0.25">
      <c r="A425" s="2">
        <v>70967</v>
      </c>
      <c r="B425" s="4" t="s">
        <v>281</v>
      </c>
      <c r="C425" s="41" t="s">
        <v>1345</v>
      </c>
      <c r="D425" s="42">
        <v>61</v>
      </c>
      <c r="E425" s="43">
        <v>3</v>
      </c>
      <c r="F425" s="50" t="str">
        <f>VLOOKUP(tabPontoPed[[#This Row],[GRUPO]],tabGrupos[#Data],2,FALSE)</f>
        <v>MATERIAL HIDRAULICO, CANOS, TUBOS, MANGUEIRAS, CONEXOES E ACESS.</v>
      </c>
      <c r="G425" s="42" t="str">
        <f>VLOOKUP(tabPontoPed[[#This Row],[GRUPO]],tabGrupos[#Data],3,FALSE)</f>
        <v>MHI</v>
      </c>
      <c r="H425" s="41" t="s">
        <v>1339</v>
      </c>
      <c r="I425" s="9">
        <v>4</v>
      </c>
      <c r="J425" s="51">
        <v>5</v>
      </c>
      <c r="K425" s="7">
        <f>tabPontoPed[[#This Row],[QTDMÊS]] * tabPontoPed[[#This Row],[MENSAL]]</f>
        <v>20</v>
      </c>
      <c r="L425" s="13" t="s">
        <v>1012</v>
      </c>
      <c r="M425" s="44"/>
      <c r="N425" s="45" t="str">
        <f>_xlfn.IFNA(IF(VLOOKUP(tabPontoPed[[#This Row],[CÓDIGO]],Excluir_do_Estoque!$A$4:$A$4004,1,FALSE),"sim",""),"")</f>
        <v/>
      </c>
      <c r="O425" s="10" t="str">
        <f t="shared" si="6"/>
        <v>*</v>
      </c>
    </row>
    <row r="426" spans="1:15" x14ac:dyDescent="0.25">
      <c r="A426" s="2">
        <v>71053</v>
      </c>
      <c r="B426" s="4" t="s">
        <v>575</v>
      </c>
      <c r="C426" s="41" t="s">
        <v>1345</v>
      </c>
      <c r="D426" s="42">
        <v>54</v>
      </c>
      <c r="E426" s="43">
        <v>4</v>
      </c>
      <c r="F426" s="50" t="str">
        <f>VLOOKUP(tabPontoPed[[#This Row],[GRUPO]],tabGrupos[#Data],2,FALSE)</f>
        <v>EQUIP PROT IND, INST MAT P/ SINAL, CONTR, COMB ...</v>
      </c>
      <c r="G426" s="42" t="str">
        <f>VLOOKUP(tabPontoPed[[#This Row],[GRUPO]],tabGrupos[#Data],3,FALSE)</f>
        <v>MAN</v>
      </c>
      <c r="H426" s="41" t="s">
        <v>1339</v>
      </c>
      <c r="I426" s="9">
        <v>4</v>
      </c>
      <c r="J426" s="51">
        <v>0</v>
      </c>
      <c r="K426" s="7">
        <f>tabPontoPed[[#This Row],[QTDMÊS]] * tabPontoPed[[#This Row],[MENSAL]]</f>
        <v>0</v>
      </c>
      <c r="L426" s="13" t="s">
        <v>1012</v>
      </c>
      <c r="M426" s="44"/>
      <c r="N426" s="45" t="str">
        <f>_xlfn.IFNA(IF(VLOOKUP(tabPontoPed[[#This Row],[CÓDIGO]],Excluir_do_Estoque!$A$4:$A$4004,1,FALSE),"sim",""),"")</f>
        <v/>
      </c>
      <c r="O426" s="10" t="str">
        <f t="shared" si="6"/>
        <v>*</v>
      </c>
    </row>
    <row r="427" spans="1:15" x14ac:dyDescent="0.25">
      <c r="A427" s="2">
        <v>71189</v>
      </c>
      <c r="B427" s="4" t="s">
        <v>151</v>
      </c>
      <c r="C427" s="41" t="s">
        <v>1345</v>
      </c>
      <c r="D427" s="42">
        <v>51</v>
      </c>
      <c r="E427" s="43">
        <v>10</v>
      </c>
      <c r="F427" s="50" t="str">
        <f>VLOOKUP(tabPontoPed[[#This Row],[GRUPO]],tabGrupos[#Data],2,FALSE)</f>
        <v>MAT.E EQUIP. P/ CONSTR.CIVIL E CONSERV. DE VIAS PUBL.</v>
      </c>
      <c r="G427" s="42" t="str">
        <f>VLOOKUP(tabPontoPed[[#This Row],[GRUPO]],tabGrupos[#Data],3,FALSE)</f>
        <v>MCO</v>
      </c>
      <c r="H427" s="41" t="s">
        <v>1339</v>
      </c>
      <c r="I427" s="9">
        <v>4</v>
      </c>
      <c r="J427" s="51">
        <v>42</v>
      </c>
      <c r="K427" s="7">
        <f>tabPontoPed[[#This Row],[QTDMÊS]] * tabPontoPed[[#This Row],[MENSAL]]</f>
        <v>168</v>
      </c>
      <c r="L427" s="13" t="s">
        <v>1012</v>
      </c>
      <c r="M427" s="44"/>
      <c r="N427" s="45" t="str">
        <f>_xlfn.IFNA(IF(VLOOKUP(tabPontoPed[[#This Row],[CÓDIGO]],Excluir_do_Estoque!$A$4:$A$4004,1,FALSE),"sim",""),"")</f>
        <v/>
      </c>
      <c r="O427" s="10" t="str">
        <f t="shared" si="6"/>
        <v>*</v>
      </c>
    </row>
    <row r="428" spans="1:15" x14ac:dyDescent="0.25">
      <c r="A428" s="2">
        <v>71190</v>
      </c>
      <c r="B428" s="4" t="s">
        <v>151</v>
      </c>
      <c r="C428" s="41" t="s">
        <v>1345</v>
      </c>
      <c r="D428" s="42">
        <v>51</v>
      </c>
      <c r="E428" s="43">
        <v>10</v>
      </c>
      <c r="F428" s="50" t="str">
        <f>VLOOKUP(tabPontoPed[[#This Row],[GRUPO]],tabGrupos[#Data],2,FALSE)</f>
        <v>MAT.E EQUIP. P/ CONSTR.CIVIL E CONSERV. DE VIAS PUBL.</v>
      </c>
      <c r="G428" s="42" t="str">
        <f>VLOOKUP(tabPontoPed[[#This Row],[GRUPO]],tabGrupos[#Data],3,FALSE)</f>
        <v>MCO</v>
      </c>
      <c r="H428" s="41" t="s">
        <v>1339</v>
      </c>
      <c r="I428" s="9">
        <v>4</v>
      </c>
      <c r="J428" s="51">
        <v>289</v>
      </c>
      <c r="K428" s="7">
        <f>tabPontoPed[[#This Row],[QTDMÊS]] * tabPontoPed[[#This Row],[MENSAL]]</f>
        <v>1156</v>
      </c>
      <c r="L428" s="13" t="s">
        <v>1012</v>
      </c>
      <c r="M428" s="44"/>
      <c r="N428" s="45" t="str">
        <f>_xlfn.IFNA(IF(VLOOKUP(tabPontoPed[[#This Row],[CÓDIGO]],Excluir_do_Estoque!$A$4:$A$4004,1,FALSE),"sim",""),"")</f>
        <v/>
      </c>
      <c r="O428" s="10" t="str">
        <f t="shared" si="6"/>
        <v>*</v>
      </c>
    </row>
    <row r="429" spans="1:15" x14ac:dyDescent="0.25">
      <c r="A429" s="2">
        <v>71697</v>
      </c>
      <c r="B429" s="4" t="s">
        <v>983</v>
      </c>
      <c r="C429" s="41" t="s">
        <v>1345</v>
      </c>
      <c r="D429" s="42">
        <v>83</v>
      </c>
      <c r="E429" s="43">
        <v>2</v>
      </c>
      <c r="F429" s="50" t="str">
        <f>VLOOKUP(tabPontoPed[[#This Row],[GRUPO]],tabGrupos[#Data],2,FALSE)</f>
        <v>ABRASIVOS</v>
      </c>
      <c r="G429" s="42" t="str">
        <f>VLOOKUP(tabPontoPed[[#This Row],[GRUPO]],tabGrupos[#Data],3,FALSE)</f>
        <v>MAN</v>
      </c>
      <c r="H429" s="41" t="s">
        <v>1339</v>
      </c>
      <c r="I429" s="9">
        <v>4</v>
      </c>
      <c r="J429" s="51">
        <v>55</v>
      </c>
      <c r="K429" s="7">
        <f>tabPontoPed[[#This Row],[QTDMÊS]] * tabPontoPed[[#This Row],[MENSAL]]</f>
        <v>220</v>
      </c>
      <c r="L429" s="13" t="s">
        <v>1012</v>
      </c>
      <c r="M429" s="44"/>
      <c r="N429" s="45" t="str">
        <f>_xlfn.IFNA(IF(VLOOKUP(tabPontoPed[[#This Row],[CÓDIGO]],Excluir_do_Estoque!$A$4:$A$4004,1,FALSE),"sim",""),"")</f>
        <v/>
      </c>
      <c r="O429" s="10" t="str">
        <f t="shared" si="6"/>
        <v>*</v>
      </c>
    </row>
    <row r="430" spans="1:15" x14ac:dyDescent="0.25">
      <c r="A430" s="2">
        <v>71874</v>
      </c>
      <c r="B430" s="4" t="s">
        <v>999</v>
      </c>
      <c r="C430" s="41" t="s">
        <v>1345</v>
      </c>
      <c r="D430" s="42">
        <v>89</v>
      </c>
      <c r="E430" s="43">
        <v>12</v>
      </c>
      <c r="F430" s="50" t="str">
        <f>VLOOKUP(tabPontoPed[[#This Row],[GRUPO]],tabGrupos[#Data],2,FALSE)</f>
        <v>PEC.P/ VEICULO DE USO ESPECIAL E BATERIASROLAMENTO</v>
      </c>
      <c r="G430" s="42" t="str">
        <f>VLOOKUP(tabPontoPed[[#This Row],[GRUPO]],tabGrupos[#Data],3,FALSE)</f>
        <v>MFR</v>
      </c>
      <c r="H430" s="41" t="s">
        <v>1339</v>
      </c>
      <c r="I430" s="9">
        <v>4</v>
      </c>
      <c r="J430" s="51">
        <v>5</v>
      </c>
      <c r="K430" s="7">
        <f>tabPontoPed[[#This Row],[QTDMÊS]] * tabPontoPed[[#This Row],[MENSAL]]</f>
        <v>20</v>
      </c>
      <c r="L430" s="13" t="s">
        <v>1012</v>
      </c>
      <c r="M430" s="44"/>
      <c r="N430" s="45" t="str">
        <f>_xlfn.IFNA(IF(VLOOKUP(tabPontoPed[[#This Row],[CÓDIGO]],Excluir_do_Estoque!$A$4:$A$4004,1,FALSE),"sim",""),"")</f>
        <v/>
      </c>
      <c r="O430" s="10" t="str">
        <f t="shared" si="6"/>
        <v>*</v>
      </c>
    </row>
    <row r="431" spans="1:15" x14ac:dyDescent="0.25">
      <c r="A431" s="2">
        <v>72052</v>
      </c>
      <c r="B431" s="4" t="s">
        <v>4</v>
      </c>
      <c r="C431" s="41" t="s">
        <v>1345</v>
      </c>
      <c r="D431" s="42">
        <v>76</v>
      </c>
      <c r="E431" s="43">
        <v>5</v>
      </c>
      <c r="F431" s="50" t="str">
        <f>VLOOKUP(tabPontoPed[[#This Row],[GRUPO]],tabGrupos[#Data],2,FALSE)</f>
        <v>EQUIP. E MATERIAIS P/PINTURAS E IMPERMEABILIZACAO</v>
      </c>
      <c r="G431" s="42" t="str">
        <f>VLOOKUP(tabPontoPed[[#This Row],[GRUPO]],tabGrupos[#Data],3,FALSE)</f>
        <v>MPI</v>
      </c>
      <c r="H431" s="41" t="s">
        <v>1339</v>
      </c>
      <c r="I431" s="9">
        <v>4</v>
      </c>
      <c r="J431" s="51">
        <v>3</v>
      </c>
      <c r="K431" s="7">
        <f>tabPontoPed[[#This Row],[QTDMÊS]] * tabPontoPed[[#This Row],[MENSAL]]</f>
        <v>12</v>
      </c>
      <c r="L431" s="13" t="s">
        <v>1012</v>
      </c>
      <c r="M431" s="44"/>
      <c r="N431" s="45" t="str">
        <f>_xlfn.IFNA(IF(VLOOKUP(tabPontoPed[[#This Row],[CÓDIGO]],Excluir_do_Estoque!$A$4:$A$4004,1,FALSE),"sim",""),"")</f>
        <v/>
      </c>
      <c r="O431" s="10" t="str">
        <f t="shared" si="6"/>
        <v>*</v>
      </c>
    </row>
    <row r="432" spans="1:15" x14ac:dyDescent="0.25">
      <c r="A432" s="2">
        <v>72174</v>
      </c>
      <c r="B432" s="4" t="s">
        <v>1324</v>
      </c>
      <c r="C432" s="41" t="s">
        <v>1345</v>
      </c>
      <c r="D432" s="42">
        <v>72</v>
      </c>
      <c r="E432" s="43">
        <v>6</v>
      </c>
      <c r="F432" s="50" t="str">
        <f>VLOOKUP(tabPontoPed[[#This Row],[GRUPO]],tabGrupos[#Data],2,FALSE)</f>
        <v>MAQ.EQUIP.E MATERIAIS P/ HIGIEN.LIMP.POLIM.E LUBR.</v>
      </c>
      <c r="G432" s="42" t="str">
        <f>VLOOKUP(tabPontoPed[[#This Row],[GRUPO]],tabGrupos[#Data],3,FALSE)</f>
        <v>ADM</v>
      </c>
      <c r="H432" s="41" t="s">
        <v>1339</v>
      </c>
      <c r="I432" s="9">
        <v>4</v>
      </c>
      <c r="J432" s="51">
        <v>0</v>
      </c>
      <c r="K432" s="7">
        <f>tabPontoPed[[#This Row],[QTDMÊS]] * tabPontoPed[[#This Row],[MENSAL]]</f>
        <v>0</v>
      </c>
      <c r="L432" s="13" t="s">
        <v>1012</v>
      </c>
      <c r="M432" s="44"/>
      <c r="N432" s="45" t="str">
        <f>_xlfn.IFNA(IF(VLOOKUP(tabPontoPed[[#This Row],[CÓDIGO]],Excluir_do_Estoque!$A$4:$A$4004,1,FALSE),"sim",""),"")</f>
        <v/>
      </c>
      <c r="O432" s="10" t="str">
        <f t="shared" si="6"/>
        <v>*</v>
      </c>
    </row>
    <row r="433" spans="1:15" x14ac:dyDescent="0.25">
      <c r="A433" s="2">
        <v>72184</v>
      </c>
      <c r="B433" s="4" t="s">
        <v>622</v>
      </c>
      <c r="C433" s="41" t="s">
        <v>1345</v>
      </c>
      <c r="D433" s="42">
        <v>55</v>
      </c>
      <c r="E433" s="43">
        <v>16</v>
      </c>
      <c r="F433" s="50" t="str">
        <f>VLOOKUP(tabPontoPed[[#This Row],[GRUPO]],tabGrupos[#Data],2,FALSE)</f>
        <v>EQUIP. MAT. P/ GERACAO, TRANSM. DISTR. RETIF...</v>
      </c>
      <c r="G433" s="42" t="str">
        <f>VLOOKUP(tabPontoPed[[#This Row],[GRUPO]],tabGrupos[#Data],3,FALSE)</f>
        <v>MEL</v>
      </c>
      <c r="H433" s="41" t="s">
        <v>1339</v>
      </c>
      <c r="I433" s="9">
        <v>4</v>
      </c>
      <c r="J433" s="51">
        <v>53</v>
      </c>
      <c r="K433" s="7">
        <f>tabPontoPed[[#This Row],[QTDMÊS]] * tabPontoPed[[#This Row],[MENSAL]]</f>
        <v>212</v>
      </c>
      <c r="L433" s="13" t="s">
        <v>1012</v>
      </c>
      <c r="M433" s="44"/>
      <c r="N433" s="45" t="str">
        <f>_xlfn.IFNA(IF(VLOOKUP(tabPontoPed[[#This Row],[CÓDIGO]],Excluir_do_Estoque!$A$4:$A$4004,1,FALSE),"sim",""),"")</f>
        <v/>
      </c>
      <c r="O433" s="10" t="str">
        <f t="shared" si="6"/>
        <v>*</v>
      </c>
    </row>
    <row r="434" spans="1:15" x14ac:dyDescent="0.25">
      <c r="A434" s="2">
        <v>72222</v>
      </c>
      <c r="B434" s="4" t="s">
        <v>704</v>
      </c>
      <c r="C434" s="41" t="s">
        <v>1345</v>
      </c>
      <c r="D434" s="42">
        <v>57</v>
      </c>
      <c r="E434" s="43">
        <v>6</v>
      </c>
      <c r="F434" s="50" t="str">
        <f>VLOOKUP(tabPontoPed[[#This Row],[GRUPO]],tabGrupos[#Data],2,FALSE)</f>
        <v>MAQ. E EQUIP. P/ IND. GRAFICA COMP. ACESS. E PAPEI</v>
      </c>
      <c r="G434" s="42" t="str">
        <f>VLOOKUP(tabPontoPed[[#This Row],[GRUPO]],tabGrupos[#Data],3,FALSE)</f>
        <v>EDU</v>
      </c>
      <c r="H434" s="41" t="s">
        <v>1339</v>
      </c>
      <c r="I434" s="9">
        <v>4</v>
      </c>
      <c r="J434" s="51">
        <v>28</v>
      </c>
      <c r="K434" s="7">
        <f>tabPontoPed[[#This Row],[QTDMÊS]] * tabPontoPed[[#This Row],[MENSAL]]</f>
        <v>112</v>
      </c>
      <c r="L434" s="13" t="s">
        <v>1012</v>
      </c>
      <c r="M434" s="44"/>
      <c r="N434" s="45" t="str">
        <f>_xlfn.IFNA(IF(VLOOKUP(tabPontoPed[[#This Row],[CÓDIGO]],Excluir_do_Estoque!$A$4:$A$4004,1,FALSE),"sim",""),"")</f>
        <v/>
      </c>
      <c r="O434" s="10" t="str">
        <f t="shared" si="6"/>
        <v>*</v>
      </c>
    </row>
    <row r="435" spans="1:15" x14ac:dyDescent="0.25">
      <c r="A435" s="2">
        <v>74081</v>
      </c>
      <c r="B435" s="4" t="s">
        <v>1325</v>
      </c>
      <c r="C435" s="41" t="s">
        <v>1345</v>
      </c>
      <c r="D435" s="42">
        <v>72</v>
      </c>
      <c r="E435" s="43">
        <v>6</v>
      </c>
      <c r="F435" s="50" t="str">
        <f>VLOOKUP(tabPontoPed[[#This Row],[GRUPO]],tabGrupos[#Data],2,FALSE)</f>
        <v>MAQ.EQUIP.E MATERIAIS P/ HIGIEN.LIMP.POLIM.E LUBR.</v>
      </c>
      <c r="G435" s="42" t="str">
        <f>VLOOKUP(tabPontoPed[[#This Row],[GRUPO]],tabGrupos[#Data],3,FALSE)</f>
        <v>ADM</v>
      </c>
      <c r="H435" s="41" t="s">
        <v>1339</v>
      </c>
      <c r="I435" s="9">
        <v>4</v>
      </c>
      <c r="J435" s="51">
        <v>0</v>
      </c>
      <c r="K435" s="7">
        <f>tabPontoPed[[#This Row],[QTDMÊS]] * tabPontoPed[[#This Row],[MENSAL]]</f>
        <v>0</v>
      </c>
      <c r="L435" s="13" t="s">
        <v>1012</v>
      </c>
      <c r="M435" s="44"/>
      <c r="N435" s="45" t="str">
        <f>_xlfn.IFNA(IF(VLOOKUP(tabPontoPed[[#This Row],[CÓDIGO]],Excluir_do_Estoque!$A$4:$A$4004,1,FALSE),"sim",""),"")</f>
        <v/>
      </c>
      <c r="O435" s="10" t="str">
        <f t="shared" si="6"/>
        <v>*</v>
      </c>
    </row>
    <row r="436" spans="1:15" x14ac:dyDescent="0.25">
      <c r="A436" s="2">
        <v>74124</v>
      </c>
      <c r="B436" s="4" t="s">
        <v>123</v>
      </c>
      <c r="C436" s="41" t="s">
        <v>1345</v>
      </c>
      <c r="D436" s="42">
        <v>55</v>
      </c>
      <c r="E436" s="43">
        <v>19</v>
      </c>
      <c r="F436" s="50" t="str">
        <f>VLOOKUP(tabPontoPed[[#This Row],[GRUPO]],tabGrupos[#Data],2,FALSE)</f>
        <v>EQUIP. MAT. P/ GERACAO, TRANSM. DISTR. RETIF...</v>
      </c>
      <c r="G436" s="42" t="str">
        <f>VLOOKUP(tabPontoPed[[#This Row],[GRUPO]],tabGrupos[#Data],3,FALSE)</f>
        <v>MEL</v>
      </c>
      <c r="H436" s="41" t="s">
        <v>1339</v>
      </c>
      <c r="I436" s="9">
        <v>4</v>
      </c>
      <c r="J436" s="51">
        <v>243</v>
      </c>
      <c r="K436" s="7">
        <f>tabPontoPed[[#This Row],[QTDMÊS]] * tabPontoPed[[#This Row],[MENSAL]]</f>
        <v>972</v>
      </c>
      <c r="L436" s="13" t="s">
        <v>1012</v>
      </c>
      <c r="M436" s="44"/>
      <c r="N436" s="45" t="str">
        <f>_xlfn.IFNA(IF(VLOOKUP(tabPontoPed[[#This Row],[CÓDIGO]],Excluir_do_Estoque!$A$4:$A$4004,1,FALSE),"sim",""),"")</f>
        <v/>
      </c>
      <c r="O436" s="10" t="str">
        <f t="shared" si="6"/>
        <v>*</v>
      </c>
    </row>
    <row r="437" spans="1:15" x14ac:dyDescent="0.25">
      <c r="A437" s="2">
        <v>74907</v>
      </c>
      <c r="B437" s="4" t="s">
        <v>947</v>
      </c>
      <c r="C437" s="41" t="s">
        <v>1345</v>
      </c>
      <c r="D437" s="42">
        <v>74</v>
      </c>
      <c r="E437" s="43">
        <v>3</v>
      </c>
      <c r="F437" s="50" t="str">
        <f>VLOOKUP(tabPontoPed[[#This Row],[GRUPO]],tabGrupos[#Data],2,FALSE)</f>
        <v>MADEIRAS,LAMINADOS,COMPENSADOS E AGLOMERADOS</v>
      </c>
      <c r="G437" s="42" t="str">
        <f>VLOOKUP(tabPontoPed[[#This Row],[GRUPO]],tabGrupos[#Data],3,FALSE)</f>
        <v>MCO</v>
      </c>
      <c r="H437" s="41" t="s">
        <v>1339</v>
      </c>
      <c r="I437" s="9">
        <v>4</v>
      </c>
      <c r="J437" s="51">
        <v>2</v>
      </c>
      <c r="K437" s="7">
        <f>tabPontoPed[[#This Row],[QTDMÊS]] * tabPontoPed[[#This Row],[MENSAL]]</f>
        <v>8</v>
      </c>
      <c r="L437" s="13" t="s">
        <v>1012</v>
      </c>
      <c r="M437" s="44"/>
      <c r="N437" s="45" t="str">
        <f>_xlfn.IFNA(IF(VLOOKUP(tabPontoPed[[#This Row],[CÓDIGO]],Excluir_do_Estoque!$A$4:$A$4004,1,FALSE),"sim",""),"")</f>
        <v/>
      </c>
      <c r="O437" s="10" t="str">
        <f t="shared" si="6"/>
        <v>*</v>
      </c>
    </row>
    <row r="438" spans="1:15" x14ac:dyDescent="0.25">
      <c r="A438" s="2">
        <v>74908</v>
      </c>
      <c r="B438" s="4" t="s">
        <v>948</v>
      </c>
      <c r="C438" s="41" t="s">
        <v>1345</v>
      </c>
      <c r="D438" s="42">
        <v>74</v>
      </c>
      <c r="E438" s="43">
        <v>3</v>
      </c>
      <c r="F438" s="50" t="str">
        <f>VLOOKUP(tabPontoPed[[#This Row],[GRUPO]],tabGrupos[#Data],2,FALSE)</f>
        <v>MADEIRAS,LAMINADOS,COMPENSADOS E AGLOMERADOS</v>
      </c>
      <c r="G438" s="42" t="str">
        <f>VLOOKUP(tabPontoPed[[#This Row],[GRUPO]],tabGrupos[#Data],3,FALSE)</f>
        <v>MCO</v>
      </c>
      <c r="H438" s="41" t="s">
        <v>1339</v>
      </c>
      <c r="I438" s="9">
        <v>4</v>
      </c>
      <c r="J438" s="51">
        <v>2</v>
      </c>
      <c r="K438" s="7">
        <f>tabPontoPed[[#This Row],[QTDMÊS]] * tabPontoPed[[#This Row],[MENSAL]]</f>
        <v>8</v>
      </c>
      <c r="L438" s="13" t="s">
        <v>1012</v>
      </c>
      <c r="M438" s="44"/>
      <c r="N438" s="45" t="str">
        <f>_xlfn.IFNA(IF(VLOOKUP(tabPontoPed[[#This Row],[CÓDIGO]],Excluir_do_Estoque!$A$4:$A$4004,1,FALSE),"sim",""),"")</f>
        <v/>
      </c>
      <c r="O438" s="10" t="str">
        <f t="shared" si="6"/>
        <v>*</v>
      </c>
    </row>
    <row r="439" spans="1:15" x14ac:dyDescent="0.25">
      <c r="A439" s="2">
        <v>74909</v>
      </c>
      <c r="B439" s="4" t="s">
        <v>218</v>
      </c>
      <c r="C439" s="41" t="s">
        <v>1345</v>
      </c>
      <c r="D439" s="42">
        <v>74</v>
      </c>
      <c r="E439" s="43">
        <v>3</v>
      </c>
      <c r="F439" s="50" t="str">
        <f>VLOOKUP(tabPontoPed[[#This Row],[GRUPO]],tabGrupos[#Data],2,FALSE)</f>
        <v>MADEIRAS,LAMINADOS,COMPENSADOS E AGLOMERADOS</v>
      </c>
      <c r="G439" s="42" t="str">
        <f>VLOOKUP(tabPontoPed[[#This Row],[GRUPO]],tabGrupos[#Data],3,FALSE)</f>
        <v>MCO</v>
      </c>
      <c r="H439" s="41" t="s">
        <v>1339</v>
      </c>
      <c r="I439" s="9">
        <v>4</v>
      </c>
      <c r="J439" s="51">
        <v>2</v>
      </c>
      <c r="K439" s="7">
        <f>tabPontoPed[[#This Row],[QTDMÊS]] * tabPontoPed[[#This Row],[MENSAL]]</f>
        <v>8</v>
      </c>
      <c r="L439" s="13" t="s">
        <v>1012</v>
      </c>
      <c r="M439" s="44"/>
      <c r="N439" s="45" t="str">
        <f>_xlfn.IFNA(IF(VLOOKUP(tabPontoPed[[#This Row],[CÓDIGO]],Excluir_do_Estoque!$A$4:$A$4004,1,FALSE),"sim",""),"")</f>
        <v/>
      </c>
      <c r="O439" s="10" t="str">
        <f t="shared" si="6"/>
        <v>*</v>
      </c>
    </row>
    <row r="440" spans="1:15" x14ac:dyDescent="0.25">
      <c r="A440" s="2">
        <v>74911</v>
      </c>
      <c r="B440" s="4" t="s">
        <v>219</v>
      </c>
      <c r="C440" s="41" t="s">
        <v>1345</v>
      </c>
      <c r="D440" s="42">
        <v>74</v>
      </c>
      <c r="E440" s="43">
        <v>3</v>
      </c>
      <c r="F440" s="50" t="str">
        <f>VLOOKUP(tabPontoPed[[#This Row],[GRUPO]],tabGrupos[#Data],2,FALSE)</f>
        <v>MADEIRAS,LAMINADOS,COMPENSADOS E AGLOMERADOS</v>
      </c>
      <c r="G440" s="42" t="str">
        <f>VLOOKUP(tabPontoPed[[#This Row],[GRUPO]],tabGrupos[#Data],3,FALSE)</f>
        <v>MCO</v>
      </c>
      <c r="H440" s="41" t="s">
        <v>1339</v>
      </c>
      <c r="I440" s="9">
        <v>4</v>
      </c>
      <c r="J440" s="51">
        <v>6</v>
      </c>
      <c r="K440" s="7">
        <f>tabPontoPed[[#This Row],[QTDMÊS]] * tabPontoPed[[#This Row],[MENSAL]]</f>
        <v>24</v>
      </c>
      <c r="L440" s="13" t="s">
        <v>1012</v>
      </c>
      <c r="M440" s="44"/>
      <c r="N440" s="45" t="str">
        <f>_xlfn.IFNA(IF(VLOOKUP(tabPontoPed[[#This Row],[CÓDIGO]],Excluir_do_Estoque!$A$4:$A$4004,1,FALSE),"sim",""),"")</f>
        <v/>
      </c>
      <c r="O440" s="10" t="str">
        <f t="shared" si="6"/>
        <v>*</v>
      </c>
    </row>
    <row r="441" spans="1:15" x14ac:dyDescent="0.25">
      <c r="A441" s="2">
        <v>74976</v>
      </c>
      <c r="B441" s="4" t="s">
        <v>765</v>
      </c>
      <c r="C441" s="41" t="s">
        <v>1345</v>
      </c>
      <c r="D441" s="42">
        <v>61</v>
      </c>
      <c r="E441" s="43">
        <v>8</v>
      </c>
      <c r="F441" s="50" t="str">
        <f>VLOOKUP(tabPontoPed[[#This Row],[GRUPO]],tabGrupos[#Data],2,FALSE)</f>
        <v>MATERIAL HIDRAULICO, CANOS, TUBOS, MANGUEIRAS, CONEXOES E ACESS.</v>
      </c>
      <c r="G441" s="42" t="str">
        <f>VLOOKUP(tabPontoPed[[#This Row],[GRUPO]],tabGrupos[#Data],3,FALSE)</f>
        <v>MHI</v>
      </c>
      <c r="H441" s="41" t="s">
        <v>1339</v>
      </c>
      <c r="I441" s="9">
        <v>4</v>
      </c>
      <c r="J441" s="51">
        <v>11</v>
      </c>
      <c r="K441" s="7">
        <f>tabPontoPed[[#This Row],[QTDMÊS]] * tabPontoPed[[#This Row],[MENSAL]]</f>
        <v>44</v>
      </c>
      <c r="L441" s="13" t="s">
        <v>1012</v>
      </c>
      <c r="M441" s="44"/>
      <c r="N441" s="45" t="str">
        <f>_xlfn.IFNA(IF(VLOOKUP(tabPontoPed[[#This Row],[CÓDIGO]],Excluir_do_Estoque!$A$4:$A$4004,1,FALSE),"sim",""),"")</f>
        <v/>
      </c>
      <c r="O441" s="10" t="str">
        <f t="shared" si="6"/>
        <v>*</v>
      </c>
    </row>
    <row r="442" spans="1:15" x14ac:dyDescent="0.25">
      <c r="A442" s="2">
        <v>74979</v>
      </c>
      <c r="B442" s="4" t="s">
        <v>299</v>
      </c>
      <c r="C442" s="41" t="s">
        <v>1345</v>
      </c>
      <c r="D442" s="42">
        <v>61</v>
      </c>
      <c r="E442" s="43">
        <v>8</v>
      </c>
      <c r="F442" s="50" t="str">
        <f>VLOOKUP(tabPontoPed[[#This Row],[GRUPO]],tabGrupos[#Data],2,FALSE)</f>
        <v>MATERIAL HIDRAULICO, CANOS, TUBOS, MANGUEIRAS, CONEXOES E ACESS.</v>
      </c>
      <c r="G442" s="42" t="str">
        <f>VLOOKUP(tabPontoPed[[#This Row],[GRUPO]],tabGrupos[#Data],3,FALSE)</f>
        <v>MHI</v>
      </c>
      <c r="H442" s="41" t="s">
        <v>1339</v>
      </c>
      <c r="I442" s="9">
        <v>4</v>
      </c>
      <c r="J442" s="51">
        <v>8</v>
      </c>
      <c r="K442" s="7">
        <f>tabPontoPed[[#This Row],[QTDMÊS]] * tabPontoPed[[#This Row],[MENSAL]]</f>
        <v>32</v>
      </c>
      <c r="L442" s="13" t="s">
        <v>1012</v>
      </c>
      <c r="M442" s="44"/>
      <c r="N442" s="45" t="str">
        <f>_xlfn.IFNA(IF(VLOOKUP(tabPontoPed[[#This Row],[CÓDIGO]],Excluir_do_Estoque!$A$4:$A$4004,1,FALSE),"sim",""),"")</f>
        <v/>
      </c>
      <c r="O442" s="10" t="str">
        <f t="shared" si="6"/>
        <v>*</v>
      </c>
    </row>
    <row r="443" spans="1:15" x14ac:dyDescent="0.25">
      <c r="A443" s="2">
        <v>75324</v>
      </c>
      <c r="B443" s="4" t="s">
        <v>876</v>
      </c>
      <c r="C443" s="41" t="s">
        <v>1345</v>
      </c>
      <c r="D443" s="42">
        <v>69</v>
      </c>
      <c r="E443" s="43">
        <v>1</v>
      </c>
      <c r="F443" s="50" t="str">
        <f>VLOOKUP(tabPontoPed[[#This Row],[GRUPO]],tabGrupos[#Data],2,FALSE)</f>
        <v>METAIS,LAMINAD.,PERFILADOS E ARTEFATOS METALICOS</v>
      </c>
      <c r="G443" s="42" t="str">
        <f>VLOOKUP(tabPontoPed[[#This Row],[GRUPO]],tabGrupos[#Data],3,FALSE)</f>
        <v>MSE</v>
      </c>
      <c r="H443" s="41" t="s">
        <v>1339</v>
      </c>
      <c r="I443" s="9">
        <v>4</v>
      </c>
      <c r="J443" s="51">
        <v>47</v>
      </c>
      <c r="K443" s="7">
        <f>tabPontoPed[[#This Row],[QTDMÊS]] * tabPontoPed[[#This Row],[MENSAL]]</f>
        <v>188</v>
      </c>
      <c r="L443" s="13" t="s">
        <v>1012</v>
      </c>
      <c r="M443" s="44"/>
      <c r="N443" s="45" t="str">
        <f>_xlfn.IFNA(IF(VLOOKUP(tabPontoPed[[#This Row],[CÓDIGO]],Excluir_do_Estoque!$A$4:$A$4004,1,FALSE),"sim",""),"")</f>
        <v/>
      </c>
      <c r="O443" s="10" t="str">
        <f t="shared" si="6"/>
        <v>*</v>
      </c>
    </row>
    <row r="444" spans="1:15" x14ac:dyDescent="0.25">
      <c r="A444" s="2">
        <v>75334</v>
      </c>
      <c r="B444" s="4" t="s">
        <v>877</v>
      </c>
      <c r="C444" s="41" t="s">
        <v>1345</v>
      </c>
      <c r="D444" s="42">
        <v>69</v>
      </c>
      <c r="E444" s="43">
        <v>1</v>
      </c>
      <c r="F444" s="50" t="str">
        <f>VLOOKUP(tabPontoPed[[#This Row],[GRUPO]],tabGrupos[#Data],2,FALSE)</f>
        <v>METAIS,LAMINAD.,PERFILADOS E ARTEFATOS METALICOS</v>
      </c>
      <c r="G444" s="42" t="str">
        <f>VLOOKUP(tabPontoPed[[#This Row],[GRUPO]],tabGrupos[#Data],3,FALSE)</f>
        <v>MSE</v>
      </c>
      <c r="H444" s="41" t="s">
        <v>1339</v>
      </c>
      <c r="I444" s="9">
        <v>4</v>
      </c>
      <c r="J444" s="51">
        <v>52</v>
      </c>
      <c r="K444" s="7">
        <f>tabPontoPed[[#This Row],[QTDMÊS]] * tabPontoPed[[#This Row],[MENSAL]]</f>
        <v>208</v>
      </c>
      <c r="L444" s="13" t="s">
        <v>1012</v>
      </c>
      <c r="M444" s="44"/>
      <c r="N444" s="45" t="str">
        <f>_xlfn.IFNA(IF(VLOOKUP(tabPontoPed[[#This Row],[CÓDIGO]],Excluir_do_Estoque!$A$4:$A$4004,1,FALSE),"sim",""),"")</f>
        <v/>
      </c>
      <c r="O444" s="10" t="str">
        <f t="shared" si="6"/>
        <v>*</v>
      </c>
    </row>
    <row r="445" spans="1:15" x14ac:dyDescent="0.25">
      <c r="A445" s="2">
        <v>75915</v>
      </c>
      <c r="B445" s="4" t="s">
        <v>563</v>
      </c>
      <c r="C445" s="41" t="s">
        <v>1345</v>
      </c>
      <c r="D445" s="42">
        <v>51</v>
      </c>
      <c r="E445" s="43">
        <v>37</v>
      </c>
      <c r="F445" s="50" t="str">
        <f>VLOOKUP(tabPontoPed[[#This Row],[GRUPO]],tabGrupos[#Data],2,FALSE)</f>
        <v>MAT.E EQUIP. P/ CONSTR.CIVIL E CONSERV. DE VIAS PUBL.</v>
      </c>
      <c r="G445" s="42" t="str">
        <f>VLOOKUP(tabPontoPed[[#This Row],[GRUPO]],tabGrupos[#Data],3,FALSE)</f>
        <v>MCO</v>
      </c>
      <c r="H445" s="41" t="s">
        <v>1339</v>
      </c>
      <c r="I445" s="9">
        <v>4</v>
      </c>
      <c r="J445" s="51">
        <v>8</v>
      </c>
      <c r="K445" s="7">
        <f>tabPontoPed[[#This Row],[QTDMÊS]] * tabPontoPed[[#This Row],[MENSAL]]</f>
        <v>32</v>
      </c>
      <c r="L445" s="13" t="s">
        <v>1012</v>
      </c>
      <c r="M445" s="44"/>
      <c r="N445" s="45" t="str">
        <f>_xlfn.IFNA(IF(VLOOKUP(tabPontoPed[[#This Row],[CÓDIGO]],Excluir_do_Estoque!$A$4:$A$4004,1,FALSE),"sim",""),"")</f>
        <v/>
      </c>
      <c r="O445" s="10" t="str">
        <f t="shared" si="6"/>
        <v>*</v>
      </c>
    </row>
    <row r="446" spans="1:15" x14ac:dyDescent="0.25">
      <c r="A446" s="2">
        <v>75938</v>
      </c>
      <c r="B446" s="4" t="s">
        <v>75</v>
      </c>
      <c r="C446" s="41" t="s">
        <v>1345</v>
      </c>
      <c r="D446" s="42">
        <v>57</v>
      </c>
      <c r="E446" s="43">
        <v>15</v>
      </c>
      <c r="F446" s="50" t="str">
        <f>VLOOKUP(tabPontoPed[[#This Row],[GRUPO]],tabGrupos[#Data],2,FALSE)</f>
        <v>MAQ. E EQUIP. P/ IND. GRAFICA COMP. ACESS. E PAPEI</v>
      </c>
      <c r="G446" s="42" t="str">
        <f>VLOOKUP(tabPontoPed[[#This Row],[GRUPO]],tabGrupos[#Data],3,FALSE)</f>
        <v>EDU</v>
      </c>
      <c r="H446" s="41" t="s">
        <v>1339</v>
      </c>
      <c r="I446" s="9">
        <v>4</v>
      </c>
      <c r="J446" s="51">
        <v>489</v>
      </c>
      <c r="K446" s="7">
        <f>tabPontoPed[[#This Row],[QTDMÊS]] * tabPontoPed[[#This Row],[MENSAL]]</f>
        <v>1956</v>
      </c>
      <c r="L446" s="13" t="s">
        <v>1012</v>
      </c>
      <c r="M446" s="44"/>
      <c r="N446" s="45" t="str">
        <f>_xlfn.IFNA(IF(VLOOKUP(tabPontoPed[[#This Row],[CÓDIGO]],Excluir_do_Estoque!$A$4:$A$4004,1,FALSE),"sim",""),"")</f>
        <v/>
      </c>
      <c r="O446" s="10" t="str">
        <f t="shared" si="6"/>
        <v>*</v>
      </c>
    </row>
    <row r="447" spans="1:15" x14ac:dyDescent="0.25">
      <c r="A447" s="2">
        <v>76218</v>
      </c>
      <c r="B447" s="4" t="s">
        <v>526</v>
      </c>
      <c r="C447" s="41" t="s">
        <v>1345</v>
      </c>
      <c r="D447" s="42">
        <v>51</v>
      </c>
      <c r="E447" s="43">
        <v>17</v>
      </c>
      <c r="F447" s="50" t="str">
        <f>VLOOKUP(tabPontoPed[[#This Row],[GRUPO]],tabGrupos[#Data],2,FALSE)</f>
        <v>MAT.E EQUIP. P/ CONSTR.CIVIL E CONSERV. DE VIAS PUBL.</v>
      </c>
      <c r="G447" s="42" t="str">
        <f>VLOOKUP(tabPontoPed[[#This Row],[GRUPO]],tabGrupos[#Data],3,FALSE)</f>
        <v>MCO</v>
      </c>
      <c r="H447" s="41" t="s">
        <v>1339</v>
      </c>
      <c r="I447" s="9">
        <v>4</v>
      </c>
      <c r="J447" s="51">
        <v>1</v>
      </c>
      <c r="K447" s="7">
        <f>tabPontoPed[[#This Row],[QTDMÊS]] * tabPontoPed[[#This Row],[MENSAL]]</f>
        <v>4</v>
      </c>
      <c r="L447" s="13" t="s">
        <v>1012</v>
      </c>
      <c r="M447" s="44"/>
      <c r="N447" s="45" t="str">
        <f>_xlfn.IFNA(IF(VLOOKUP(tabPontoPed[[#This Row],[CÓDIGO]],Excluir_do_Estoque!$A$4:$A$4004,1,FALSE),"sim",""),"")</f>
        <v/>
      </c>
      <c r="O447" s="10" t="str">
        <f t="shared" si="6"/>
        <v>*</v>
      </c>
    </row>
    <row r="448" spans="1:15" x14ac:dyDescent="0.25">
      <c r="A448" s="2">
        <v>76430</v>
      </c>
      <c r="B448" s="4" t="s">
        <v>557</v>
      </c>
      <c r="C448" s="41" t="s">
        <v>1345</v>
      </c>
      <c r="D448" s="42">
        <v>51</v>
      </c>
      <c r="E448" s="43">
        <v>36</v>
      </c>
      <c r="F448" s="50" t="str">
        <f>VLOOKUP(tabPontoPed[[#This Row],[GRUPO]],tabGrupos[#Data],2,FALSE)</f>
        <v>MAT.E EQUIP. P/ CONSTR.CIVIL E CONSERV. DE VIAS PUBL.</v>
      </c>
      <c r="G448" s="42" t="str">
        <f>VLOOKUP(tabPontoPed[[#This Row],[GRUPO]],tabGrupos[#Data],3,FALSE)</f>
        <v>MCO</v>
      </c>
      <c r="H448" s="41" t="s">
        <v>1339</v>
      </c>
      <c r="I448" s="9">
        <v>4</v>
      </c>
      <c r="J448" s="51">
        <v>1</v>
      </c>
      <c r="K448" s="7">
        <f>tabPontoPed[[#This Row],[QTDMÊS]] * tabPontoPed[[#This Row],[MENSAL]]</f>
        <v>4</v>
      </c>
      <c r="L448" s="13" t="s">
        <v>1012</v>
      </c>
      <c r="M448" s="44"/>
      <c r="N448" s="45" t="str">
        <f>_xlfn.IFNA(IF(VLOOKUP(tabPontoPed[[#This Row],[CÓDIGO]],Excluir_do_Estoque!$A$4:$A$4004,1,FALSE),"sim",""),"")</f>
        <v/>
      </c>
      <c r="O448" s="10" t="str">
        <f t="shared" si="6"/>
        <v>*</v>
      </c>
    </row>
    <row r="449" spans="1:15" x14ac:dyDescent="0.25">
      <c r="A449" s="2">
        <v>76583</v>
      </c>
      <c r="B449" s="4" t="s">
        <v>396</v>
      </c>
      <c r="C449" s="41" t="s">
        <v>1345</v>
      </c>
      <c r="D449" s="42">
        <v>74</v>
      </c>
      <c r="E449" s="43">
        <v>9</v>
      </c>
      <c r="F449" s="50" t="str">
        <f>VLOOKUP(tabPontoPed[[#This Row],[GRUPO]],tabGrupos[#Data],2,FALSE)</f>
        <v>MADEIRAS,LAMINADOS,COMPENSADOS E AGLOMERADOS</v>
      </c>
      <c r="G449" s="42" t="str">
        <f>VLOOKUP(tabPontoPed[[#This Row],[GRUPO]],tabGrupos[#Data],3,FALSE)</f>
        <v>MCO</v>
      </c>
      <c r="H449" s="41" t="s">
        <v>1339</v>
      </c>
      <c r="I449" s="9">
        <v>4</v>
      </c>
      <c r="J449" s="51">
        <v>8</v>
      </c>
      <c r="K449" s="7">
        <f>tabPontoPed[[#This Row],[QTDMÊS]] * tabPontoPed[[#This Row],[MENSAL]]</f>
        <v>32</v>
      </c>
      <c r="L449" s="13" t="s">
        <v>1012</v>
      </c>
      <c r="M449" s="44"/>
      <c r="N449" s="45" t="str">
        <f>_xlfn.IFNA(IF(VLOOKUP(tabPontoPed[[#This Row],[CÓDIGO]],Excluir_do_Estoque!$A$4:$A$4004,1,FALSE),"sim",""),"")</f>
        <v/>
      </c>
      <c r="O449" s="10" t="str">
        <f t="shared" si="6"/>
        <v>*</v>
      </c>
    </row>
    <row r="450" spans="1:15" x14ac:dyDescent="0.25">
      <c r="A450" s="2">
        <v>76776</v>
      </c>
      <c r="B450" s="4" t="s">
        <v>124</v>
      </c>
      <c r="C450" s="41" t="s">
        <v>1345</v>
      </c>
      <c r="D450" s="42">
        <v>55</v>
      </c>
      <c r="E450" s="43">
        <v>19</v>
      </c>
      <c r="F450" s="50" t="str">
        <f>VLOOKUP(tabPontoPed[[#This Row],[GRUPO]],tabGrupos[#Data],2,FALSE)</f>
        <v>EQUIP. MAT. P/ GERACAO, TRANSM. DISTR. RETIF...</v>
      </c>
      <c r="G450" s="42" t="str">
        <f>VLOOKUP(tabPontoPed[[#This Row],[GRUPO]],tabGrupos[#Data],3,FALSE)</f>
        <v>MEL</v>
      </c>
      <c r="H450" s="41" t="s">
        <v>1339</v>
      </c>
      <c r="I450" s="9">
        <v>4</v>
      </c>
      <c r="J450" s="51">
        <v>735</v>
      </c>
      <c r="K450" s="7">
        <f>tabPontoPed[[#This Row],[QTDMÊS]] * tabPontoPed[[#This Row],[MENSAL]]</f>
        <v>2940</v>
      </c>
      <c r="L450" s="13" t="s">
        <v>1012</v>
      </c>
      <c r="M450" s="44"/>
      <c r="N450" s="45" t="str">
        <f>_xlfn.IFNA(IF(VLOOKUP(tabPontoPed[[#This Row],[CÓDIGO]],Excluir_do_Estoque!$A$4:$A$4004,1,FALSE),"sim",""),"")</f>
        <v/>
      </c>
      <c r="O450" s="10" t="str">
        <f t="shared" si="6"/>
        <v>*</v>
      </c>
    </row>
    <row r="451" spans="1:15" x14ac:dyDescent="0.25">
      <c r="A451" s="2">
        <v>76777</v>
      </c>
      <c r="B451" s="4" t="s">
        <v>109</v>
      </c>
      <c r="C451" s="41" t="s">
        <v>1345</v>
      </c>
      <c r="D451" s="42">
        <v>55</v>
      </c>
      <c r="E451" s="43">
        <v>19</v>
      </c>
      <c r="F451" s="50" t="str">
        <f>VLOOKUP(tabPontoPed[[#This Row],[GRUPO]],tabGrupos[#Data],2,FALSE)</f>
        <v>EQUIP. MAT. P/ GERACAO, TRANSM. DISTR. RETIF...</v>
      </c>
      <c r="G451" s="42" t="str">
        <f>VLOOKUP(tabPontoPed[[#This Row],[GRUPO]],tabGrupos[#Data],3,FALSE)</f>
        <v>MEL</v>
      </c>
      <c r="H451" s="41" t="s">
        <v>1339</v>
      </c>
      <c r="I451" s="9">
        <v>4</v>
      </c>
      <c r="J451" s="51">
        <v>172</v>
      </c>
      <c r="K451" s="7">
        <f>tabPontoPed[[#This Row],[QTDMÊS]] * tabPontoPed[[#This Row],[MENSAL]]</f>
        <v>688</v>
      </c>
      <c r="L451" s="13" t="s">
        <v>1012</v>
      </c>
      <c r="M451" s="44"/>
      <c r="N451" s="45" t="str">
        <f>_xlfn.IFNA(IF(VLOOKUP(tabPontoPed[[#This Row],[CÓDIGO]],Excluir_do_Estoque!$A$4:$A$4004,1,FALSE),"sim",""),"")</f>
        <v/>
      </c>
      <c r="O451" s="10" t="str">
        <f t="shared" si="6"/>
        <v>*</v>
      </c>
    </row>
    <row r="452" spans="1:15" x14ac:dyDescent="0.25">
      <c r="A452" s="2">
        <v>76780</v>
      </c>
      <c r="B452" s="4" t="s">
        <v>110</v>
      </c>
      <c r="C452" s="41" t="s">
        <v>1345</v>
      </c>
      <c r="D452" s="42">
        <v>55</v>
      </c>
      <c r="E452" s="43">
        <v>19</v>
      </c>
      <c r="F452" s="50" t="str">
        <f>VLOOKUP(tabPontoPed[[#This Row],[GRUPO]],tabGrupos[#Data],2,FALSE)</f>
        <v>EQUIP. MAT. P/ GERACAO, TRANSM. DISTR. RETIF...</v>
      </c>
      <c r="G452" s="42" t="str">
        <f>VLOOKUP(tabPontoPed[[#This Row],[GRUPO]],tabGrupos[#Data],3,FALSE)</f>
        <v>MEL</v>
      </c>
      <c r="H452" s="41" t="s">
        <v>1339</v>
      </c>
      <c r="I452" s="9">
        <v>4</v>
      </c>
      <c r="J452" s="51">
        <v>150</v>
      </c>
      <c r="K452" s="7">
        <f>tabPontoPed[[#This Row],[QTDMÊS]] * tabPontoPed[[#This Row],[MENSAL]]</f>
        <v>600</v>
      </c>
      <c r="L452" s="13" t="s">
        <v>1012</v>
      </c>
      <c r="M452" s="44"/>
      <c r="N452" s="45" t="str">
        <f>_xlfn.IFNA(IF(VLOOKUP(tabPontoPed[[#This Row],[CÓDIGO]],Excluir_do_Estoque!$A$4:$A$4004,1,FALSE),"sim",""),"")</f>
        <v/>
      </c>
      <c r="O452" s="10" t="str">
        <f t="shared" ref="O452:O515" si="7">"*"</f>
        <v>*</v>
      </c>
    </row>
    <row r="453" spans="1:15" x14ac:dyDescent="0.25">
      <c r="A453" s="2">
        <v>76781</v>
      </c>
      <c r="B453" s="4" t="s">
        <v>125</v>
      </c>
      <c r="C453" s="41" t="s">
        <v>1345</v>
      </c>
      <c r="D453" s="42">
        <v>55</v>
      </c>
      <c r="E453" s="43">
        <v>19</v>
      </c>
      <c r="F453" s="50" t="str">
        <f>VLOOKUP(tabPontoPed[[#This Row],[GRUPO]],tabGrupos[#Data],2,FALSE)</f>
        <v>EQUIP. MAT. P/ GERACAO, TRANSM. DISTR. RETIF...</v>
      </c>
      <c r="G453" s="42" t="str">
        <f>VLOOKUP(tabPontoPed[[#This Row],[GRUPO]],tabGrupos[#Data],3,FALSE)</f>
        <v>MEL</v>
      </c>
      <c r="H453" s="41" t="s">
        <v>1339</v>
      </c>
      <c r="I453" s="9">
        <v>4</v>
      </c>
      <c r="J453" s="51">
        <v>38</v>
      </c>
      <c r="K453" s="7">
        <f>tabPontoPed[[#This Row],[QTDMÊS]] * tabPontoPed[[#This Row],[MENSAL]]</f>
        <v>152</v>
      </c>
      <c r="L453" s="13" t="s">
        <v>1012</v>
      </c>
      <c r="M453" s="44"/>
      <c r="N453" s="45" t="str">
        <f>_xlfn.IFNA(IF(VLOOKUP(tabPontoPed[[#This Row],[CÓDIGO]],Excluir_do_Estoque!$A$4:$A$4004,1,FALSE),"sim",""),"")</f>
        <v/>
      </c>
      <c r="O453" s="10" t="str">
        <f t="shared" si="7"/>
        <v>*</v>
      </c>
    </row>
    <row r="454" spans="1:15" x14ac:dyDescent="0.25">
      <c r="A454" s="2">
        <v>76806</v>
      </c>
      <c r="B454" s="4" t="s">
        <v>881</v>
      </c>
      <c r="C454" s="41" t="s">
        <v>1345</v>
      </c>
      <c r="D454" s="42">
        <v>69</v>
      </c>
      <c r="E454" s="43">
        <v>2</v>
      </c>
      <c r="F454" s="50" t="str">
        <f>VLOOKUP(tabPontoPed[[#This Row],[GRUPO]],tabGrupos[#Data],2,FALSE)</f>
        <v>METAIS,LAMINAD.,PERFILADOS E ARTEFATOS METALICOS</v>
      </c>
      <c r="G454" s="42" t="str">
        <f>VLOOKUP(tabPontoPed[[#This Row],[GRUPO]],tabGrupos[#Data],3,FALSE)</f>
        <v>MSE</v>
      </c>
      <c r="H454" s="41" t="s">
        <v>1339</v>
      </c>
      <c r="I454" s="9">
        <v>4</v>
      </c>
      <c r="J454" s="51">
        <v>0</v>
      </c>
      <c r="K454" s="7">
        <f>tabPontoPed[[#This Row],[QTDMÊS]] * tabPontoPed[[#This Row],[MENSAL]]</f>
        <v>0</v>
      </c>
      <c r="L454" s="13" t="s">
        <v>1012</v>
      </c>
      <c r="M454" s="44"/>
      <c r="N454" s="45" t="str">
        <f>_xlfn.IFNA(IF(VLOOKUP(tabPontoPed[[#This Row],[CÓDIGO]],Excluir_do_Estoque!$A$4:$A$4004,1,FALSE),"sim",""),"")</f>
        <v/>
      </c>
      <c r="O454" s="10" t="str">
        <f t="shared" si="7"/>
        <v>*</v>
      </c>
    </row>
    <row r="455" spans="1:15" x14ac:dyDescent="0.25">
      <c r="A455" s="2">
        <v>77109</v>
      </c>
      <c r="B455" s="4" t="s">
        <v>766</v>
      </c>
      <c r="C455" s="41" t="s">
        <v>1345</v>
      </c>
      <c r="D455" s="42">
        <v>61</v>
      </c>
      <c r="E455" s="43">
        <v>8</v>
      </c>
      <c r="F455" s="50" t="str">
        <f>VLOOKUP(tabPontoPed[[#This Row],[GRUPO]],tabGrupos[#Data],2,FALSE)</f>
        <v>MATERIAL HIDRAULICO, CANOS, TUBOS, MANGUEIRAS, CONEXOES E ACESS.</v>
      </c>
      <c r="G455" s="42" t="str">
        <f>VLOOKUP(tabPontoPed[[#This Row],[GRUPO]],tabGrupos[#Data],3,FALSE)</f>
        <v>MHI</v>
      </c>
      <c r="H455" s="41" t="s">
        <v>1339</v>
      </c>
      <c r="I455" s="9">
        <v>4</v>
      </c>
      <c r="J455" s="51">
        <v>6</v>
      </c>
      <c r="K455" s="7">
        <f>tabPontoPed[[#This Row],[QTDMÊS]] * tabPontoPed[[#This Row],[MENSAL]]</f>
        <v>24</v>
      </c>
      <c r="L455" s="13" t="s">
        <v>1012</v>
      </c>
      <c r="M455" s="44"/>
      <c r="N455" s="45" t="str">
        <f>_xlfn.IFNA(IF(VLOOKUP(tabPontoPed[[#This Row],[CÓDIGO]],Excluir_do_Estoque!$A$4:$A$4004,1,FALSE),"sim",""),"")</f>
        <v/>
      </c>
      <c r="O455" s="10" t="str">
        <f t="shared" si="7"/>
        <v>*</v>
      </c>
    </row>
    <row r="456" spans="1:15" x14ac:dyDescent="0.25">
      <c r="A456" s="2">
        <v>77110</v>
      </c>
      <c r="B456" s="4" t="s">
        <v>767</v>
      </c>
      <c r="C456" s="41" t="s">
        <v>1345</v>
      </c>
      <c r="D456" s="42">
        <v>61</v>
      </c>
      <c r="E456" s="43">
        <v>8</v>
      </c>
      <c r="F456" s="50" t="str">
        <f>VLOOKUP(tabPontoPed[[#This Row],[GRUPO]],tabGrupos[#Data],2,FALSE)</f>
        <v>MATERIAL HIDRAULICO, CANOS, TUBOS, MANGUEIRAS, CONEXOES E ACESS.</v>
      </c>
      <c r="G456" s="42" t="str">
        <f>VLOOKUP(tabPontoPed[[#This Row],[GRUPO]],tabGrupos[#Data],3,FALSE)</f>
        <v>MHI</v>
      </c>
      <c r="H456" s="41" t="s">
        <v>1339</v>
      </c>
      <c r="I456" s="9">
        <v>4</v>
      </c>
      <c r="J456" s="51">
        <v>1</v>
      </c>
      <c r="K456" s="7">
        <f>tabPontoPed[[#This Row],[QTDMÊS]] * tabPontoPed[[#This Row],[MENSAL]]</f>
        <v>4</v>
      </c>
      <c r="L456" s="13" t="s">
        <v>1012</v>
      </c>
      <c r="M456" s="44"/>
      <c r="N456" s="45" t="str">
        <f>_xlfn.IFNA(IF(VLOOKUP(tabPontoPed[[#This Row],[CÓDIGO]],Excluir_do_Estoque!$A$4:$A$4004,1,FALSE),"sim",""),"")</f>
        <v/>
      </c>
      <c r="O456" s="10" t="str">
        <f t="shared" si="7"/>
        <v>*</v>
      </c>
    </row>
    <row r="457" spans="1:15" x14ac:dyDescent="0.25">
      <c r="A457" s="2">
        <v>77380</v>
      </c>
      <c r="B457" s="4" t="s">
        <v>1326</v>
      </c>
      <c r="C457" s="41" t="s">
        <v>1345</v>
      </c>
      <c r="D457" s="42">
        <v>72</v>
      </c>
      <c r="E457" s="43">
        <v>6</v>
      </c>
      <c r="F457" s="50" t="str">
        <f>VLOOKUP(tabPontoPed[[#This Row],[GRUPO]],tabGrupos[#Data],2,FALSE)</f>
        <v>MAQ.EQUIP.E MATERIAIS P/ HIGIEN.LIMP.POLIM.E LUBR.</v>
      </c>
      <c r="G457" s="42" t="str">
        <f>VLOOKUP(tabPontoPed[[#This Row],[GRUPO]],tabGrupos[#Data],3,FALSE)</f>
        <v>ADM</v>
      </c>
      <c r="H457" s="41" t="s">
        <v>1339</v>
      </c>
      <c r="I457" s="9">
        <v>4</v>
      </c>
      <c r="J457" s="51">
        <v>0</v>
      </c>
      <c r="K457" s="7">
        <f>tabPontoPed[[#This Row],[QTDMÊS]] * tabPontoPed[[#This Row],[MENSAL]]</f>
        <v>0</v>
      </c>
      <c r="L457" s="13" t="s">
        <v>1012</v>
      </c>
      <c r="M457" s="44"/>
      <c r="N457" s="45" t="str">
        <f>_xlfn.IFNA(IF(VLOOKUP(tabPontoPed[[#This Row],[CÓDIGO]],Excluir_do_Estoque!$A$4:$A$4004,1,FALSE),"sim",""),"")</f>
        <v/>
      </c>
      <c r="O457" s="10" t="str">
        <f t="shared" si="7"/>
        <v>*</v>
      </c>
    </row>
    <row r="458" spans="1:15" x14ac:dyDescent="0.25">
      <c r="A458" s="2">
        <v>77493</v>
      </c>
      <c r="B458" s="4" t="s">
        <v>668</v>
      </c>
      <c r="C458" s="41" t="s">
        <v>1345</v>
      </c>
      <c r="D458" s="42">
        <v>55</v>
      </c>
      <c r="E458" s="43">
        <v>34</v>
      </c>
      <c r="F458" s="50" t="str">
        <f>VLOOKUP(tabPontoPed[[#This Row],[GRUPO]],tabGrupos[#Data],2,FALSE)</f>
        <v>EQUIP. MAT. P/ GERACAO, TRANSM. DISTR. RETIF...</v>
      </c>
      <c r="G458" s="42" t="str">
        <f>VLOOKUP(tabPontoPed[[#This Row],[GRUPO]],tabGrupos[#Data],3,FALSE)</f>
        <v>MEL</v>
      </c>
      <c r="H458" s="41" t="s">
        <v>1339</v>
      </c>
      <c r="I458" s="9">
        <v>4</v>
      </c>
      <c r="J458" s="51">
        <v>2</v>
      </c>
      <c r="K458" s="7">
        <f>tabPontoPed[[#This Row],[QTDMÊS]] * tabPontoPed[[#This Row],[MENSAL]]</f>
        <v>8</v>
      </c>
      <c r="L458" s="13" t="s">
        <v>1012</v>
      </c>
      <c r="M458" s="44"/>
      <c r="N458" s="45" t="str">
        <f>_xlfn.IFNA(IF(VLOOKUP(tabPontoPed[[#This Row],[CÓDIGO]],Excluir_do_Estoque!$A$4:$A$4004,1,FALSE),"sim",""),"")</f>
        <v/>
      </c>
      <c r="O458" s="10" t="str">
        <f t="shared" si="7"/>
        <v>*</v>
      </c>
    </row>
    <row r="459" spans="1:15" x14ac:dyDescent="0.25">
      <c r="A459" s="2">
        <v>77554</v>
      </c>
      <c r="B459" s="4" t="s">
        <v>220</v>
      </c>
      <c r="C459" s="41" t="s">
        <v>1345</v>
      </c>
      <c r="D459" s="42">
        <v>74</v>
      </c>
      <c r="E459" s="43">
        <v>3</v>
      </c>
      <c r="F459" s="50" t="str">
        <f>VLOOKUP(tabPontoPed[[#This Row],[GRUPO]],tabGrupos[#Data],2,FALSE)</f>
        <v>MADEIRAS,LAMINADOS,COMPENSADOS E AGLOMERADOS</v>
      </c>
      <c r="G459" s="42" t="str">
        <f>VLOOKUP(tabPontoPed[[#This Row],[GRUPO]],tabGrupos[#Data],3,FALSE)</f>
        <v>MCO</v>
      </c>
      <c r="H459" s="41" t="s">
        <v>1339</v>
      </c>
      <c r="I459" s="9">
        <v>4</v>
      </c>
      <c r="J459" s="51">
        <v>1</v>
      </c>
      <c r="K459" s="7">
        <f>tabPontoPed[[#This Row],[QTDMÊS]] * tabPontoPed[[#This Row],[MENSAL]]</f>
        <v>4</v>
      </c>
      <c r="L459" s="13" t="s">
        <v>1012</v>
      </c>
      <c r="M459" s="44"/>
      <c r="N459" s="45" t="str">
        <f>_xlfn.IFNA(IF(VLOOKUP(tabPontoPed[[#This Row],[CÓDIGO]],Excluir_do_Estoque!$A$4:$A$4004,1,FALSE),"sim",""),"")</f>
        <v/>
      </c>
      <c r="O459" s="10" t="str">
        <f t="shared" si="7"/>
        <v>*</v>
      </c>
    </row>
    <row r="460" spans="1:15" x14ac:dyDescent="0.25">
      <c r="A460" s="2">
        <v>77556</v>
      </c>
      <c r="B460" s="4" t="s">
        <v>949</v>
      </c>
      <c r="C460" s="41" t="s">
        <v>1345</v>
      </c>
      <c r="D460" s="42">
        <v>74</v>
      </c>
      <c r="E460" s="43">
        <v>3</v>
      </c>
      <c r="F460" s="50" t="str">
        <f>VLOOKUP(tabPontoPed[[#This Row],[GRUPO]],tabGrupos[#Data],2,FALSE)</f>
        <v>MADEIRAS,LAMINADOS,COMPENSADOS E AGLOMERADOS</v>
      </c>
      <c r="G460" s="42" t="str">
        <f>VLOOKUP(tabPontoPed[[#This Row],[GRUPO]],tabGrupos[#Data],3,FALSE)</f>
        <v>MCO</v>
      </c>
      <c r="H460" s="41" t="s">
        <v>1339</v>
      </c>
      <c r="I460" s="9">
        <v>4</v>
      </c>
      <c r="J460" s="51">
        <v>0</v>
      </c>
      <c r="K460" s="7">
        <f>tabPontoPed[[#This Row],[QTDMÊS]] * tabPontoPed[[#This Row],[MENSAL]]</f>
        <v>0</v>
      </c>
      <c r="L460" s="13" t="s">
        <v>1012</v>
      </c>
      <c r="M460" s="44"/>
      <c r="N460" s="45" t="str">
        <f>_xlfn.IFNA(IF(VLOOKUP(tabPontoPed[[#This Row],[CÓDIGO]],Excluir_do_Estoque!$A$4:$A$4004,1,FALSE),"sim",""),"")</f>
        <v/>
      </c>
      <c r="O460" s="10" t="str">
        <f t="shared" si="7"/>
        <v>*</v>
      </c>
    </row>
    <row r="461" spans="1:15" x14ac:dyDescent="0.25">
      <c r="A461" s="2">
        <v>77557</v>
      </c>
      <c r="B461" s="4" t="s">
        <v>221</v>
      </c>
      <c r="C461" s="41" t="s">
        <v>1345</v>
      </c>
      <c r="D461" s="42">
        <v>74</v>
      </c>
      <c r="E461" s="43">
        <v>3</v>
      </c>
      <c r="F461" s="50" t="str">
        <f>VLOOKUP(tabPontoPed[[#This Row],[GRUPO]],tabGrupos[#Data],2,FALSE)</f>
        <v>MADEIRAS,LAMINADOS,COMPENSADOS E AGLOMERADOS</v>
      </c>
      <c r="G461" s="42" t="str">
        <f>VLOOKUP(tabPontoPed[[#This Row],[GRUPO]],tabGrupos[#Data],3,FALSE)</f>
        <v>MCO</v>
      </c>
      <c r="H461" s="41" t="s">
        <v>1339</v>
      </c>
      <c r="I461" s="9">
        <v>4</v>
      </c>
      <c r="J461" s="51">
        <v>3</v>
      </c>
      <c r="K461" s="7">
        <f>tabPontoPed[[#This Row],[QTDMÊS]] * tabPontoPed[[#This Row],[MENSAL]]</f>
        <v>12</v>
      </c>
      <c r="L461" s="13" t="s">
        <v>1012</v>
      </c>
      <c r="M461" s="44"/>
      <c r="N461" s="45" t="str">
        <f>_xlfn.IFNA(IF(VLOOKUP(tabPontoPed[[#This Row],[CÓDIGO]],Excluir_do_Estoque!$A$4:$A$4004,1,FALSE),"sim",""),"")</f>
        <v/>
      </c>
      <c r="O461" s="10" t="str">
        <f t="shared" si="7"/>
        <v>*</v>
      </c>
    </row>
    <row r="462" spans="1:15" x14ac:dyDescent="0.25">
      <c r="A462" s="2">
        <v>77562</v>
      </c>
      <c r="B462" s="4" t="s">
        <v>393</v>
      </c>
      <c r="C462" s="41" t="s">
        <v>1345</v>
      </c>
      <c r="D462" s="42">
        <v>74</v>
      </c>
      <c r="E462" s="43">
        <v>2</v>
      </c>
      <c r="F462" s="50" t="str">
        <f>VLOOKUP(tabPontoPed[[#This Row],[GRUPO]],tabGrupos[#Data],2,FALSE)</f>
        <v>MADEIRAS,LAMINADOS,COMPENSADOS E AGLOMERADOS</v>
      </c>
      <c r="G462" s="42" t="str">
        <f>VLOOKUP(tabPontoPed[[#This Row],[GRUPO]],tabGrupos[#Data],3,FALSE)</f>
        <v>MCO</v>
      </c>
      <c r="H462" s="41" t="s">
        <v>1339</v>
      </c>
      <c r="I462" s="9">
        <v>4</v>
      </c>
      <c r="J462" s="51">
        <v>181</v>
      </c>
      <c r="K462" s="7">
        <f>tabPontoPed[[#This Row],[QTDMÊS]] * tabPontoPed[[#This Row],[MENSAL]]</f>
        <v>724</v>
      </c>
      <c r="L462" s="13" t="s">
        <v>1012</v>
      </c>
      <c r="M462" s="44"/>
      <c r="N462" s="45" t="str">
        <f>_xlfn.IFNA(IF(VLOOKUP(tabPontoPed[[#This Row],[CÓDIGO]],Excluir_do_Estoque!$A$4:$A$4004,1,FALSE),"sim",""),"")</f>
        <v/>
      </c>
      <c r="O462" s="10" t="str">
        <f t="shared" si="7"/>
        <v>*</v>
      </c>
    </row>
    <row r="463" spans="1:15" x14ac:dyDescent="0.25">
      <c r="A463" s="2">
        <v>77755</v>
      </c>
      <c r="B463" s="4" t="s">
        <v>428</v>
      </c>
      <c r="C463" s="41" t="s">
        <v>1345</v>
      </c>
      <c r="D463" s="42">
        <v>45</v>
      </c>
      <c r="E463" s="43">
        <v>10</v>
      </c>
      <c r="F463" s="50" t="str">
        <f>VLOOKUP(tabPontoPed[[#This Row],[GRUPO]],tabGrupos[#Data],2,FALSE)</f>
        <v>MAQ., EQUIP., COMP., ACES., MAT. PARA ESCRIT.E ESCOLAR</v>
      </c>
      <c r="G463" s="42" t="str">
        <f>VLOOKUP(tabPontoPed[[#This Row],[GRUPO]],tabGrupos[#Data],3,FALSE)</f>
        <v>EDU</v>
      </c>
      <c r="H463" s="41" t="s">
        <v>1339</v>
      </c>
      <c r="I463" s="9">
        <v>4</v>
      </c>
      <c r="J463" s="51">
        <v>225</v>
      </c>
      <c r="K463" s="7">
        <f>tabPontoPed[[#This Row],[QTDMÊS]] * tabPontoPed[[#This Row],[MENSAL]]</f>
        <v>900</v>
      </c>
      <c r="L463" s="13" t="s">
        <v>1012</v>
      </c>
      <c r="M463" s="44"/>
      <c r="N463" s="45" t="str">
        <f>_xlfn.IFNA(IF(VLOOKUP(tabPontoPed[[#This Row],[CÓDIGO]],Excluir_do_Estoque!$A$4:$A$4004,1,FALSE),"sim",""),"")</f>
        <v/>
      </c>
      <c r="O463" s="10" t="str">
        <f t="shared" si="7"/>
        <v>*</v>
      </c>
    </row>
    <row r="464" spans="1:15" x14ac:dyDescent="0.25">
      <c r="A464" s="2">
        <v>77786</v>
      </c>
      <c r="B464" s="4" t="s">
        <v>896</v>
      </c>
      <c r="C464" s="41" t="s">
        <v>1345</v>
      </c>
      <c r="D464" s="42">
        <v>69</v>
      </c>
      <c r="E464" s="43">
        <v>8</v>
      </c>
      <c r="F464" s="50" t="str">
        <f>VLOOKUP(tabPontoPed[[#This Row],[GRUPO]],tabGrupos[#Data],2,FALSE)</f>
        <v>METAIS,LAMINAD.,PERFILADOS E ARTEFATOS METALICOS</v>
      </c>
      <c r="G464" s="42" t="str">
        <f>VLOOKUP(tabPontoPed[[#This Row],[GRUPO]],tabGrupos[#Data],3,FALSE)</f>
        <v>MSE</v>
      </c>
      <c r="H464" s="41" t="s">
        <v>1339</v>
      </c>
      <c r="I464" s="9">
        <v>4</v>
      </c>
      <c r="J464" s="51">
        <v>1</v>
      </c>
      <c r="K464" s="7">
        <f>tabPontoPed[[#This Row],[QTDMÊS]] * tabPontoPed[[#This Row],[MENSAL]]</f>
        <v>4</v>
      </c>
      <c r="L464" s="13" t="s">
        <v>1012</v>
      </c>
      <c r="M464" s="44"/>
      <c r="N464" s="45" t="str">
        <f>_xlfn.IFNA(IF(VLOOKUP(tabPontoPed[[#This Row],[CÓDIGO]],Excluir_do_Estoque!$A$4:$A$4004,1,FALSE),"sim",""),"")</f>
        <v/>
      </c>
      <c r="O464" s="10" t="str">
        <f t="shared" si="7"/>
        <v>*</v>
      </c>
    </row>
    <row r="465" spans="1:15" x14ac:dyDescent="0.25">
      <c r="A465" s="2">
        <v>77788</v>
      </c>
      <c r="B465" s="4" t="s">
        <v>861</v>
      </c>
      <c r="C465" s="41" t="s">
        <v>1345</v>
      </c>
      <c r="D465" s="42">
        <v>67</v>
      </c>
      <c r="E465" s="43">
        <v>13</v>
      </c>
      <c r="F465" s="50" t="str">
        <f>VLOOKUP(tabPontoPed[[#This Row],[GRUPO]],tabGrupos[#Data],2,FALSE)</f>
        <v>PARAFUSOS ELEM. VEDACAO UNIAO CONEX . FIXACAO</v>
      </c>
      <c r="G465" s="42" t="str">
        <f>VLOOKUP(tabPontoPed[[#This Row],[GRUPO]],tabGrupos[#Data],3,FALSE)</f>
        <v>MSE</v>
      </c>
      <c r="H465" s="41" t="s">
        <v>1339</v>
      </c>
      <c r="I465" s="9">
        <v>4</v>
      </c>
      <c r="J465" s="51">
        <v>48</v>
      </c>
      <c r="K465" s="7">
        <f>tabPontoPed[[#This Row],[QTDMÊS]] * tabPontoPed[[#This Row],[MENSAL]]</f>
        <v>192</v>
      </c>
      <c r="L465" s="13" t="s">
        <v>1012</v>
      </c>
      <c r="M465" s="44"/>
      <c r="N465" s="45" t="str">
        <f>_xlfn.IFNA(IF(VLOOKUP(tabPontoPed[[#This Row],[CÓDIGO]],Excluir_do_Estoque!$A$4:$A$4004,1,FALSE),"sim",""),"")</f>
        <v/>
      </c>
      <c r="O465" s="10" t="str">
        <f t="shared" si="7"/>
        <v>*</v>
      </c>
    </row>
    <row r="466" spans="1:15" x14ac:dyDescent="0.25">
      <c r="A466" s="2">
        <v>77819</v>
      </c>
      <c r="B466" s="4" t="s">
        <v>569</v>
      </c>
      <c r="C466" s="41" t="s">
        <v>1345</v>
      </c>
      <c r="D466" s="42">
        <v>52</v>
      </c>
      <c r="E466" s="43">
        <v>15</v>
      </c>
      <c r="F466" s="50" t="str">
        <f>VLOOKUP(tabPontoPed[[#This Row],[GRUPO]],tabGrupos[#Data],2,FALSE)</f>
        <v>EQUIP.E MAT. P/REFEITORIO, COPA E COZINHA</v>
      </c>
      <c r="G466" s="42" t="str">
        <f>VLOOKUP(tabPontoPed[[#This Row],[GRUPO]],tabGrupos[#Data],3,FALSE)</f>
        <v>ADM</v>
      </c>
      <c r="H466" s="41" t="s">
        <v>1339</v>
      </c>
      <c r="I466" s="9">
        <v>4</v>
      </c>
      <c r="J466" s="51">
        <v>109</v>
      </c>
      <c r="K466" s="7">
        <f>tabPontoPed[[#This Row],[QTDMÊS]] * tabPontoPed[[#This Row],[MENSAL]]</f>
        <v>436</v>
      </c>
      <c r="L466" s="13" t="s">
        <v>1012</v>
      </c>
      <c r="M466" s="44"/>
      <c r="N466" s="45" t="str">
        <f>_xlfn.IFNA(IF(VLOOKUP(tabPontoPed[[#This Row],[CÓDIGO]],Excluir_do_Estoque!$A$4:$A$4004,1,FALSE),"sim",""),"")</f>
        <v/>
      </c>
      <c r="O466" s="10" t="str">
        <f t="shared" si="7"/>
        <v>*</v>
      </c>
    </row>
    <row r="467" spans="1:15" x14ac:dyDescent="0.25">
      <c r="A467" s="2">
        <v>77822</v>
      </c>
      <c r="B467" s="4" t="s">
        <v>930</v>
      </c>
      <c r="C467" s="41" t="s">
        <v>1345</v>
      </c>
      <c r="D467" s="42">
        <v>72</v>
      </c>
      <c r="E467" s="43">
        <v>5</v>
      </c>
      <c r="F467" s="50" t="str">
        <f>VLOOKUP(tabPontoPed[[#This Row],[GRUPO]],tabGrupos[#Data],2,FALSE)</f>
        <v>MAQ.EQUIP.E MATERIAIS P/ HIGIEN.LIMP.POLIM.E LUBR.</v>
      </c>
      <c r="G467" s="42" t="str">
        <f>VLOOKUP(tabPontoPed[[#This Row],[GRUPO]],tabGrupos[#Data],3,FALSE)</f>
        <v>ADM</v>
      </c>
      <c r="H467" s="41" t="s">
        <v>1339</v>
      </c>
      <c r="I467" s="9">
        <v>4</v>
      </c>
      <c r="J467" s="51">
        <v>11</v>
      </c>
      <c r="K467" s="7">
        <f>tabPontoPed[[#This Row],[QTDMÊS]] * tabPontoPed[[#This Row],[MENSAL]]</f>
        <v>44</v>
      </c>
      <c r="L467" s="13" t="s">
        <v>1012</v>
      </c>
      <c r="M467" s="44"/>
      <c r="N467" s="45" t="str">
        <f>_xlfn.IFNA(IF(VLOOKUP(tabPontoPed[[#This Row],[CÓDIGO]],Excluir_do_Estoque!$A$4:$A$4004,1,FALSE),"sim",""),"")</f>
        <v/>
      </c>
      <c r="O467" s="10" t="str">
        <f t="shared" si="7"/>
        <v>*</v>
      </c>
    </row>
    <row r="468" spans="1:15" x14ac:dyDescent="0.25">
      <c r="A468" s="2">
        <v>77823</v>
      </c>
      <c r="B468" s="4" t="s">
        <v>931</v>
      </c>
      <c r="C468" s="41" t="s">
        <v>1345</v>
      </c>
      <c r="D468" s="42">
        <v>72</v>
      </c>
      <c r="E468" s="43">
        <v>5</v>
      </c>
      <c r="F468" s="50" t="str">
        <f>VLOOKUP(tabPontoPed[[#This Row],[GRUPO]],tabGrupos[#Data],2,FALSE)</f>
        <v>MAQ.EQUIP.E MATERIAIS P/ HIGIEN.LIMP.POLIM.E LUBR.</v>
      </c>
      <c r="G468" s="42" t="str">
        <f>VLOOKUP(tabPontoPed[[#This Row],[GRUPO]],tabGrupos[#Data],3,FALSE)</f>
        <v>ADM</v>
      </c>
      <c r="H468" s="41" t="s">
        <v>1339</v>
      </c>
      <c r="I468" s="9">
        <v>4</v>
      </c>
      <c r="J468" s="51">
        <v>9</v>
      </c>
      <c r="K468" s="7">
        <f>tabPontoPed[[#This Row],[QTDMÊS]] * tabPontoPed[[#This Row],[MENSAL]]</f>
        <v>36</v>
      </c>
      <c r="L468" s="13" t="s">
        <v>1012</v>
      </c>
      <c r="M468" s="44"/>
      <c r="N468" s="45" t="str">
        <f>_xlfn.IFNA(IF(VLOOKUP(tabPontoPed[[#This Row],[CÓDIGO]],Excluir_do_Estoque!$A$4:$A$4004,1,FALSE),"sim",""),"")</f>
        <v/>
      </c>
      <c r="O468" s="10" t="str">
        <f t="shared" si="7"/>
        <v>*</v>
      </c>
    </row>
    <row r="469" spans="1:15" x14ac:dyDescent="0.25">
      <c r="A469" s="2">
        <v>77992</v>
      </c>
      <c r="B469" s="4" t="s">
        <v>570</v>
      </c>
      <c r="C469" s="41" t="s">
        <v>1345</v>
      </c>
      <c r="D469" s="42">
        <v>52</v>
      </c>
      <c r="E469" s="43">
        <v>15</v>
      </c>
      <c r="F469" s="50" t="str">
        <f>VLOOKUP(tabPontoPed[[#This Row],[GRUPO]],tabGrupos[#Data],2,FALSE)</f>
        <v>EQUIP.E MAT. P/REFEITORIO, COPA E COZINHA</v>
      </c>
      <c r="G469" s="42" t="str">
        <f>VLOOKUP(tabPontoPed[[#This Row],[GRUPO]],tabGrupos[#Data],3,FALSE)</f>
        <v>ADM</v>
      </c>
      <c r="H469" s="41" t="s">
        <v>1339</v>
      </c>
      <c r="I469" s="9">
        <v>4</v>
      </c>
      <c r="J469" s="51">
        <v>158</v>
      </c>
      <c r="K469" s="7">
        <f>tabPontoPed[[#This Row],[QTDMÊS]] * tabPontoPed[[#This Row],[MENSAL]]</f>
        <v>632</v>
      </c>
      <c r="L469" s="13" t="s">
        <v>1012</v>
      </c>
      <c r="M469" s="44"/>
      <c r="N469" s="45" t="str">
        <f>_xlfn.IFNA(IF(VLOOKUP(tabPontoPed[[#This Row],[CÓDIGO]],Excluir_do_Estoque!$A$4:$A$4004,1,FALSE),"sim",""),"")</f>
        <v/>
      </c>
      <c r="O469" s="10" t="str">
        <f t="shared" si="7"/>
        <v>*</v>
      </c>
    </row>
    <row r="470" spans="1:15" x14ac:dyDescent="0.25">
      <c r="A470" s="2">
        <v>78025</v>
      </c>
      <c r="B470" s="4" t="s">
        <v>197</v>
      </c>
      <c r="C470" s="41" t="s">
        <v>1345</v>
      </c>
      <c r="D470" s="42">
        <v>72</v>
      </c>
      <c r="E470" s="43">
        <v>6</v>
      </c>
      <c r="F470" s="50" t="str">
        <f>VLOOKUP(tabPontoPed[[#This Row],[GRUPO]],tabGrupos[#Data],2,FALSE)</f>
        <v>MAQ.EQUIP.E MATERIAIS P/ HIGIEN.LIMP.POLIM.E LUBR.</v>
      </c>
      <c r="G470" s="42" t="str">
        <f>VLOOKUP(tabPontoPed[[#This Row],[GRUPO]],tabGrupos[#Data],3,FALSE)</f>
        <v>ADM</v>
      </c>
      <c r="H470" s="41" t="s">
        <v>1339</v>
      </c>
      <c r="I470" s="9">
        <v>4</v>
      </c>
      <c r="J470" s="51">
        <v>15</v>
      </c>
      <c r="K470" s="7">
        <f>tabPontoPed[[#This Row],[QTDMÊS]] * tabPontoPed[[#This Row],[MENSAL]]</f>
        <v>60</v>
      </c>
      <c r="L470" s="13" t="s">
        <v>1012</v>
      </c>
      <c r="M470" s="44"/>
      <c r="N470" s="45" t="str">
        <f>_xlfn.IFNA(IF(VLOOKUP(tabPontoPed[[#This Row],[CÓDIGO]],Excluir_do_Estoque!$A$4:$A$4004,1,FALSE),"sim",""),"")</f>
        <v/>
      </c>
      <c r="O470" s="10" t="str">
        <f t="shared" si="7"/>
        <v>*</v>
      </c>
    </row>
    <row r="471" spans="1:15" x14ac:dyDescent="0.25">
      <c r="A471" s="2">
        <v>78055</v>
      </c>
      <c r="B471" s="4" t="s">
        <v>969</v>
      </c>
      <c r="C471" s="41" t="s">
        <v>1345</v>
      </c>
      <c r="D471" s="42">
        <v>78</v>
      </c>
      <c r="E471" s="43">
        <v>2</v>
      </c>
      <c r="F471" s="50" t="str">
        <f>VLOOKUP(tabPontoPed[[#This Row],[GRUPO]],tabGrupos[#Data],2,FALSE)</f>
        <v>MOBILIARIO E COFRE</v>
      </c>
      <c r="G471" s="42" t="str">
        <f>VLOOKUP(tabPontoPed[[#This Row],[GRUPO]],tabGrupos[#Data],3,FALSE)</f>
        <v>ADM</v>
      </c>
      <c r="H471" s="41" t="s">
        <v>1339</v>
      </c>
      <c r="I471" s="9">
        <v>4</v>
      </c>
      <c r="J471" s="51">
        <v>5</v>
      </c>
      <c r="K471" s="7">
        <f>tabPontoPed[[#This Row],[QTDMÊS]] * tabPontoPed[[#This Row],[MENSAL]]</f>
        <v>20</v>
      </c>
      <c r="L471" s="13" t="s">
        <v>1012</v>
      </c>
      <c r="M471" s="44"/>
      <c r="N471" s="45" t="str">
        <f>_xlfn.IFNA(IF(VLOOKUP(tabPontoPed[[#This Row],[CÓDIGO]],Excluir_do_Estoque!$A$4:$A$4004,1,FALSE),"sim",""),"")</f>
        <v/>
      </c>
      <c r="O471" s="10" t="str">
        <f t="shared" si="7"/>
        <v>*</v>
      </c>
    </row>
    <row r="472" spans="1:15" x14ac:dyDescent="0.25">
      <c r="A472" s="2">
        <v>78057</v>
      </c>
      <c r="B472" s="4" t="s">
        <v>970</v>
      </c>
      <c r="C472" s="41" t="s">
        <v>1345</v>
      </c>
      <c r="D472" s="42">
        <v>78</v>
      </c>
      <c r="E472" s="43">
        <v>2</v>
      </c>
      <c r="F472" s="50" t="str">
        <f>VLOOKUP(tabPontoPed[[#This Row],[GRUPO]],tabGrupos[#Data],2,FALSE)</f>
        <v>MOBILIARIO E COFRE</v>
      </c>
      <c r="G472" s="42" t="str">
        <f>VLOOKUP(tabPontoPed[[#This Row],[GRUPO]],tabGrupos[#Data],3,FALSE)</f>
        <v>ADM</v>
      </c>
      <c r="H472" s="41" t="s">
        <v>1339</v>
      </c>
      <c r="I472" s="9">
        <v>4</v>
      </c>
      <c r="J472" s="51">
        <v>2</v>
      </c>
      <c r="K472" s="7">
        <f>tabPontoPed[[#This Row],[QTDMÊS]] * tabPontoPed[[#This Row],[MENSAL]]</f>
        <v>8</v>
      </c>
      <c r="L472" s="13" t="s">
        <v>1012</v>
      </c>
      <c r="M472" s="44"/>
      <c r="N472" s="45" t="str">
        <f>_xlfn.IFNA(IF(VLOOKUP(tabPontoPed[[#This Row],[CÓDIGO]],Excluir_do_Estoque!$A$4:$A$4004,1,FALSE),"sim",""),"")</f>
        <v/>
      </c>
      <c r="O472" s="10" t="str">
        <f t="shared" si="7"/>
        <v>*</v>
      </c>
    </row>
    <row r="473" spans="1:15" x14ac:dyDescent="0.25">
      <c r="A473" s="2">
        <v>78181</v>
      </c>
      <c r="B473" s="4" t="s">
        <v>380</v>
      </c>
      <c r="C473" s="41" t="s">
        <v>1345</v>
      </c>
      <c r="D473" s="42">
        <v>72</v>
      </c>
      <c r="E473" s="43">
        <v>8</v>
      </c>
      <c r="F473" s="50" t="str">
        <f>VLOOKUP(tabPontoPed[[#This Row],[GRUPO]],tabGrupos[#Data],2,FALSE)</f>
        <v>MAQ.EQUIP.E MATERIAIS P/ HIGIEN.LIMP.POLIM.E LUBR.</v>
      </c>
      <c r="G473" s="42" t="str">
        <f>VLOOKUP(tabPontoPed[[#This Row],[GRUPO]],tabGrupos[#Data],3,FALSE)</f>
        <v>ADM</v>
      </c>
      <c r="H473" s="41" t="s">
        <v>1339</v>
      </c>
      <c r="I473" s="9">
        <v>4</v>
      </c>
      <c r="J473" s="51">
        <v>38</v>
      </c>
      <c r="K473" s="7">
        <f>tabPontoPed[[#This Row],[QTDMÊS]] * tabPontoPed[[#This Row],[MENSAL]]</f>
        <v>152</v>
      </c>
      <c r="L473" s="13" t="s">
        <v>1012</v>
      </c>
      <c r="M473" s="44"/>
      <c r="N473" s="45" t="str">
        <f>_xlfn.IFNA(IF(VLOOKUP(tabPontoPed[[#This Row],[CÓDIGO]],Excluir_do_Estoque!$A$4:$A$4004,1,FALSE),"sim",""),"")</f>
        <v/>
      </c>
      <c r="O473" s="10" t="str">
        <f t="shared" si="7"/>
        <v>*</v>
      </c>
    </row>
    <row r="474" spans="1:15" x14ac:dyDescent="0.25">
      <c r="A474" s="2">
        <v>78303</v>
      </c>
      <c r="B474" s="4" t="s">
        <v>558</v>
      </c>
      <c r="C474" s="41" t="s">
        <v>1345</v>
      </c>
      <c r="D474" s="42">
        <v>51</v>
      </c>
      <c r="E474" s="43">
        <v>36</v>
      </c>
      <c r="F474" s="50" t="str">
        <f>VLOOKUP(tabPontoPed[[#This Row],[GRUPO]],tabGrupos[#Data],2,FALSE)</f>
        <v>MAT.E EQUIP. P/ CONSTR.CIVIL E CONSERV. DE VIAS PUBL.</v>
      </c>
      <c r="G474" s="42" t="str">
        <f>VLOOKUP(tabPontoPed[[#This Row],[GRUPO]],tabGrupos[#Data],3,FALSE)</f>
        <v>MCO</v>
      </c>
      <c r="H474" s="41" t="s">
        <v>1339</v>
      </c>
      <c r="I474" s="9">
        <v>4</v>
      </c>
      <c r="J474" s="51">
        <v>2</v>
      </c>
      <c r="K474" s="7">
        <f>tabPontoPed[[#This Row],[QTDMÊS]] * tabPontoPed[[#This Row],[MENSAL]]</f>
        <v>8</v>
      </c>
      <c r="L474" s="13" t="s">
        <v>1012</v>
      </c>
      <c r="M474" s="44"/>
      <c r="N474" s="45" t="str">
        <f>_xlfn.IFNA(IF(VLOOKUP(tabPontoPed[[#This Row],[CÓDIGO]],Excluir_do_Estoque!$A$4:$A$4004,1,FALSE),"sim",""),"")</f>
        <v/>
      </c>
      <c r="O474" s="10" t="str">
        <f t="shared" si="7"/>
        <v>*</v>
      </c>
    </row>
    <row r="475" spans="1:15" x14ac:dyDescent="0.25">
      <c r="A475" s="2">
        <v>78306</v>
      </c>
      <c r="B475" s="4" t="s">
        <v>559</v>
      </c>
      <c r="C475" s="41" t="s">
        <v>1345</v>
      </c>
      <c r="D475" s="42">
        <v>51</v>
      </c>
      <c r="E475" s="43">
        <v>36</v>
      </c>
      <c r="F475" s="50" t="str">
        <f>VLOOKUP(tabPontoPed[[#This Row],[GRUPO]],tabGrupos[#Data],2,FALSE)</f>
        <v>MAT.E EQUIP. P/ CONSTR.CIVIL E CONSERV. DE VIAS PUBL.</v>
      </c>
      <c r="G475" s="42" t="str">
        <f>VLOOKUP(tabPontoPed[[#This Row],[GRUPO]],tabGrupos[#Data],3,FALSE)</f>
        <v>MCO</v>
      </c>
      <c r="H475" s="41" t="s">
        <v>1339</v>
      </c>
      <c r="I475" s="9">
        <v>4</v>
      </c>
      <c r="J475" s="51">
        <v>1</v>
      </c>
      <c r="K475" s="7">
        <f>tabPontoPed[[#This Row],[QTDMÊS]] * tabPontoPed[[#This Row],[MENSAL]]</f>
        <v>4</v>
      </c>
      <c r="L475" s="13" t="s">
        <v>1012</v>
      </c>
      <c r="M475" s="44"/>
      <c r="N475" s="45" t="str">
        <f>_xlfn.IFNA(IF(VLOOKUP(tabPontoPed[[#This Row],[CÓDIGO]],Excluir_do_Estoque!$A$4:$A$4004,1,FALSE),"sim",""),"")</f>
        <v/>
      </c>
      <c r="O475" s="10" t="str">
        <f t="shared" si="7"/>
        <v>*</v>
      </c>
    </row>
    <row r="476" spans="1:15" x14ac:dyDescent="0.25">
      <c r="A476" s="2">
        <v>78307</v>
      </c>
      <c r="B476" s="4" t="s">
        <v>547</v>
      </c>
      <c r="C476" s="41" t="s">
        <v>1345</v>
      </c>
      <c r="D476" s="42">
        <v>51</v>
      </c>
      <c r="E476" s="43">
        <v>28</v>
      </c>
      <c r="F476" s="50" t="str">
        <f>VLOOKUP(tabPontoPed[[#This Row],[GRUPO]],tabGrupos[#Data],2,FALSE)</f>
        <v>MAT.E EQUIP. P/ CONSTR.CIVIL E CONSERV. DE VIAS PUBL.</v>
      </c>
      <c r="G476" s="42" t="str">
        <f>VLOOKUP(tabPontoPed[[#This Row],[GRUPO]],tabGrupos[#Data],3,FALSE)</f>
        <v>MCO</v>
      </c>
      <c r="H476" s="41" t="s">
        <v>1339</v>
      </c>
      <c r="I476" s="9">
        <v>4</v>
      </c>
      <c r="J476" s="51">
        <v>1</v>
      </c>
      <c r="K476" s="7">
        <f>tabPontoPed[[#This Row],[QTDMÊS]] * tabPontoPed[[#This Row],[MENSAL]]</f>
        <v>4</v>
      </c>
      <c r="L476" s="13" t="s">
        <v>1012</v>
      </c>
      <c r="M476" s="44"/>
      <c r="N476" s="45" t="str">
        <f>_xlfn.IFNA(IF(VLOOKUP(tabPontoPed[[#This Row],[CÓDIGO]],Excluir_do_Estoque!$A$4:$A$4004,1,FALSE),"sim",""),"")</f>
        <v/>
      </c>
      <c r="O476" s="10" t="str">
        <f t="shared" si="7"/>
        <v>*</v>
      </c>
    </row>
    <row r="477" spans="1:15" x14ac:dyDescent="0.25">
      <c r="A477" s="2">
        <v>78398</v>
      </c>
      <c r="B477" s="4" t="s">
        <v>597</v>
      </c>
      <c r="C477" s="41" t="s">
        <v>1345</v>
      </c>
      <c r="D477" s="42">
        <v>54</v>
      </c>
      <c r="E477" s="43">
        <v>9</v>
      </c>
      <c r="F477" s="50" t="str">
        <f>VLOOKUP(tabPontoPed[[#This Row],[GRUPO]],tabGrupos[#Data],2,FALSE)</f>
        <v>EQUIP PROT IND, INST MAT P/ SINAL, CONTR, COMB ...</v>
      </c>
      <c r="G477" s="42" t="str">
        <f>VLOOKUP(tabPontoPed[[#This Row],[GRUPO]],tabGrupos[#Data],3,FALSE)</f>
        <v>MAN</v>
      </c>
      <c r="H477" s="41" t="s">
        <v>1339</v>
      </c>
      <c r="I477" s="9">
        <v>4</v>
      </c>
      <c r="J477" s="51">
        <v>0</v>
      </c>
      <c r="K477" s="7">
        <f>tabPontoPed[[#This Row],[QTDMÊS]] * tabPontoPed[[#This Row],[MENSAL]]</f>
        <v>0</v>
      </c>
      <c r="L477" s="13" t="s">
        <v>1012</v>
      </c>
      <c r="M477" s="44"/>
      <c r="N477" s="45" t="str">
        <f>_xlfn.IFNA(IF(VLOOKUP(tabPontoPed[[#This Row],[CÓDIGO]],Excluir_do_Estoque!$A$4:$A$4004,1,FALSE),"sim",""),"")</f>
        <v/>
      </c>
      <c r="O477" s="10" t="str">
        <f t="shared" si="7"/>
        <v>*</v>
      </c>
    </row>
    <row r="478" spans="1:15" x14ac:dyDescent="0.25">
      <c r="A478" s="2">
        <v>78399</v>
      </c>
      <c r="B478" s="4" t="s">
        <v>36</v>
      </c>
      <c r="C478" s="41" t="s">
        <v>1345</v>
      </c>
      <c r="D478" s="42">
        <v>55</v>
      </c>
      <c r="E478" s="43">
        <v>46</v>
      </c>
      <c r="F478" s="50" t="str">
        <f>VLOOKUP(tabPontoPed[[#This Row],[GRUPO]],tabGrupos[#Data],2,FALSE)</f>
        <v>EQUIP. MAT. P/ GERACAO, TRANSM. DISTR. RETIF...</v>
      </c>
      <c r="G478" s="42" t="str">
        <f>VLOOKUP(tabPontoPed[[#This Row],[GRUPO]],tabGrupos[#Data],3,FALSE)</f>
        <v>MEL</v>
      </c>
      <c r="H478" s="41" t="s">
        <v>1339</v>
      </c>
      <c r="I478" s="9">
        <v>4</v>
      </c>
      <c r="J478" s="51">
        <v>2</v>
      </c>
      <c r="K478" s="7">
        <f>tabPontoPed[[#This Row],[QTDMÊS]] * tabPontoPed[[#This Row],[MENSAL]]</f>
        <v>8</v>
      </c>
      <c r="L478" s="13" t="s">
        <v>1012</v>
      </c>
      <c r="M478" s="44"/>
      <c r="N478" s="45" t="str">
        <f>_xlfn.IFNA(IF(VLOOKUP(tabPontoPed[[#This Row],[CÓDIGO]],Excluir_do_Estoque!$A$4:$A$4004,1,FALSE),"sim",""),"")</f>
        <v/>
      </c>
      <c r="O478" s="10" t="str">
        <f t="shared" si="7"/>
        <v>*</v>
      </c>
    </row>
    <row r="479" spans="1:15" x14ac:dyDescent="0.25">
      <c r="A479" s="2">
        <v>78416</v>
      </c>
      <c r="B479" s="4" t="s">
        <v>869</v>
      </c>
      <c r="C479" s="41" t="s">
        <v>1345</v>
      </c>
      <c r="D479" s="42">
        <v>67</v>
      </c>
      <c r="E479" s="43">
        <v>18</v>
      </c>
      <c r="F479" s="50" t="str">
        <f>VLOOKUP(tabPontoPed[[#This Row],[GRUPO]],tabGrupos[#Data],2,FALSE)</f>
        <v>PARAFUSOS ELEM. VEDACAO UNIAO CONEX . FIXACAO</v>
      </c>
      <c r="G479" s="42" t="str">
        <f>VLOOKUP(tabPontoPed[[#This Row],[GRUPO]],tabGrupos[#Data],3,FALSE)</f>
        <v>MSE</v>
      </c>
      <c r="H479" s="41" t="s">
        <v>1339</v>
      </c>
      <c r="I479" s="9">
        <v>4</v>
      </c>
      <c r="J479" s="51">
        <v>12</v>
      </c>
      <c r="K479" s="7">
        <f>tabPontoPed[[#This Row],[QTDMÊS]] * tabPontoPed[[#This Row],[MENSAL]]</f>
        <v>48</v>
      </c>
      <c r="L479" s="13" t="s">
        <v>1012</v>
      </c>
      <c r="M479" s="44"/>
      <c r="N479" s="45" t="str">
        <f>_xlfn.IFNA(IF(VLOOKUP(tabPontoPed[[#This Row],[CÓDIGO]],Excluir_do_Estoque!$A$4:$A$4004,1,FALSE),"sim",""),"")</f>
        <v/>
      </c>
      <c r="O479" s="10" t="str">
        <f t="shared" si="7"/>
        <v>*</v>
      </c>
    </row>
    <row r="480" spans="1:15" x14ac:dyDescent="0.25">
      <c r="A480" s="2">
        <v>78418</v>
      </c>
      <c r="B480" s="4" t="s">
        <v>866</v>
      </c>
      <c r="C480" s="41" t="s">
        <v>1345</v>
      </c>
      <c r="D480" s="42">
        <v>67</v>
      </c>
      <c r="E480" s="43">
        <v>16</v>
      </c>
      <c r="F480" s="50" t="str">
        <f>VLOOKUP(tabPontoPed[[#This Row],[GRUPO]],tabGrupos[#Data],2,FALSE)</f>
        <v>PARAFUSOS ELEM. VEDACAO UNIAO CONEX . FIXACAO</v>
      </c>
      <c r="G480" s="42" t="str">
        <f>VLOOKUP(tabPontoPed[[#This Row],[GRUPO]],tabGrupos[#Data],3,FALSE)</f>
        <v>MSE</v>
      </c>
      <c r="H480" s="41" t="s">
        <v>1339</v>
      </c>
      <c r="I480" s="9">
        <v>4</v>
      </c>
      <c r="J480" s="51">
        <v>8</v>
      </c>
      <c r="K480" s="7">
        <f>tabPontoPed[[#This Row],[QTDMÊS]] * tabPontoPed[[#This Row],[MENSAL]]</f>
        <v>32</v>
      </c>
      <c r="L480" s="13" t="s">
        <v>1012</v>
      </c>
      <c r="M480" s="44"/>
      <c r="N480" s="45" t="str">
        <f>_xlfn.IFNA(IF(VLOOKUP(tabPontoPed[[#This Row],[CÓDIGO]],Excluir_do_Estoque!$A$4:$A$4004,1,FALSE),"sim",""),"")</f>
        <v/>
      </c>
      <c r="O480" s="10" t="str">
        <f t="shared" si="7"/>
        <v>*</v>
      </c>
    </row>
    <row r="481" spans="1:15" x14ac:dyDescent="0.25">
      <c r="A481" s="2">
        <v>78509</v>
      </c>
      <c r="B481" s="4" t="s">
        <v>560</v>
      </c>
      <c r="C481" s="41" t="s">
        <v>1345</v>
      </c>
      <c r="D481" s="42">
        <v>51</v>
      </c>
      <c r="E481" s="43">
        <v>36</v>
      </c>
      <c r="F481" s="50" t="str">
        <f>VLOOKUP(tabPontoPed[[#This Row],[GRUPO]],tabGrupos[#Data],2,FALSE)</f>
        <v>MAT.E EQUIP. P/ CONSTR.CIVIL E CONSERV. DE VIAS PUBL.</v>
      </c>
      <c r="G481" s="42" t="str">
        <f>VLOOKUP(tabPontoPed[[#This Row],[GRUPO]],tabGrupos[#Data],3,FALSE)</f>
        <v>MCO</v>
      </c>
      <c r="H481" s="41" t="s">
        <v>1339</v>
      </c>
      <c r="I481" s="9">
        <v>4</v>
      </c>
      <c r="J481" s="51">
        <v>1</v>
      </c>
      <c r="K481" s="7">
        <f>tabPontoPed[[#This Row],[QTDMÊS]] * tabPontoPed[[#This Row],[MENSAL]]</f>
        <v>4</v>
      </c>
      <c r="L481" s="13" t="s">
        <v>1012</v>
      </c>
      <c r="M481" s="44"/>
      <c r="N481" s="45" t="str">
        <f>_xlfn.IFNA(IF(VLOOKUP(tabPontoPed[[#This Row],[CÓDIGO]],Excluir_do_Estoque!$A$4:$A$4004,1,FALSE),"sim",""),"")</f>
        <v/>
      </c>
      <c r="O481" s="10" t="str">
        <f t="shared" si="7"/>
        <v>*</v>
      </c>
    </row>
    <row r="482" spans="1:15" x14ac:dyDescent="0.25">
      <c r="A482" s="2">
        <v>78641</v>
      </c>
      <c r="B482" s="4" t="s">
        <v>483</v>
      </c>
      <c r="C482" s="41" t="s">
        <v>1345</v>
      </c>
      <c r="D482" s="42">
        <v>45</v>
      </c>
      <c r="E482" s="43">
        <v>30</v>
      </c>
      <c r="F482" s="50" t="str">
        <f>VLOOKUP(tabPontoPed[[#This Row],[GRUPO]],tabGrupos[#Data],2,FALSE)</f>
        <v>MAQ., EQUIP., COMP., ACES., MAT. PARA ESCRIT.E ESCOLAR</v>
      </c>
      <c r="G482" s="42" t="str">
        <f>VLOOKUP(tabPontoPed[[#This Row],[GRUPO]],tabGrupos[#Data],3,FALSE)</f>
        <v>EDU</v>
      </c>
      <c r="H482" s="41" t="s">
        <v>1339</v>
      </c>
      <c r="I482" s="9">
        <v>4</v>
      </c>
      <c r="J482" s="51">
        <v>341</v>
      </c>
      <c r="K482" s="7">
        <f>tabPontoPed[[#This Row],[QTDMÊS]] * tabPontoPed[[#This Row],[MENSAL]]</f>
        <v>1364</v>
      </c>
      <c r="L482" s="13" t="s">
        <v>1012</v>
      </c>
      <c r="M482" s="44"/>
      <c r="N482" s="45" t="str">
        <f>_xlfn.IFNA(IF(VLOOKUP(tabPontoPed[[#This Row],[CÓDIGO]],Excluir_do_Estoque!$A$4:$A$4004,1,FALSE),"sim",""),"")</f>
        <v/>
      </c>
      <c r="O482" s="10" t="str">
        <f t="shared" si="7"/>
        <v>*</v>
      </c>
    </row>
    <row r="483" spans="1:15" x14ac:dyDescent="0.25">
      <c r="A483" s="2">
        <v>78642</v>
      </c>
      <c r="B483" s="4" t="s">
        <v>484</v>
      </c>
      <c r="C483" s="41" t="s">
        <v>1345</v>
      </c>
      <c r="D483" s="42">
        <v>45</v>
      </c>
      <c r="E483" s="43">
        <v>30</v>
      </c>
      <c r="F483" s="50" t="str">
        <f>VLOOKUP(tabPontoPed[[#This Row],[GRUPO]],tabGrupos[#Data],2,FALSE)</f>
        <v>MAQ., EQUIP., COMP., ACES., MAT. PARA ESCRIT.E ESCOLAR</v>
      </c>
      <c r="G483" s="42" t="str">
        <f>VLOOKUP(tabPontoPed[[#This Row],[GRUPO]],tabGrupos[#Data],3,FALSE)</f>
        <v>EDU</v>
      </c>
      <c r="H483" s="41" t="s">
        <v>1339</v>
      </c>
      <c r="I483" s="9">
        <v>4</v>
      </c>
      <c r="J483" s="51">
        <v>260</v>
      </c>
      <c r="K483" s="7">
        <f>tabPontoPed[[#This Row],[QTDMÊS]] * tabPontoPed[[#This Row],[MENSAL]]</f>
        <v>1040</v>
      </c>
      <c r="L483" s="13" t="s">
        <v>1012</v>
      </c>
      <c r="M483" s="44"/>
      <c r="N483" s="45" t="str">
        <f>_xlfn.IFNA(IF(VLOOKUP(tabPontoPed[[#This Row],[CÓDIGO]],Excluir_do_Estoque!$A$4:$A$4004,1,FALSE),"sim",""),"")</f>
        <v/>
      </c>
      <c r="O483" s="10" t="str">
        <f t="shared" si="7"/>
        <v>*</v>
      </c>
    </row>
    <row r="484" spans="1:15" x14ac:dyDescent="0.25">
      <c r="A484" s="2">
        <v>78643</v>
      </c>
      <c r="B484" s="4" t="s">
        <v>485</v>
      </c>
      <c r="C484" s="41" t="s">
        <v>1345</v>
      </c>
      <c r="D484" s="42">
        <v>45</v>
      </c>
      <c r="E484" s="43">
        <v>30</v>
      </c>
      <c r="F484" s="50" t="str">
        <f>VLOOKUP(tabPontoPed[[#This Row],[GRUPO]],tabGrupos[#Data],2,FALSE)</f>
        <v>MAQ., EQUIP., COMP., ACES., MAT. PARA ESCRIT.E ESCOLAR</v>
      </c>
      <c r="G484" s="42" t="str">
        <f>VLOOKUP(tabPontoPed[[#This Row],[GRUPO]],tabGrupos[#Data],3,FALSE)</f>
        <v>EDU</v>
      </c>
      <c r="H484" s="41" t="s">
        <v>1339</v>
      </c>
      <c r="I484" s="9">
        <v>4</v>
      </c>
      <c r="J484" s="51">
        <v>360</v>
      </c>
      <c r="K484" s="7">
        <f>tabPontoPed[[#This Row],[QTDMÊS]] * tabPontoPed[[#This Row],[MENSAL]]</f>
        <v>1440</v>
      </c>
      <c r="L484" s="13" t="s">
        <v>1012</v>
      </c>
      <c r="M484" s="44"/>
      <c r="N484" s="45" t="str">
        <f>_xlfn.IFNA(IF(VLOOKUP(tabPontoPed[[#This Row],[CÓDIGO]],Excluir_do_Estoque!$A$4:$A$4004,1,FALSE),"sim",""),"")</f>
        <v/>
      </c>
      <c r="O484" s="10" t="str">
        <f t="shared" si="7"/>
        <v>*</v>
      </c>
    </row>
    <row r="485" spans="1:15" x14ac:dyDescent="0.25">
      <c r="A485" s="2">
        <v>78646</v>
      </c>
      <c r="B485" s="4" t="s">
        <v>486</v>
      </c>
      <c r="C485" s="41" t="s">
        <v>1345</v>
      </c>
      <c r="D485" s="42">
        <v>45</v>
      </c>
      <c r="E485" s="43">
        <v>30</v>
      </c>
      <c r="F485" s="50" t="str">
        <f>VLOOKUP(tabPontoPed[[#This Row],[GRUPO]],tabGrupos[#Data],2,FALSE)</f>
        <v>MAQ., EQUIP., COMP., ACES., MAT. PARA ESCRIT.E ESCOLAR</v>
      </c>
      <c r="G485" s="42" t="str">
        <f>VLOOKUP(tabPontoPed[[#This Row],[GRUPO]],tabGrupos[#Data],3,FALSE)</f>
        <v>EDU</v>
      </c>
      <c r="H485" s="41" t="s">
        <v>1339</v>
      </c>
      <c r="I485" s="9">
        <v>4</v>
      </c>
      <c r="J485" s="51">
        <v>354</v>
      </c>
      <c r="K485" s="7">
        <f>tabPontoPed[[#This Row],[QTDMÊS]] * tabPontoPed[[#This Row],[MENSAL]]</f>
        <v>1416</v>
      </c>
      <c r="L485" s="13" t="s">
        <v>1012</v>
      </c>
      <c r="M485" s="44"/>
      <c r="N485" s="45" t="str">
        <f>_xlfn.IFNA(IF(VLOOKUP(tabPontoPed[[#This Row],[CÓDIGO]],Excluir_do_Estoque!$A$4:$A$4004,1,FALSE),"sim",""),"")</f>
        <v/>
      </c>
      <c r="O485" s="10" t="str">
        <f t="shared" si="7"/>
        <v>*</v>
      </c>
    </row>
    <row r="486" spans="1:15" x14ac:dyDescent="0.25">
      <c r="A486" s="2">
        <v>79635</v>
      </c>
      <c r="B486" s="4" t="s">
        <v>695</v>
      </c>
      <c r="C486" s="41" t="s">
        <v>1345</v>
      </c>
      <c r="D486" s="42">
        <v>55</v>
      </c>
      <c r="E486" s="43">
        <v>57</v>
      </c>
      <c r="F486" s="50" t="str">
        <f>VLOOKUP(tabPontoPed[[#This Row],[GRUPO]],tabGrupos[#Data],2,FALSE)</f>
        <v>EQUIP. MAT. P/ GERACAO, TRANSM. DISTR. RETIF...</v>
      </c>
      <c r="G486" s="42" t="str">
        <f>VLOOKUP(tabPontoPed[[#This Row],[GRUPO]],tabGrupos[#Data],3,FALSE)</f>
        <v>MEL</v>
      </c>
      <c r="H486" s="41" t="s">
        <v>1339</v>
      </c>
      <c r="I486" s="9">
        <v>4</v>
      </c>
      <c r="J486" s="51">
        <v>0</v>
      </c>
      <c r="K486" s="7">
        <f>tabPontoPed[[#This Row],[QTDMÊS]] * tabPontoPed[[#This Row],[MENSAL]]</f>
        <v>0</v>
      </c>
      <c r="L486" s="13" t="s">
        <v>1012</v>
      </c>
      <c r="M486" s="44"/>
      <c r="N486" s="45" t="str">
        <f>_xlfn.IFNA(IF(VLOOKUP(tabPontoPed[[#This Row],[CÓDIGO]],Excluir_do_Estoque!$A$4:$A$4004,1,FALSE),"sim",""),"")</f>
        <v/>
      </c>
      <c r="O486" s="10" t="str">
        <f t="shared" si="7"/>
        <v>*</v>
      </c>
    </row>
    <row r="487" spans="1:15" x14ac:dyDescent="0.25">
      <c r="A487" s="2">
        <v>79687</v>
      </c>
      <c r="B487" s="4" t="s">
        <v>446</v>
      </c>
      <c r="C487" s="41" t="s">
        <v>1345</v>
      </c>
      <c r="D487" s="42">
        <v>45</v>
      </c>
      <c r="E487" s="43">
        <v>11</v>
      </c>
      <c r="F487" s="50" t="str">
        <f>VLOOKUP(tabPontoPed[[#This Row],[GRUPO]],tabGrupos[#Data],2,FALSE)</f>
        <v>MAQ., EQUIP., COMP., ACES., MAT. PARA ESCRIT.E ESCOLAR</v>
      </c>
      <c r="G487" s="42" t="str">
        <f>VLOOKUP(tabPontoPed[[#This Row],[GRUPO]],tabGrupos[#Data],3,FALSE)</f>
        <v>EDU</v>
      </c>
      <c r="H487" s="41" t="s">
        <v>1339</v>
      </c>
      <c r="I487" s="9">
        <v>4</v>
      </c>
      <c r="J487" s="51">
        <v>368</v>
      </c>
      <c r="K487" s="7">
        <f>tabPontoPed[[#This Row],[QTDMÊS]] * tabPontoPed[[#This Row],[MENSAL]]</f>
        <v>1472</v>
      </c>
      <c r="L487" s="13" t="s">
        <v>1012</v>
      </c>
      <c r="M487" s="44"/>
      <c r="N487" s="45" t="str">
        <f>_xlfn.IFNA(IF(VLOOKUP(tabPontoPed[[#This Row],[CÓDIGO]],Excluir_do_Estoque!$A$4:$A$4004,1,FALSE),"sim",""),"")</f>
        <v/>
      </c>
      <c r="O487" s="10" t="str">
        <f t="shared" si="7"/>
        <v>*</v>
      </c>
    </row>
    <row r="488" spans="1:15" x14ac:dyDescent="0.25">
      <c r="A488" s="2">
        <v>79688</v>
      </c>
      <c r="B488" s="4" t="s">
        <v>447</v>
      </c>
      <c r="C488" s="41" t="s">
        <v>1345</v>
      </c>
      <c r="D488" s="42">
        <v>45</v>
      </c>
      <c r="E488" s="43">
        <v>11</v>
      </c>
      <c r="F488" s="50" t="str">
        <f>VLOOKUP(tabPontoPed[[#This Row],[GRUPO]],tabGrupos[#Data],2,FALSE)</f>
        <v>MAQ., EQUIP., COMP., ACES., MAT. PARA ESCRIT.E ESCOLAR</v>
      </c>
      <c r="G488" s="42" t="str">
        <f>VLOOKUP(tabPontoPed[[#This Row],[GRUPO]],tabGrupos[#Data],3,FALSE)</f>
        <v>EDU</v>
      </c>
      <c r="H488" s="41" t="s">
        <v>1339</v>
      </c>
      <c r="I488" s="9">
        <v>4</v>
      </c>
      <c r="J488" s="51">
        <v>410</v>
      </c>
      <c r="K488" s="7">
        <f>tabPontoPed[[#This Row],[QTDMÊS]] * tabPontoPed[[#This Row],[MENSAL]]</f>
        <v>1640</v>
      </c>
      <c r="L488" s="13" t="s">
        <v>1012</v>
      </c>
      <c r="M488" s="44"/>
      <c r="N488" s="45" t="str">
        <f>_xlfn.IFNA(IF(VLOOKUP(tabPontoPed[[#This Row],[CÓDIGO]],Excluir_do_Estoque!$A$4:$A$4004,1,FALSE),"sim",""),"")</f>
        <v/>
      </c>
      <c r="O488" s="10" t="str">
        <f t="shared" si="7"/>
        <v>*</v>
      </c>
    </row>
    <row r="489" spans="1:15" x14ac:dyDescent="0.25">
      <c r="A489" s="2">
        <v>80298</v>
      </c>
      <c r="B489" s="4" t="s">
        <v>216</v>
      </c>
      <c r="C489" s="41" t="s">
        <v>1345</v>
      </c>
      <c r="D489" s="42">
        <v>51</v>
      </c>
      <c r="E489" s="43">
        <v>30</v>
      </c>
      <c r="F489" s="50" t="str">
        <f>VLOOKUP(tabPontoPed[[#This Row],[GRUPO]],tabGrupos[#Data],2,FALSE)</f>
        <v>MAT.E EQUIP. P/ CONSTR.CIVIL E CONSERV. DE VIAS PUBL.</v>
      </c>
      <c r="G489" s="42" t="str">
        <f>VLOOKUP(tabPontoPed[[#This Row],[GRUPO]],tabGrupos[#Data],3,FALSE)</f>
        <v>MCO</v>
      </c>
      <c r="H489" s="41" t="s">
        <v>1339</v>
      </c>
      <c r="I489" s="9">
        <v>4</v>
      </c>
      <c r="J489" s="51">
        <v>1</v>
      </c>
      <c r="K489" s="7">
        <f>tabPontoPed[[#This Row],[QTDMÊS]] * tabPontoPed[[#This Row],[MENSAL]]</f>
        <v>4</v>
      </c>
      <c r="L489" s="13" t="s">
        <v>1012</v>
      </c>
      <c r="M489" s="44"/>
      <c r="N489" s="45" t="str">
        <f>_xlfn.IFNA(IF(VLOOKUP(tabPontoPed[[#This Row],[CÓDIGO]],Excluir_do_Estoque!$A$4:$A$4004,1,FALSE),"sim",""),"")</f>
        <v/>
      </c>
      <c r="O489" s="10" t="str">
        <f t="shared" si="7"/>
        <v>*</v>
      </c>
    </row>
    <row r="490" spans="1:15" x14ac:dyDescent="0.25">
      <c r="A490" s="2">
        <v>80300</v>
      </c>
      <c r="B490" s="4" t="s">
        <v>228</v>
      </c>
      <c r="C490" s="41" t="s">
        <v>1345</v>
      </c>
      <c r="D490" s="42">
        <v>74</v>
      </c>
      <c r="E490" s="43">
        <v>10</v>
      </c>
      <c r="F490" s="50" t="str">
        <f>VLOOKUP(tabPontoPed[[#This Row],[GRUPO]],tabGrupos[#Data],2,FALSE)</f>
        <v>MADEIRAS,LAMINADOS,COMPENSADOS E AGLOMERADOS</v>
      </c>
      <c r="G490" s="42" t="str">
        <f>VLOOKUP(tabPontoPed[[#This Row],[GRUPO]],tabGrupos[#Data],3,FALSE)</f>
        <v>MCO</v>
      </c>
      <c r="H490" s="41" t="s">
        <v>1339</v>
      </c>
      <c r="I490" s="9">
        <v>4</v>
      </c>
      <c r="J490" s="51">
        <v>6</v>
      </c>
      <c r="K490" s="7">
        <f>tabPontoPed[[#This Row],[QTDMÊS]] * tabPontoPed[[#This Row],[MENSAL]]</f>
        <v>24</v>
      </c>
      <c r="L490" s="13" t="s">
        <v>1012</v>
      </c>
      <c r="M490" s="44"/>
      <c r="N490" s="45" t="str">
        <f>_xlfn.IFNA(IF(VLOOKUP(tabPontoPed[[#This Row],[CÓDIGO]],Excluir_do_Estoque!$A$4:$A$4004,1,FALSE),"sim",""),"")</f>
        <v/>
      </c>
      <c r="O490" s="10" t="str">
        <f t="shared" si="7"/>
        <v>*</v>
      </c>
    </row>
    <row r="491" spans="1:15" x14ac:dyDescent="0.25">
      <c r="A491" s="2">
        <v>80384</v>
      </c>
      <c r="B491" s="4" t="s">
        <v>567</v>
      </c>
      <c r="C491" s="41" t="s">
        <v>1345</v>
      </c>
      <c r="D491" s="42">
        <v>51</v>
      </c>
      <c r="E491" s="43">
        <v>42</v>
      </c>
      <c r="F491" s="50" t="str">
        <f>VLOOKUP(tabPontoPed[[#This Row],[GRUPO]],tabGrupos[#Data],2,FALSE)</f>
        <v>MAT.E EQUIP. P/ CONSTR.CIVIL E CONSERV. DE VIAS PUBL.</v>
      </c>
      <c r="G491" s="42" t="str">
        <f>VLOOKUP(tabPontoPed[[#This Row],[GRUPO]],tabGrupos[#Data],3,FALSE)</f>
        <v>MCO</v>
      </c>
      <c r="H491" s="41" t="s">
        <v>1339</v>
      </c>
      <c r="I491" s="9">
        <v>4</v>
      </c>
      <c r="J491" s="51">
        <v>3</v>
      </c>
      <c r="K491" s="7">
        <f>tabPontoPed[[#This Row],[QTDMÊS]] * tabPontoPed[[#This Row],[MENSAL]]</f>
        <v>12</v>
      </c>
      <c r="L491" s="13" t="s">
        <v>1012</v>
      </c>
      <c r="M491" s="44"/>
      <c r="N491" s="45" t="str">
        <f>_xlfn.IFNA(IF(VLOOKUP(tabPontoPed[[#This Row],[CÓDIGO]],Excluir_do_Estoque!$A$4:$A$4004,1,FALSE),"sim",""),"")</f>
        <v/>
      </c>
      <c r="O491" s="10" t="str">
        <f t="shared" si="7"/>
        <v>*</v>
      </c>
    </row>
    <row r="492" spans="1:15" x14ac:dyDescent="0.25">
      <c r="A492" s="2">
        <v>80385</v>
      </c>
      <c r="B492" s="4" t="s">
        <v>322</v>
      </c>
      <c r="C492" s="41" t="s">
        <v>1345</v>
      </c>
      <c r="D492" s="42">
        <v>61</v>
      </c>
      <c r="E492" s="43">
        <v>15</v>
      </c>
      <c r="F492" s="50" t="str">
        <f>VLOOKUP(tabPontoPed[[#This Row],[GRUPO]],tabGrupos[#Data],2,FALSE)</f>
        <v>MATERIAL HIDRAULICO, CANOS, TUBOS, MANGUEIRAS, CONEXOES E ACESS.</v>
      </c>
      <c r="G492" s="42" t="str">
        <f>VLOOKUP(tabPontoPed[[#This Row],[GRUPO]],tabGrupos[#Data],3,FALSE)</f>
        <v>MHI</v>
      </c>
      <c r="H492" s="41" t="s">
        <v>1339</v>
      </c>
      <c r="I492" s="9">
        <v>4</v>
      </c>
      <c r="J492" s="51">
        <v>1</v>
      </c>
      <c r="K492" s="7">
        <f>tabPontoPed[[#This Row],[QTDMÊS]] * tabPontoPed[[#This Row],[MENSAL]]</f>
        <v>4</v>
      </c>
      <c r="L492" s="13" t="s">
        <v>1012</v>
      </c>
      <c r="M492" s="44"/>
      <c r="N492" s="45" t="str">
        <f>_xlfn.IFNA(IF(VLOOKUP(tabPontoPed[[#This Row],[CÓDIGO]],Excluir_do_Estoque!$A$4:$A$4004,1,FALSE),"sim",""),"")</f>
        <v/>
      </c>
      <c r="O492" s="10" t="str">
        <f t="shared" si="7"/>
        <v>*</v>
      </c>
    </row>
    <row r="493" spans="1:15" x14ac:dyDescent="0.25">
      <c r="A493" s="2">
        <v>80387</v>
      </c>
      <c r="B493" s="4" t="s">
        <v>170</v>
      </c>
      <c r="C493" s="41" t="s">
        <v>1345</v>
      </c>
      <c r="D493" s="42">
        <v>83</v>
      </c>
      <c r="E493" s="43">
        <v>4</v>
      </c>
      <c r="F493" s="50" t="str">
        <f>VLOOKUP(tabPontoPed[[#This Row],[GRUPO]],tabGrupos[#Data],2,FALSE)</f>
        <v>ABRASIVOS</v>
      </c>
      <c r="G493" s="42" t="str">
        <f>VLOOKUP(tabPontoPed[[#This Row],[GRUPO]],tabGrupos[#Data],3,FALSE)</f>
        <v>MAN</v>
      </c>
      <c r="H493" s="41" t="s">
        <v>1339</v>
      </c>
      <c r="I493" s="9">
        <v>4</v>
      </c>
      <c r="J493" s="51">
        <v>31</v>
      </c>
      <c r="K493" s="7">
        <f>tabPontoPed[[#This Row],[QTDMÊS]] * tabPontoPed[[#This Row],[MENSAL]]</f>
        <v>124</v>
      </c>
      <c r="L493" s="13" t="s">
        <v>1012</v>
      </c>
      <c r="M493" s="44"/>
      <c r="N493" s="45" t="str">
        <f>_xlfn.IFNA(IF(VLOOKUP(tabPontoPed[[#This Row],[CÓDIGO]],Excluir_do_Estoque!$A$4:$A$4004,1,FALSE),"sim",""),"")</f>
        <v/>
      </c>
      <c r="O493" s="10" t="str">
        <f t="shared" si="7"/>
        <v>*</v>
      </c>
    </row>
    <row r="494" spans="1:15" x14ac:dyDescent="0.25">
      <c r="A494" s="2">
        <v>80390</v>
      </c>
      <c r="B494" s="4" t="s">
        <v>328</v>
      </c>
      <c r="C494" s="41" t="s">
        <v>1345</v>
      </c>
      <c r="D494" s="42">
        <v>61</v>
      </c>
      <c r="E494" s="43">
        <v>15</v>
      </c>
      <c r="F494" s="50" t="str">
        <f>VLOOKUP(tabPontoPed[[#This Row],[GRUPO]],tabGrupos[#Data],2,FALSE)</f>
        <v>MATERIAL HIDRAULICO, CANOS, TUBOS, MANGUEIRAS, CONEXOES E ACESS.</v>
      </c>
      <c r="G494" s="42" t="str">
        <f>VLOOKUP(tabPontoPed[[#This Row],[GRUPO]],tabGrupos[#Data],3,FALSE)</f>
        <v>MHI</v>
      </c>
      <c r="H494" s="41" t="s">
        <v>1339</v>
      </c>
      <c r="I494" s="9">
        <v>4</v>
      </c>
      <c r="J494" s="51">
        <v>4</v>
      </c>
      <c r="K494" s="7">
        <f>tabPontoPed[[#This Row],[QTDMÊS]] * tabPontoPed[[#This Row],[MENSAL]]</f>
        <v>16</v>
      </c>
      <c r="L494" s="13" t="s">
        <v>1012</v>
      </c>
      <c r="M494" s="44"/>
      <c r="N494" s="45" t="str">
        <f>_xlfn.IFNA(IF(VLOOKUP(tabPontoPed[[#This Row],[CÓDIGO]],Excluir_do_Estoque!$A$4:$A$4004,1,FALSE),"sim",""),"")</f>
        <v/>
      </c>
      <c r="O494" s="10" t="str">
        <f t="shared" si="7"/>
        <v>*</v>
      </c>
    </row>
    <row r="495" spans="1:15" x14ac:dyDescent="0.25">
      <c r="A495" s="2">
        <v>80650</v>
      </c>
      <c r="B495" s="4" t="s">
        <v>37</v>
      </c>
      <c r="C495" s="41" t="s">
        <v>1345</v>
      </c>
      <c r="D495" s="42">
        <v>55</v>
      </c>
      <c r="E495" s="43">
        <v>46</v>
      </c>
      <c r="F495" s="50" t="str">
        <f>VLOOKUP(tabPontoPed[[#This Row],[GRUPO]],tabGrupos[#Data],2,FALSE)</f>
        <v>EQUIP. MAT. P/ GERACAO, TRANSM. DISTR. RETIF...</v>
      </c>
      <c r="G495" s="42" t="str">
        <f>VLOOKUP(tabPontoPed[[#This Row],[GRUPO]],tabGrupos[#Data],3,FALSE)</f>
        <v>MEL</v>
      </c>
      <c r="H495" s="41" t="s">
        <v>1339</v>
      </c>
      <c r="I495" s="9">
        <v>4</v>
      </c>
      <c r="J495" s="51">
        <v>0</v>
      </c>
      <c r="K495" s="7">
        <f>tabPontoPed[[#This Row],[QTDMÊS]] * tabPontoPed[[#This Row],[MENSAL]]</f>
        <v>0</v>
      </c>
      <c r="L495" s="13" t="s">
        <v>1012</v>
      </c>
      <c r="M495" s="44"/>
      <c r="N495" s="45" t="str">
        <f>_xlfn.IFNA(IF(VLOOKUP(tabPontoPed[[#This Row],[CÓDIGO]],Excluir_do_Estoque!$A$4:$A$4004,1,FALSE),"sim",""),"")</f>
        <v/>
      </c>
      <c r="O495" s="10" t="str">
        <f t="shared" si="7"/>
        <v>*</v>
      </c>
    </row>
    <row r="496" spans="1:15" x14ac:dyDescent="0.25">
      <c r="A496" s="2">
        <v>80872</v>
      </c>
      <c r="B496" s="4" t="s">
        <v>487</v>
      </c>
      <c r="C496" s="41" t="s">
        <v>1345</v>
      </c>
      <c r="D496" s="42">
        <v>45</v>
      </c>
      <c r="E496" s="43">
        <v>30</v>
      </c>
      <c r="F496" s="50" t="str">
        <f>VLOOKUP(tabPontoPed[[#This Row],[GRUPO]],tabGrupos[#Data],2,FALSE)</f>
        <v>MAQ., EQUIP., COMP., ACES., MAT. PARA ESCRIT.E ESCOLAR</v>
      </c>
      <c r="G496" s="42" t="str">
        <f>VLOOKUP(tabPontoPed[[#This Row],[GRUPO]],tabGrupos[#Data],3,FALSE)</f>
        <v>EDU</v>
      </c>
      <c r="H496" s="41" t="s">
        <v>1339</v>
      </c>
      <c r="I496" s="9">
        <v>4</v>
      </c>
      <c r="J496" s="51">
        <v>362</v>
      </c>
      <c r="K496" s="7">
        <f>tabPontoPed[[#This Row],[QTDMÊS]] * tabPontoPed[[#This Row],[MENSAL]]</f>
        <v>1448</v>
      </c>
      <c r="L496" s="13" t="s">
        <v>1012</v>
      </c>
      <c r="M496" s="44"/>
      <c r="N496" s="45" t="str">
        <f>_xlfn.IFNA(IF(VLOOKUP(tabPontoPed[[#This Row],[CÓDIGO]],Excluir_do_Estoque!$A$4:$A$4004,1,FALSE),"sim",""),"")</f>
        <v/>
      </c>
      <c r="O496" s="10" t="str">
        <f t="shared" si="7"/>
        <v>*</v>
      </c>
    </row>
    <row r="497" spans="1:15" x14ac:dyDescent="0.25">
      <c r="A497" s="2">
        <v>80874</v>
      </c>
      <c r="B497" s="4" t="s">
        <v>488</v>
      </c>
      <c r="C497" s="41" t="s">
        <v>1345</v>
      </c>
      <c r="D497" s="42">
        <v>45</v>
      </c>
      <c r="E497" s="43">
        <v>30</v>
      </c>
      <c r="F497" s="50" t="str">
        <f>VLOOKUP(tabPontoPed[[#This Row],[GRUPO]],tabGrupos[#Data],2,FALSE)</f>
        <v>MAQ., EQUIP., COMP., ACES., MAT. PARA ESCRIT.E ESCOLAR</v>
      </c>
      <c r="G497" s="42" t="str">
        <f>VLOOKUP(tabPontoPed[[#This Row],[GRUPO]],tabGrupos[#Data],3,FALSE)</f>
        <v>EDU</v>
      </c>
      <c r="H497" s="41" t="s">
        <v>1339</v>
      </c>
      <c r="I497" s="9">
        <v>4</v>
      </c>
      <c r="J497" s="51">
        <v>368</v>
      </c>
      <c r="K497" s="7">
        <f>tabPontoPed[[#This Row],[QTDMÊS]] * tabPontoPed[[#This Row],[MENSAL]]</f>
        <v>1472</v>
      </c>
      <c r="L497" s="13" t="s">
        <v>1012</v>
      </c>
      <c r="M497" s="44"/>
      <c r="N497" s="45" t="str">
        <f>_xlfn.IFNA(IF(VLOOKUP(tabPontoPed[[#This Row],[CÓDIGO]],Excluir_do_Estoque!$A$4:$A$4004,1,FALSE),"sim",""),"")</f>
        <v/>
      </c>
      <c r="O497" s="10" t="str">
        <f t="shared" si="7"/>
        <v>*</v>
      </c>
    </row>
    <row r="498" spans="1:15" x14ac:dyDescent="0.25">
      <c r="A498" s="2">
        <v>81131</v>
      </c>
      <c r="B498" s="4" t="s">
        <v>195</v>
      </c>
      <c r="C498" s="41" t="s">
        <v>1345</v>
      </c>
      <c r="D498" s="42">
        <v>72</v>
      </c>
      <c r="E498" s="43">
        <v>6</v>
      </c>
      <c r="F498" s="50" t="str">
        <f>VLOOKUP(tabPontoPed[[#This Row],[GRUPO]],tabGrupos[#Data],2,FALSE)</f>
        <v>MAQ.EQUIP.E MATERIAIS P/ HIGIEN.LIMP.POLIM.E LUBR.</v>
      </c>
      <c r="G498" s="42" t="str">
        <f>VLOOKUP(tabPontoPed[[#This Row],[GRUPO]],tabGrupos[#Data],3,FALSE)</f>
        <v>ADM</v>
      </c>
      <c r="H498" s="41" t="s">
        <v>1339</v>
      </c>
      <c r="I498" s="9">
        <v>4</v>
      </c>
      <c r="J498" s="51">
        <v>28</v>
      </c>
      <c r="K498" s="7">
        <f>tabPontoPed[[#This Row],[QTDMÊS]] * tabPontoPed[[#This Row],[MENSAL]]</f>
        <v>112</v>
      </c>
      <c r="L498" s="13" t="s">
        <v>1012</v>
      </c>
      <c r="M498" s="44"/>
      <c r="N498" s="45" t="str">
        <f>_xlfn.IFNA(IF(VLOOKUP(tabPontoPed[[#This Row],[CÓDIGO]],Excluir_do_Estoque!$A$4:$A$4004,1,FALSE),"sim",""),"")</f>
        <v/>
      </c>
      <c r="O498" s="10" t="str">
        <f t="shared" si="7"/>
        <v>*</v>
      </c>
    </row>
    <row r="499" spans="1:15" x14ac:dyDescent="0.25">
      <c r="A499" s="2">
        <v>81152</v>
      </c>
      <c r="B499" s="4" t="s">
        <v>943</v>
      </c>
      <c r="C499" s="41" t="s">
        <v>1345</v>
      </c>
      <c r="D499" s="42">
        <v>73</v>
      </c>
      <c r="E499" s="43">
        <v>1</v>
      </c>
      <c r="F499" s="50" t="str">
        <f>VLOOKUP(tabPontoPed[[#This Row],[GRUPO]],tabGrupos[#Data],2,FALSE)</f>
        <v>EMBALAG., RECIP., ACESSOR., EQUIP., MATER. P/ACONDICIO</v>
      </c>
      <c r="G499" s="42" t="str">
        <f>VLOOKUP(tabPontoPed[[#This Row],[GRUPO]],tabGrupos[#Data],3,FALSE)</f>
        <v>EDU</v>
      </c>
      <c r="H499" s="41" t="s">
        <v>1339</v>
      </c>
      <c r="I499" s="9">
        <v>4</v>
      </c>
      <c r="J499" s="51">
        <v>98</v>
      </c>
      <c r="K499" s="7">
        <f>tabPontoPed[[#This Row],[QTDMÊS]] * tabPontoPed[[#This Row],[MENSAL]]</f>
        <v>392</v>
      </c>
      <c r="L499" s="13" t="s">
        <v>1012</v>
      </c>
      <c r="M499" s="44"/>
      <c r="N499" s="45" t="str">
        <f>_xlfn.IFNA(IF(VLOOKUP(tabPontoPed[[#This Row],[CÓDIGO]],Excluir_do_Estoque!$A$4:$A$4004,1,FALSE),"sim",""),"")</f>
        <v/>
      </c>
      <c r="O499" s="10" t="str">
        <f t="shared" si="7"/>
        <v>*</v>
      </c>
    </row>
    <row r="500" spans="1:15" x14ac:dyDescent="0.25">
      <c r="A500" s="2">
        <v>81370</v>
      </c>
      <c r="B500" s="4" t="s">
        <v>926</v>
      </c>
      <c r="C500" s="41" t="s">
        <v>1345</v>
      </c>
      <c r="D500" s="42">
        <v>71</v>
      </c>
      <c r="E500" s="43">
        <v>33</v>
      </c>
      <c r="F500" s="50" t="str">
        <f>VLOOKUP(tabPontoPed[[#This Row],[GRUPO]],tabGrupos[#Data],2,FALSE)</f>
        <v>GENEROS ALIMENTICIOS E BEBIDAS</v>
      </c>
      <c r="G500" s="42" t="str">
        <f>VLOOKUP(tabPontoPed[[#This Row],[GRUPO]],tabGrupos[#Data],3,FALSE)</f>
        <v>EDU</v>
      </c>
      <c r="H500" s="41" t="s">
        <v>1339</v>
      </c>
      <c r="I500" s="9">
        <v>4</v>
      </c>
      <c r="J500" s="51">
        <v>92</v>
      </c>
      <c r="K500" s="7">
        <f>tabPontoPed[[#This Row],[QTDMÊS]] * tabPontoPed[[#This Row],[MENSAL]]</f>
        <v>368</v>
      </c>
      <c r="L500" s="13" t="s">
        <v>1012</v>
      </c>
      <c r="M500" s="44"/>
      <c r="N500" s="45" t="str">
        <f>_xlfn.IFNA(IF(VLOOKUP(tabPontoPed[[#This Row],[CÓDIGO]],Excluir_do_Estoque!$A$4:$A$4004,1,FALSE),"sim",""),"")</f>
        <v/>
      </c>
      <c r="O500" s="10" t="str">
        <f t="shared" si="7"/>
        <v>*</v>
      </c>
    </row>
    <row r="501" spans="1:15" x14ac:dyDescent="0.25">
      <c r="A501" s="2">
        <v>81371</v>
      </c>
      <c r="B501" s="4" t="s">
        <v>927</v>
      </c>
      <c r="C501" s="41" t="s">
        <v>1345</v>
      </c>
      <c r="D501" s="42">
        <v>71</v>
      </c>
      <c r="E501" s="43">
        <v>33</v>
      </c>
      <c r="F501" s="50" t="str">
        <f>VLOOKUP(tabPontoPed[[#This Row],[GRUPO]],tabGrupos[#Data],2,FALSE)</f>
        <v>GENEROS ALIMENTICIOS E BEBIDAS</v>
      </c>
      <c r="G501" s="42" t="str">
        <f>VLOOKUP(tabPontoPed[[#This Row],[GRUPO]],tabGrupos[#Data],3,FALSE)</f>
        <v>EDU</v>
      </c>
      <c r="H501" s="41" t="s">
        <v>1339</v>
      </c>
      <c r="I501" s="9">
        <v>4</v>
      </c>
      <c r="J501" s="51">
        <v>95</v>
      </c>
      <c r="K501" s="7">
        <f>tabPontoPed[[#This Row],[QTDMÊS]] * tabPontoPed[[#This Row],[MENSAL]]</f>
        <v>380</v>
      </c>
      <c r="L501" s="13" t="s">
        <v>1012</v>
      </c>
      <c r="M501" s="44"/>
      <c r="N501" s="45" t="str">
        <f>_xlfn.IFNA(IF(VLOOKUP(tabPontoPed[[#This Row],[CÓDIGO]],Excluir_do_Estoque!$A$4:$A$4004,1,FALSE),"sim",""),"")</f>
        <v/>
      </c>
      <c r="O501" s="10" t="str">
        <f t="shared" si="7"/>
        <v>*</v>
      </c>
    </row>
    <row r="502" spans="1:15" x14ac:dyDescent="0.25">
      <c r="A502" s="2">
        <v>81455</v>
      </c>
      <c r="B502" s="4" t="s">
        <v>991</v>
      </c>
      <c r="C502" s="41" t="s">
        <v>1345</v>
      </c>
      <c r="D502" s="42">
        <v>83</v>
      </c>
      <c r="E502" s="43">
        <v>4</v>
      </c>
      <c r="F502" s="50" t="str">
        <f>VLOOKUP(tabPontoPed[[#This Row],[GRUPO]],tabGrupos[#Data],2,FALSE)</f>
        <v>ABRASIVOS</v>
      </c>
      <c r="G502" s="42" t="str">
        <f>VLOOKUP(tabPontoPed[[#This Row],[GRUPO]],tabGrupos[#Data],3,FALSE)</f>
        <v>MAN</v>
      </c>
      <c r="H502" s="41" t="s">
        <v>1339</v>
      </c>
      <c r="I502" s="9">
        <v>4</v>
      </c>
      <c r="J502" s="51">
        <v>36</v>
      </c>
      <c r="K502" s="7">
        <f>tabPontoPed[[#This Row],[QTDMÊS]] * tabPontoPed[[#This Row],[MENSAL]]</f>
        <v>144</v>
      </c>
      <c r="L502" s="13" t="s">
        <v>1012</v>
      </c>
      <c r="M502" s="44"/>
      <c r="N502" s="45" t="str">
        <f>_xlfn.IFNA(IF(VLOOKUP(tabPontoPed[[#This Row],[CÓDIGO]],Excluir_do_Estoque!$A$4:$A$4004,1,FALSE),"sim",""),"")</f>
        <v/>
      </c>
      <c r="O502" s="10" t="str">
        <f t="shared" si="7"/>
        <v>*</v>
      </c>
    </row>
    <row r="503" spans="1:15" x14ac:dyDescent="0.25">
      <c r="A503" s="2">
        <v>81493</v>
      </c>
      <c r="B503" s="4" t="s">
        <v>961</v>
      </c>
      <c r="C503" s="41" t="s">
        <v>1345</v>
      </c>
      <c r="D503" s="42">
        <v>76</v>
      </c>
      <c r="E503" s="43">
        <v>6</v>
      </c>
      <c r="F503" s="50" t="str">
        <f>VLOOKUP(tabPontoPed[[#This Row],[GRUPO]],tabGrupos[#Data],2,FALSE)</f>
        <v>EQUIP. E MATERIAIS P/PINTURAS E IMPERMEABILIZACAO</v>
      </c>
      <c r="G503" s="42" t="str">
        <f>VLOOKUP(tabPontoPed[[#This Row],[GRUPO]],tabGrupos[#Data],3,FALSE)</f>
        <v>MPI</v>
      </c>
      <c r="H503" s="41" t="s">
        <v>1339</v>
      </c>
      <c r="I503" s="9">
        <v>4</v>
      </c>
      <c r="J503" s="51">
        <v>5</v>
      </c>
      <c r="K503" s="7">
        <f>tabPontoPed[[#This Row],[QTDMÊS]] * tabPontoPed[[#This Row],[MENSAL]]</f>
        <v>20</v>
      </c>
      <c r="L503" s="13" t="s">
        <v>1012</v>
      </c>
      <c r="M503" s="44"/>
      <c r="N503" s="45" t="str">
        <f>_xlfn.IFNA(IF(VLOOKUP(tabPontoPed[[#This Row],[CÓDIGO]],Excluir_do_Estoque!$A$4:$A$4004,1,FALSE),"sim",""),"")</f>
        <v/>
      </c>
      <c r="O503" s="10" t="str">
        <f t="shared" si="7"/>
        <v>*</v>
      </c>
    </row>
    <row r="504" spans="1:15" x14ac:dyDescent="0.25">
      <c r="A504" s="2">
        <v>81514</v>
      </c>
      <c r="B504" s="4" t="s">
        <v>865</v>
      </c>
      <c r="C504" s="41" t="s">
        <v>1345</v>
      </c>
      <c r="D504" s="42">
        <v>67</v>
      </c>
      <c r="E504" s="43">
        <v>15</v>
      </c>
      <c r="F504" s="50" t="str">
        <f>VLOOKUP(tabPontoPed[[#This Row],[GRUPO]],tabGrupos[#Data],2,FALSE)</f>
        <v>PARAFUSOS ELEM. VEDACAO UNIAO CONEX . FIXACAO</v>
      </c>
      <c r="G504" s="42" t="str">
        <f>VLOOKUP(tabPontoPed[[#This Row],[GRUPO]],tabGrupos[#Data],3,FALSE)</f>
        <v>MSE</v>
      </c>
      <c r="H504" s="41" t="s">
        <v>1339</v>
      </c>
      <c r="I504" s="9">
        <v>4</v>
      </c>
      <c r="J504" s="51">
        <v>5767</v>
      </c>
      <c r="K504" s="7">
        <f>tabPontoPed[[#This Row],[QTDMÊS]] * tabPontoPed[[#This Row],[MENSAL]]</f>
        <v>23068</v>
      </c>
      <c r="L504" s="13" t="s">
        <v>1012</v>
      </c>
      <c r="M504" s="44"/>
      <c r="N504" s="45" t="str">
        <f>_xlfn.IFNA(IF(VLOOKUP(tabPontoPed[[#This Row],[CÓDIGO]],Excluir_do_Estoque!$A$4:$A$4004,1,FALSE),"sim",""),"")</f>
        <v/>
      </c>
      <c r="O504" s="10" t="str">
        <f t="shared" si="7"/>
        <v>*</v>
      </c>
    </row>
    <row r="505" spans="1:15" x14ac:dyDescent="0.25">
      <c r="A505" s="2">
        <v>81563</v>
      </c>
      <c r="B505" s="4" t="s">
        <v>795</v>
      </c>
      <c r="C505" s="41" t="s">
        <v>1345</v>
      </c>
      <c r="D505" s="42">
        <v>61</v>
      </c>
      <c r="E505" s="43">
        <v>15</v>
      </c>
      <c r="F505" s="50" t="str">
        <f>VLOOKUP(tabPontoPed[[#This Row],[GRUPO]],tabGrupos[#Data],2,FALSE)</f>
        <v>MATERIAL HIDRAULICO, CANOS, TUBOS, MANGUEIRAS, CONEXOES E ACESS.</v>
      </c>
      <c r="G505" s="42" t="str">
        <f>VLOOKUP(tabPontoPed[[#This Row],[GRUPO]],tabGrupos[#Data],3,FALSE)</f>
        <v>MHI</v>
      </c>
      <c r="H505" s="41" t="s">
        <v>1339</v>
      </c>
      <c r="I505" s="9">
        <v>4</v>
      </c>
      <c r="J505" s="51">
        <v>1</v>
      </c>
      <c r="K505" s="7">
        <f>tabPontoPed[[#This Row],[QTDMÊS]] * tabPontoPed[[#This Row],[MENSAL]]</f>
        <v>4</v>
      </c>
      <c r="L505" s="13" t="s">
        <v>1012</v>
      </c>
      <c r="M505" s="44"/>
      <c r="N505" s="45" t="str">
        <f>_xlfn.IFNA(IF(VLOOKUP(tabPontoPed[[#This Row],[CÓDIGO]],Excluir_do_Estoque!$A$4:$A$4004,1,FALSE),"sim",""),"")</f>
        <v/>
      </c>
      <c r="O505" s="10" t="str">
        <f t="shared" si="7"/>
        <v>*</v>
      </c>
    </row>
    <row r="506" spans="1:15" x14ac:dyDescent="0.25">
      <c r="A506" s="2">
        <v>81564</v>
      </c>
      <c r="B506" s="4" t="s">
        <v>796</v>
      </c>
      <c r="C506" s="41" t="s">
        <v>1345</v>
      </c>
      <c r="D506" s="42">
        <v>61</v>
      </c>
      <c r="E506" s="43">
        <v>15</v>
      </c>
      <c r="F506" s="50" t="str">
        <f>VLOOKUP(tabPontoPed[[#This Row],[GRUPO]],tabGrupos[#Data],2,FALSE)</f>
        <v>MATERIAL HIDRAULICO, CANOS, TUBOS, MANGUEIRAS, CONEXOES E ACESS.</v>
      </c>
      <c r="G506" s="42" t="str">
        <f>VLOOKUP(tabPontoPed[[#This Row],[GRUPO]],tabGrupos[#Data],3,FALSE)</f>
        <v>MHI</v>
      </c>
      <c r="H506" s="41" t="s">
        <v>1339</v>
      </c>
      <c r="I506" s="9">
        <v>4</v>
      </c>
      <c r="J506" s="51">
        <v>1</v>
      </c>
      <c r="K506" s="7">
        <f>tabPontoPed[[#This Row],[QTDMÊS]] * tabPontoPed[[#This Row],[MENSAL]]</f>
        <v>4</v>
      </c>
      <c r="L506" s="13" t="s">
        <v>1012</v>
      </c>
      <c r="M506" s="44"/>
      <c r="N506" s="45" t="str">
        <f>_xlfn.IFNA(IF(VLOOKUP(tabPontoPed[[#This Row],[CÓDIGO]],Excluir_do_Estoque!$A$4:$A$4004,1,FALSE),"sim",""),"")</f>
        <v/>
      </c>
      <c r="O506" s="10" t="str">
        <f t="shared" si="7"/>
        <v>*</v>
      </c>
    </row>
    <row r="507" spans="1:15" x14ac:dyDescent="0.25">
      <c r="A507" s="2">
        <v>81565</v>
      </c>
      <c r="B507" s="4" t="s">
        <v>797</v>
      </c>
      <c r="C507" s="41" t="s">
        <v>1345</v>
      </c>
      <c r="D507" s="42">
        <v>61</v>
      </c>
      <c r="E507" s="43">
        <v>15</v>
      </c>
      <c r="F507" s="50" t="str">
        <f>VLOOKUP(tabPontoPed[[#This Row],[GRUPO]],tabGrupos[#Data],2,FALSE)</f>
        <v>MATERIAL HIDRAULICO, CANOS, TUBOS, MANGUEIRAS, CONEXOES E ACESS.</v>
      </c>
      <c r="G507" s="42" t="str">
        <f>VLOOKUP(tabPontoPed[[#This Row],[GRUPO]],tabGrupos[#Data],3,FALSE)</f>
        <v>MHI</v>
      </c>
      <c r="H507" s="41" t="s">
        <v>1339</v>
      </c>
      <c r="I507" s="9">
        <v>4</v>
      </c>
      <c r="J507" s="51">
        <v>1</v>
      </c>
      <c r="K507" s="7">
        <f>tabPontoPed[[#This Row],[QTDMÊS]] * tabPontoPed[[#This Row],[MENSAL]]</f>
        <v>4</v>
      </c>
      <c r="L507" s="13" t="s">
        <v>1012</v>
      </c>
      <c r="M507" s="44"/>
      <c r="N507" s="45" t="str">
        <f>_xlfn.IFNA(IF(VLOOKUP(tabPontoPed[[#This Row],[CÓDIGO]],Excluir_do_Estoque!$A$4:$A$4004,1,FALSE),"sim",""),"")</f>
        <v/>
      </c>
      <c r="O507" s="10" t="str">
        <f t="shared" si="7"/>
        <v>*</v>
      </c>
    </row>
    <row r="508" spans="1:15" x14ac:dyDescent="0.25">
      <c r="A508" s="2">
        <v>81566</v>
      </c>
      <c r="B508" s="4" t="s">
        <v>323</v>
      </c>
      <c r="C508" s="41" t="s">
        <v>1345</v>
      </c>
      <c r="D508" s="42">
        <v>61</v>
      </c>
      <c r="E508" s="43">
        <v>15</v>
      </c>
      <c r="F508" s="50" t="str">
        <f>VLOOKUP(tabPontoPed[[#This Row],[GRUPO]],tabGrupos[#Data],2,FALSE)</f>
        <v>MATERIAL HIDRAULICO, CANOS, TUBOS, MANGUEIRAS, CONEXOES E ACESS.</v>
      </c>
      <c r="G508" s="42" t="str">
        <f>VLOOKUP(tabPontoPed[[#This Row],[GRUPO]],tabGrupos[#Data],3,FALSE)</f>
        <v>MHI</v>
      </c>
      <c r="H508" s="41" t="s">
        <v>1339</v>
      </c>
      <c r="I508" s="9">
        <v>4</v>
      </c>
      <c r="J508" s="51">
        <v>29</v>
      </c>
      <c r="K508" s="7">
        <f>tabPontoPed[[#This Row],[QTDMÊS]] * tabPontoPed[[#This Row],[MENSAL]]</f>
        <v>116</v>
      </c>
      <c r="L508" s="13" t="s">
        <v>1012</v>
      </c>
      <c r="M508" s="44"/>
      <c r="N508" s="45" t="str">
        <f>_xlfn.IFNA(IF(VLOOKUP(tabPontoPed[[#This Row],[CÓDIGO]],Excluir_do_Estoque!$A$4:$A$4004,1,FALSE),"sim",""),"")</f>
        <v/>
      </c>
      <c r="O508" s="10" t="str">
        <f t="shared" si="7"/>
        <v>*</v>
      </c>
    </row>
    <row r="509" spans="1:15" x14ac:dyDescent="0.25">
      <c r="A509" s="2">
        <v>81807</v>
      </c>
      <c r="B509" s="4" t="s">
        <v>329</v>
      </c>
      <c r="C509" s="41" t="s">
        <v>1345</v>
      </c>
      <c r="D509" s="42">
        <v>61</v>
      </c>
      <c r="E509" s="43">
        <v>15</v>
      </c>
      <c r="F509" s="50" t="str">
        <f>VLOOKUP(tabPontoPed[[#This Row],[GRUPO]],tabGrupos[#Data],2,FALSE)</f>
        <v>MATERIAL HIDRAULICO, CANOS, TUBOS, MANGUEIRAS, CONEXOES E ACESS.</v>
      </c>
      <c r="G509" s="42" t="str">
        <f>VLOOKUP(tabPontoPed[[#This Row],[GRUPO]],tabGrupos[#Data],3,FALSE)</f>
        <v>MHI</v>
      </c>
      <c r="H509" s="41" t="s">
        <v>1339</v>
      </c>
      <c r="I509" s="9">
        <v>4</v>
      </c>
      <c r="J509" s="51">
        <v>1</v>
      </c>
      <c r="K509" s="7">
        <f>tabPontoPed[[#This Row],[QTDMÊS]] * tabPontoPed[[#This Row],[MENSAL]]</f>
        <v>4</v>
      </c>
      <c r="L509" s="13" t="s">
        <v>1012</v>
      </c>
      <c r="M509" s="44"/>
      <c r="N509" s="45" t="str">
        <f>_xlfn.IFNA(IF(VLOOKUP(tabPontoPed[[#This Row],[CÓDIGO]],Excluir_do_Estoque!$A$4:$A$4004,1,FALSE),"sim",""),"")</f>
        <v/>
      </c>
      <c r="O509" s="10" t="str">
        <f t="shared" si="7"/>
        <v>*</v>
      </c>
    </row>
    <row r="510" spans="1:15" x14ac:dyDescent="0.25">
      <c r="A510" s="2">
        <v>81808</v>
      </c>
      <c r="B510" s="4" t="s">
        <v>324</v>
      </c>
      <c r="C510" s="41" t="s">
        <v>1345</v>
      </c>
      <c r="D510" s="42">
        <v>61</v>
      </c>
      <c r="E510" s="43">
        <v>15</v>
      </c>
      <c r="F510" s="50" t="str">
        <f>VLOOKUP(tabPontoPed[[#This Row],[GRUPO]],tabGrupos[#Data],2,FALSE)</f>
        <v>MATERIAL HIDRAULICO, CANOS, TUBOS, MANGUEIRAS, CONEXOES E ACESS.</v>
      </c>
      <c r="G510" s="42" t="str">
        <f>VLOOKUP(tabPontoPed[[#This Row],[GRUPO]],tabGrupos[#Data],3,FALSE)</f>
        <v>MHI</v>
      </c>
      <c r="H510" s="41" t="s">
        <v>1339</v>
      </c>
      <c r="I510" s="9">
        <v>4</v>
      </c>
      <c r="J510" s="51">
        <v>2</v>
      </c>
      <c r="K510" s="7">
        <f>tabPontoPed[[#This Row],[QTDMÊS]] * tabPontoPed[[#This Row],[MENSAL]]</f>
        <v>8</v>
      </c>
      <c r="L510" s="13" t="s">
        <v>1012</v>
      </c>
      <c r="M510" s="44"/>
      <c r="N510" s="45" t="str">
        <f>_xlfn.IFNA(IF(VLOOKUP(tabPontoPed[[#This Row],[CÓDIGO]],Excluir_do_Estoque!$A$4:$A$4004,1,FALSE),"sim",""),"")</f>
        <v/>
      </c>
      <c r="O510" s="10" t="str">
        <f t="shared" si="7"/>
        <v>*</v>
      </c>
    </row>
    <row r="511" spans="1:15" x14ac:dyDescent="0.25">
      <c r="A511" s="2">
        <v>82185</v>
      </c>
      <c r="B511" s="4" t="s">
        <v>222</v>
      </c>
      <c r="C511" s="41" t="s">
        <v>1345</v>
      </c>
      <c r="D511" s="42">
        <v>74</v>
      </c>
      <c r="E511" s="43">
        <v>3</v>
      </c>
      <c r="F511" s="50" t="str">
        <f>VLOOKUP(tabPontoPed[[#This Row],[GRUPO]],tabGrupos[#Data],2,FALSE)</f>
        <v>MADEIRAS,LAMINADOS,COMPENSADOS E AGLOMERADOS</v>
      </c>
      <c r="G511" s="42" t="str">
        <f>VLOOKUP(tabPontoPed[[#This Row],[GRUPO]],tabGrupos[#Data],3,FALSE)</f>
        <v>MCO</v>
      </c>
      <c r="H511" s="41" t="s">
        <v>1339</v>
      </c>
      <c r="I511" s="9">
        <v>4</v>
      </c>
      <c r="J511" s="51">
        <v>3</v>
      </c>
      <c r="K511" s="7">
        <f>tabPontoPed[[#This Row],[QTDMÊS]] * tabPontoPed[[#This Row],[MENSAL]]</f>
        <v>12</v>
      </c>
      <c r="L511" s="13" t="s">
        <v>1012</v>
      </c>
      <c r="M511" s="44"/>
      <c r="N511" s="45" t="str">
        <f>_xlfn.IFNA(IF(VLOOKUP(tabPontoPed[[#This Row],[CÓDIGO]],Excluir_do_Estoque!$A$4:$A$4004,1,FALSE),"sim",""),"")</f>
        <v/>
      </c>
      <c r="O511" s="10" t="str">
        <f t="shared" si="7"/>
        <v>*</v>
      </c>
    </row>
    <row r="512" spans="1:15" x14ac:dyDescent="0.25">
      <c r="A512" s="2">
        <v>82452</v>
      </c>
      <c r="B512" s="4" t="s">
        <v>768</v>
      </c>
      <c r="C512" s="41" t="s">
        <v>1345</v>
      </c>
      <c r="D512" s="42">
        <v>61</v>
      </c>
      <c r="E512" s="43">
        <v>8</v>
      </c>
      <c r="F512" s="50" t="str">
        <f>VLOOKUP(tabPontoPed[[#This Row],[GRUPO]],tabGrupos[#Data],2,FALSE)</f>
        <v>MATERIAL HIDRAULICO, CANOS, TUBOS, MANGUEIRAS, CONEXOES E ACESS.</v>
      </c>
      <c r="G512" s="42" t="str">
        <f>VLOOKUP(tabPontoPed[[#This Row],[GRUPO]],tabGrupos[#Data],3,FALSE)</f>
        <v>MHI</v>
      </c>
      <c r="H512" s="41" t="s">
        <v>1339</v>
      </c>
      <c r="I512" s="9">
        <v>4</v>
      </c>
      <c r="J512" s="51">
        <v>13</v>
      </c>
      <c r="K512" s="7">
        <f>tabPontoPed[[#This Row],[QTDMÊS]] * tabPontoPed[[#This Row],[MENSAL]]</f>
        <v>52</v>
      </c>
      <c r="L512" s="13" t="s">
        <v>1012</v>
      </c>
      <c r="M512" s="44"/>
      <c r="N512" s="45" t="str">
        <f>_xlfn.IFNA(IF(VLOOKUP(tabPontoPed[[#This Row],[CÓDIGO]],Excluir_do_Estoque!$A$4:$A$4004,1,FALSE),"sim",""),"")</f>
        <v/>
      </c>
      <c r="O512" s="10" t="str">
        <f t="shared" si="7"/>
        <v>*</v>
      </c>
    </row>
    <row r="513" spans="1:15" x14ac:dyDescent="0.25">
      <c r="A513" s="2">
        <v>82732</v>
      </c>
      <c r="B513" s="4" t="s">
        <v>372</v>
      </c>
      <c r="C513" s="41" t="s">
        <v>1345</v>
      </c>
      <c r="D513" s="42">
        <v>55</v>
      </c>
      <c r="E513" s="43">
        <v>54</v>
      </c>
      <c r="F513" s="50" t="str">
        <f>VLOOKUP(tabPontoPed[[#This Row],[GRUPO]],tabGrupos[#Data],2,FALSE)</f>
        <v>EQUIP. MAT. P/ GERACAO, TRANSM. DISTR. RETIF...</v>
      </c>
      <c r="G513" s="42" t="str">
        <f>VLOOKUP(tabPontoPed[[#This Row],[GRUPO]],tabGrupos[#Data],3,FALSE)</f>
        <v>MEL</v>
      </c>
      <c r="H513" s="41" t="s">
        <v>1339</v>
      </c>
      <c r="I513" s="9">
        <v>4</v>
      </c>
      <c r="J513" s="51">
        <v>26</v>
      </c>
      <c r="K513" s="7">
        <f>tabPontoPed[[#This Row],[QTDMÊS]] * tabPontoPed[[#This Row],[MENSAL]]</f>
        <v>104</v>
      </c>
      <c r="L513" s="13" t="s">
        <v>1012</v>
      </c>
      <c r="M513" s="44"/>
      <c r="N513" s="45" t="str">
        <f>_xlfn.IFNA(IF(VLOOKUP(tabPontoPed[[#This Row],[CÓDIGO]],Excluir_do_Estoque!$A$4:$A$4004,1,FALSE),"sim",""),"")</f>
        <v/>
      </c>
      <c r="O513" s="10" t="str">
        <f t="shared" si="7"/>
        <v>*</v>
      </c>
    </row>
    <row r="514" spans="1:15" x14ac:dyDescent="0.25">
      <c r="A514" s="2">
        <v>82916</v>
      </c>
      <c r="B514" s="4" t="s">
        <v>5</v>
      </c>
      <c r="C514" s="41" t="s">
        <v>1345</v>
      </c>
      <c r="D514" s="42">
        <v>76</v>
      </c>
      <c r="E514" s="43">
        <v>6</v>
      </c>
      <c r="F514" s="50" t="str">
        <f>VLOOKUP(tabPontoPed[[#This Row],[GRUPO]],tabGrupos[#Data],2,FALSE)</f>
        <v>EQUIP. E MATERIAIS P/PINTURAS E IMPERMEABILIZACAO</v>
      </c>
      <c r="G514" s="42" t="str">
        <f>VLOOKUP(tabPontoPed[[#This Row],[GRUPO]],tabGrupos[#Data],3,FALSE)</f>
        <v>MPI</v>
      </c>
      <c r="H514" s="41" t="s">
        <v>1339</v>
      </c>
      <c r="I514" s="9">
        <v>4</v>
      </c>
      <c r="J514" s="51">
        <v>2</v>
      </c>
      <c r="K514" s="7">
        <f>tabPontoPed[[#This Row],[QTDMÊS]] * tabPontoPed[[#This Row],[MENSAL]]</f>
        <v>8</v>
      </c>
      <c r="L514" s="13" t="s">
        <v>1012</v>
      </c>
      <c r="M514" s="44"/>
      <c r="N514" s="45" t="str">
        <f>_xlfn.IFNA(IF(VLOOKUP(tabPontoPed[[#This Row],[CÓDIGO]],Excluir_do_Estoque!$A$4:$A$4004,1,FALSE),"sim",""),"")</f>
        <v/>
      </c>
      <c r="O514" s="10" t="str">
        <f t="shared" si="7"/>
        <v>*</v>
      </c>
    </row>
    <row r="515" spans="1:15" x14ac:dyDescent="0.25">
      <c r="A515" s="2">
        <v>82995</v>
      </c>
      <c r="B515" s="4" t="s">
        <v>148</v>
      </c>
      <c r="C515" s="41" t="s">
        <v>1345</v>
      </c>
      <c r="D515" s="42">
        <v>51</v>
      </c>
      <c r="E515" s="43">
        <v>8</v>
      </c>
      <c r="F515" s="50" t="str">
        <f>VLOOKUP(tabPontoPed[[#This Row],[GRUPO]],tabGrupos[#Data],2,FALSE)</f>
        <v>MAT.E EQUIP. P/ CONSTR.CIVIL E CONSERV. DE VIAS PUBL.</v>
      </c>
      <c r="G515" s="42" t="str">
        <f>VLOOKUP(tabPontoPed[[#This Row],[GRUPO]],tabGrupos[#Data],3,FALSE)</f>
        <v>MCO</v>
      </c>
      <c r="H515" s="41" t="s">
        <v>1339</v>
      </c>
      <c r="I515" s="9">
        <v>4</v>
      </c>
      <c r="J515" s="51">
        <v>32</v>
      </c>
      <c r="K515" s="7">
        <f>tabPontoPed[[#This Row],[QTDMÊS]] * tabPontoPed[[#This Row],[MENSAL]]</f>
        <v>128</v>
      </c>
      <c r="L515" s="13" t="s">
        <v>1012</v>
      </c>
      <c r="M515" s="44"/>
      <c r="N515" s="45" t="str">
        <f>_xlfn.IFNA(IF(VLOOKUP(tabPontoPed[[#This Row],[CÓDIGO]],Excluir_do_Estoque!$A$4:$A$4004,1,FALSE),"sim",""),"")</f>
        <v/>
      </c>
      <c r="O515" s="10" t="str">
        <f t="shared" si="7"/>
        <v>*</v>
      </c>
    </row>
    <row r="516" spans="1:15" x14ac:dyDescent="0.25">
      <c r="A516" s="2">
        <v>82996</v>
      </c>
      <c r="B516" s="4" t="s">
        <v>506</v>
      </c>
      <c r="C516" s="41" t="s">
        <v>1345</v>
      </c>
      <c r="D516" s="42">
        <v>51</v>
      </c>
      <c r="E516" s="43">
        <v>8</v>
      </c>
      <c r="F516" s="50" t="str">
        <f>VLOOKUP(tabPontoPed[[#This Row],[GRUPO]],tabGrupos[#Data],2,FALSE)</f>
        <v>MAT.E EQUIP. P/ CONSTR.CIVIL E CONSERV. DE VIAS PUBL.</v>
      </c>
      <c r="G516" s="42" t="str">
        <f>VLOOKUP(tabPontoPed[[#This Row],[GRUPO]],tabGrupos[#Data],3,FALSE)</f>
        <v>MCO</v>
      </c>
      <c r="H516" s="41" t="s">
        <v>1339</v>
      </c>
      <c r="I516" s="9">
        <v>4</v>
      </c>
      <c r="J516" s="51">
        <v>14</v>
      </c>
      <c r="K516" s="7">
        <f>tabPontoPed[[#This Row],[QTDMÊS]] * tabPontoPed[[#This Row],[MENSAL]]</f>
        <v>56</v>
      </c>
      <c r="L516" s="13" t="s">
        <v>1012</v>
      </c>
      <c r="M516" s="44"/>
      <c r="N516" s="45" t="str">
        <f>_xlfn.IFNA(IF(VLOOKUP(tabPontoPed[[#This Row],[CÓDIGO]],Excluir_do_Estoque!$A$4:$A$4004,1,FALSE),"sim",""),"")</f>
        <v/>
      </c>
      <c r="O516" s="10" t="str">
        <f t="shared" ref="O516:O579" si="8">"*"</f>
        <v>*</v>
      </c>
    </row>
    <row r="517" spans="1:15" x14ac:dyDescent="0.25">
      <c r="A517" s="2">
        <v>83627</v>
      </c>
      <c r="B517" s="4" t="s">
        <v>448</v>
      </c>
      <c r="C517" s="41" t="s">
        <v>1345</v>
      </c>
      <c r="D517" s="42">
        <v>45</v>
      </c>
      <c r="E517" s="43">
        <v>11</v>
      </c>
      <c r="F517" s="50" t="str">
        <f>VLOOKUP(tabPontoPed[[#This Row],[GRUPO]],tabGrupos[#Data],2,FALSE)</f>
        <v>MAQ., EQUIP., COMP., ACES., MAT. PARA ESCRIT.E ESCOLAR</v>
      </c>
      <c r="G517" s="42" t="str">
        <f>VLOOKUP(tabPontoPed[[#This Row],[GRUPO]],tabGrupos[#Data],3,FALSE)</f>
        <v>EDU</v>
      </c>
      <c r="H517" s="41" t="s">
        <v>1339</v>
      </c>
      <c r="I517" s="9">
        <v>4</v>
      </c>
      <c r="J517" s="51">
        <v>2310</v>
      </c>
      <c r="K517" s="7">
        <f>tabPontoPed[[#This Row],[QTDMÊS]] * tabPontoPed[[#This Row],[MENSAL]]</f>
        <v>9240</v>
      </c>
      <c r="L517" s="13" t="s">
        <v>1012</v>
      </c>
      <c r="M517" s="44"/>
      <c r="N517" s="45" t="str">
        <f>_xlfn.IFNA(IF(VLOOKUP(tabPontoPed[[#This Row],[CÓDIGO]],Excluir_do_Estoque!$A$4:$A$4004,1,FALSE),"sim",""),"")</f>
        <v/>
      </c>
      <c r="O517" s="10" t="str">
        <f t="shared" si="8"/>
        <v>*</v>
      </c>
    </row>
    <row r="518" spans="1:15" x14ac:dyDescent="0.25">
      <c r="A518" s="2">
        <v>83838</v>
      </c>
      <c r="B518" s="4" t="s">
        <v>576</v>
      </c>
      <c r="C518" s="41" t="s">
        <v>1345</v>
      </c>
      <c r="D518" s="42">
        <v>54</v>
      </c>
      <c r="E518" s="43">
        <v>4</v>
      </c>
      <c r="F518" s="50" t="str">
        <f>VLOOKUP(tabPontoPed[[#This Row],[GRUPO]],tabGrupos[#Data],2,FALSE)</f>
        <v>EQUIP PROT IND, INST MAT P/ SINAL, CONTR, COMB ...</v>
      </c>
      <c r="G518" s="42" t="str">
        <f>VLOOKUP(tabPontoPed[[#This Row],[GRUPO]],tabGrupos[#Data],3,FALSE)</f>
        <v>MAN</v>
      </c>
      <c r="H518" s="41" t="s">
        <v>1339</v>
      </c>
      <c r="I518" s="9">
        <v>4</v>
      </c>
      <c r="J518" s="51">
        <v>899</v>
      </c>
      <c r="K518" s="7">
        <f>tabPontoPed[[#This Row],[QTDMÊS]] * tabPontoPed[[#This Row],[MENSAL]]</f>
        <v>3596</v>
      </c>
      <c r="L518" s="13" t="s">
        <v>1012</v>
      </c>
      <c r="M518" s="44"/>
      <c r="N518" s="45" t="str">
        <f>_xlfn.IFNA(IF(VLOOKUP(tabPontoPed[[#This Row],[CÓDIGO]],Excluir_do_Estoque!$A$4:$A$4004,1,FALSE),"sim",""),"")</f>
        <v/>
      </c>
      <c r="O518" s="10" t="str">
        <f t="shared" si="8"/>
        <v>*</v>
      </c>
    </row>
    <row r="519" spans="1:15" x14ac:dyDescent="0.25">
      <c r="A519" s="2">
        <v>83839</v>
      </c>
      <c r="B519" s="4" t="s">
        <v>577</v>
      </c>
      <c r="C519" s="41" t="s">
        <v>1345</v>
      </c>
      <c r="D519" s="42">
        <v>54</v>
      </c>
      <c r="E519" s="43">
        <v>4</v>
      </c>
      <c r="F519" s="50" t="str">
        <f>VLOOKUP(tabPontoPed[[#This Row],[GRUPO]],tabGrupos[#Data],2,FALSE)</f>
        <v>EQUIP PROT IND, INST MAT P/ SINAL, CONTR, COMB ...</v>
      </c>
      <c r="G519" s="42" t="str">
        <f>VLOOKUP(tabPontoPed[[#This Row],[GRUPO]],tabGrupos[#Data],3,FALSE)</f>
        <v>MAN</v>
      </c>
      <c r="H519" s="41" t="s">
        <v>1339</v>
      </c>
      <c r="I519" s="9">
        <v>4</v>
      </c>
      <c r="J519" s="51">
        <v>272</v>
      </c>
      <c r="K519" s="7">
        <f>tabPontoPed[[#This Row],[QTDMÊS]] * tabPontoPed[[#This Row],[MENSAL]]</f>
        <v>1088</v>
      </c>
      <c r="L519" s="13" t="s">
        <v>1012</v>
      </c>
      <c r="M519" s="44"/>
      <c r="N519" s="45" t="str">
        <f>_xlfn.IFNA(IF(VLOOKUP(tabPontoPed[[#This Row],[CÓDIGO]],Excluir_do_Estoque!$A$4:$A$4004,1,FALSE),"sim",""),"")</f>
        <v/>
      </c>
      <c r="O519" s="10" t="str">
        <f t="shared" si="8"/>
        <v>*</v>
      </c>
    </row>
    <row r="520" spans="1:15" x14ac:dyDescent="0.25">
      <c r="A520" s="2">
        <v>84878</v>
      </c>
      <c r="B520" s="4" t="s">
        <v>449</v>
      </c>
      <c r="C520" s="41" t="s">
        <v>1345</v>
      </c>
      <c r="D520" s="42">
        <v>45</v>
      </c>
      <c r="E520" s="43">
        <v>11</v>
      </c>
      <c r="F520" s="50" t="str">
        <f>VLOOKUP(tabPontoPed[[#This Row],[GRUPO]],tabGrupos[#Data],2,FALSE)</f>
        <v>MAQ., EQUIP., COMP., ACES., MAT. PARA ESCRIT.E ESCOLAR</v>
      </c>
      <c r="G520" s="42" t="str">
        <f>VLOOKUP(tabPontoPed[[#This Row],[GRUPO]],tabGrupos[#Data],3,FALSE)</f>
        <v>EDU</v>
      </c>
      <c r="H520" s="41" t="s">
        <v>1339</v>
      </c>
      <c r="I520" s="9">
        <v>4</v>
      </c>
      <c r="J520" s="51">
        <v>1684</v>
      </c>
      <c r="K520" s="7">
        <f>tabPontoPed[[#This Row],[QTDMÊS]] * tabPontoPed[[#This Row],[MENSAL]]</f>
        <v>6736</v>
      </c>
      <c r="L520" s="13" t="s">
        <v>1012</v>
      </c>
      <c r="M520" s="44"/>
      <c r="N520" s="45" t="str">
        <f>_xlfn.IFNA(IF(VLOOKUP(tabPontoPed[[#This Row],[CÓDIGO]],Excluir_do_Estoque!$A$4:$A$4004,1,FALSE),"sim",""),"")</f>
        <v/>
      </c>
      <c r="O520" s="10" t="str">
        <f t="shared" si="8"/>
        <v>*</v>
      </c>
    </row>
    <row r="521" spans="1:15" x14ac:dyDescent="0.25">
      <c r="A521" s="2">
        <v>86030</v>
      </c>
      <c r="B521" s="4" t="s">
        <v>690</v>
      </c>
      <c r="C521" s="41" t="s">
        <v>1345</v>
      </c>
      <c r="D521" s="42">
        <v>55</v>
      </c>
      <c r="E521" s="43">
        <v>49</v>
      </c>
      <c r="F521" s="50" t="str">
        <f>VLOOKUP(tabPontoPed[[#This Row],[GRUPO]],tabGrupos[#Data],2,FALSE)</f>
        <v>EQUIP. MAT. P/ GERACAO, TRANSM. DISTR. RETIF...</v>
      </c>
      <c r="G521" s="42" t="str">
        <f>VLOOKUP(tabPontoPed[[#This Row],[GRUPO]],tabGrupos[#Data],3,FALSE)</f>
        <v>MEL</v>
      </c>
      <c r="H521" s="41" t="s">
        <v>1339</v>
      </c>
      <c r="I521" s="9">
        <v>4</v>
      </c>
      <c r="J521" s="51">
        <v>5</v>
      </c>
      <c r="K521" s="7">
        <f>tabPontoPed[[#This Row],[QTDMÊS]] * tabPontoPed[[#This Row],[MENSAL]]</f>
        <v>20</v>
      </c>
      <c r="L521" s="13" t="s">
        <v>1012</v>
      </c>
      <c r="M521" s="44"/>
      <c r="N521" s="45" t="str">
        <f>_xlfn.IFNA(IF(VLOOKUP(tabPontoPed[[#This Row],[CÓDIGO]],Excluir_do_Estoque!$A$4:$A$4004,1,FALSE),"sim",""),"")</f>
        <v/>
      </c>
      <c r="O521" s="10" t="str">
        <f t="shared" si="8"/>
        <v>*</v>
      </c>
    </row>
    <row r="522" spans="1:15" x14ac:dyDescent="0.25">
      <c r="A522" s="2">
        <v>86118</v>
      </c>
      <c r="B522" s="4" t="s">
        <v>373</v>
      </c>
      <c r="C522" s="41" t="s">
        <v>1345</v>
      </c>
      <c r="D522" s="42">
        <v>55</v>
      </c>
      <c r="E522" s="43">
        <v>55</v>
      </c>
      <c r="F522" s="50" t="str">
        <f>VLOOKUP(tabPontoPed[[#This Row],[GRUPO]],tabGrupos[#Data],2,FALSE)</f>
        <v>EQUIP. MAT. P/ GERACAO, TRANSM. DISTR. RETIF...</v>
      </c>
      <c r="G522" s="42" t="str">
        <f>VLOOKUP(tabPontoPed[[#This Row],[GRUPO]],tabGrupos[#Data],3,FALSE)</f>
        <v>MEL</v>
      </c>
      <c r="H522" s="41" t="s">
        <v>1339</v>
      </c>
      <c r="I522" s="9">
        <v>4</v>
      </c>
      <c r="J522" s="51">
        <v>12</v>
      </c>
      <c r="K522" s="7">
        <f>tabPontoPed[[#This Row],[QTDMÊS]] * tabPontoPed[[#This Row],[MENSAL]]</f>
        <v>48</v>
      </c>
      <c r="L522" s="13" t="s">
        <v>1012</v>
      </c>
      <c r="M522" s="44"/>
      <c r="N522" s="45" t="str">
        <f>_xlfn.IFNA(IF(VLOOKUP(tabPontoPed[[#This Row],[CÓDIGO]],Excluir_do_Estoque!$A$4:$A$4004,1,FALSE),"sim",""),"")</f>
        <v/>
      </c>
      <c r="O522" s="10" t="str">
        <f t="shared" si="8"/>
        <v>*</v>
      </c>
    </row>
    <row r="523" spans="1:15" x14ac:dyDescent="0.25">
      <c r="A523" s="2">
        <v>87247</v>
      </c>
      <c r="B523" s="4" t="s">
        <v>517</v>
      </c>
      <c r="C523" s="41" t="s">
        <v>1345</v>
      </c>
      <c r="D523" s="42">
        <v>51</v>
      </c>
      <c r="E523" s="43">
        <v>12</v>
      </c>
      <c r="F523" s="50" t="str">
        <f>VLOOKUP(tabPontoPed[[#This Row],[GRUPO]],tabGrupos[#Data],2,FALSE)</f>
        <v>MAT.E EQUIP. P/ CONSTR.CIVIL E CONSERV. DE VIAS PUBL.</v>
      </c>
      <c r="G523" s="42" t="str">
        <f>VLOOKUP(tabPontoPed[[#This Row],[GRUPO]],tabGrupos[#Data],3,FALSE)</f>
        <v>MCO</v>
      </c>
      <c r="H523" s="41" t="s">
        <v>1339</v>
      </c>
      <c r="I523" s="9">
        <v>4</v>
      </c>
      <c r="J523" s="51">
        <v>0</v>
      </c>
      <c r="K523" s="7">
        <f>tabPontoPed[[#This Row],[QTDMÊS]] * tabPontoPed[[#This Row],[MENSAL]]</f>
        <v>0</v>
      </c>
      <c r="L523" s="13" t="s">
        <v>1012</v>
      </c>
      <c r="M523" s="44"/>
      <c r="N523" s="45" t="str">
        <f>_xlfn.IFNA(IF(VLOOKUP(tabPontoPed[[#This Row],[CÓDIGO]],Excluir_do_Estoque!$A$4:$A$4004,1,FALSE),"sim",""),"")</f>
        <v/>
      </c>
      <c r="O523" s="10" t="str">
        <f t="shared" si="8"/>
        <v>*</v>
      </c>
    </row>
    <row r="524" spans="1:15" x14ac:dyDescent="0.25">
      <c r="A524" s="2">
        <v>87348</v>
      </c>
      <c r="B524" s="4" t="s">
        <v>522</v>
      </c>
      <c r="C524" s="41" t="s">
        <v>1345</v>
      </c>
      <c r="D524" s="42">
        <v>51</v>
      </c>
      <c r="E524" s="43">
        <v>13</v>
      </c>
      <c r="F524" s="50" t="str">
        <f>VLOOKUP(tabPontoPed[[#This Row],[GRUPO]],tabGrupos[#Data],2,FALSE)</f>
        <v>MAT.E EQUIP. P/ CONSTR.CIVIL E CONSERV. DE VIAS PUBL.</v>
      </c>
      <c r="G524" s="42" t="str">
        <f>VLOOKUP(tabPontoPed[[#This Row],[GRUPO]],tabGrupos[#Data],3,FALSE)</f>
        <v>MCO</v>
      </c>
      <c r="H524" s="41" t="s">
        <v>1339</v>
      </c>
      <c r="I524" s="9">
        <v>4</v>
      </c>
      <c r="J524" s="51">
        <v>8</v>
      </c>
      <c r="K524" s="7">
        <f>tabPontoPed[[#This Row],[QTDMÊS]] * tabPontoPed[[#This Row],[MENSAL]]</f>
        <v>32</v>
      </c>
      <c r="L524" s="13" t="s">
        <v>1012</v>
      </c>
      <c r="M524" s="44"/>
      <c r="N524" s="45" t="str">
        <f>_xlfn.IFNA(IF(VLOOKUP(tabPontoPed[[#This Row],[CÓDIGO]],Excluir_do_Estoque!$A$4:$A$4004,1,FALSE),"sim",""),"")</f>
        <v/>
      </c>
      <c r="O524" s="10" t="str">
        <f t="shared" si="8"/>
        <v>*</v>
      </c>
    </row>
    <row r="525" spans="1:15" x14ac:dyDescent="0.25">
      <c r="A525" s="2">
        <v>87465</v>
      </c>
      <c r="B525" s="4" t="s">
        <v>937</v>
      </c>
      <c r="C525" s="41" t="s">
        <v>1345</v>
      </c>
      <c r="D525" s="42">
        <v>72</v>
      </c>
      <c r="E525" s="43">
        <v>7</v>
      </c>
      <c r="F525" s="50" t="str">
        <f>VLOOKUP(tabPontoPed[[#This Row],[GRUPO]],tabGrupos[#Data],2,FALSE)</f>
        <v>MAQ.EQUIP.E MATERIAIS P/ HIGIEN.LIMP.POLIM.E LUBR.</v>
      </c>
      <c r="G525" s="42" t="str">
        <f>VLOOKUP(tabPontoPed[[#This Row],[GRUPO]],tabGrupos[#Data],3,FALSE)</f>
        <v>ADM</v>
      </c>
      <c r="H525" s="41" t="s">
        <v>1339</v>
      </c>
      <c r="I525" s="9">
        <v>4</v>
      </c>
      <c r="J525" s="51">
        <v>151</v>
      </c>
      <c r="K525" s="7">
        <f>tabPontoPed[[#This Row],[QTDMÊS]] * tabPontoPed[[#This Row],[MENSAL]]</f>
        <v>604</v>
      </c>
      <c r="L525" s="13" t="s">
        <v>1012</v>
      </c>
      <c r="M525" s="44"/>
      <c r="N525" s="45" t="str">
        <f>_xlfn.IFNA(IF(VLOOKUP(tabPontoPed[[#This Row],[CÓDIGO]],Excluir_do_Estoque!$A$4:$A$4004,1,FALSE),"sim",""),"")</f>
        <v/>
      </c>
      <c r="O525" s="10" t="str">
        <f t="shared" si="8"/>
        <v>*</v>
      </c>
    </row>
    <row r="526" spans="1:15" x14ac:dyDescent="0.25">
      <c r="A526" s="2">
        <v>87586</v>
      </c>
      <c r="B526" s="4" t="s">
        <v>182</v>
      </c>
      <c r="C526" s="41" t="s">
        <v>1345</v>
      </c>
      <c r="D526" s="42">
        <v>76</v>
      </c>
      <c r="E526" s="43">
        <v>5</v>
      </c>
      <c r="F526" s="50" t="str">
        <f>VLOOKUP(tabPontoPed[[#This Row],[GRUPO]],tabGrupos[#Data],2,FALSE)</f>
        <v>EQUIP. E MATERIAIS P/PINTURAS E IMPERMEABILIZACAO</v>
      </c>
      <c r="G526" s="42" t="str">
        <f>VLOOKUP(tabPontoPed[[#This Row],[GRUPO]],tabGrupos[#Data],3,FALSE)</f>
        <v>MPI</v>
      </c>
      <c r="H526" s="41" t="s">
        <v>1339</v>
      </c>
      <c r="I526" s="9">
        <v>4</v>
      </c>
      <c r="J526" s="51">
        <v>2</v>
      </c>
      <c r="K526" s="7">
        <f>tabPontoPed[[#This Row],[QTDMÊS]] * tabPontoPed[[#This Row],[MENSAL]]</f>
        <v>8</v>
      </c>
      <c r="L526" s="13" t="s">
        <v>1012</v>
      </c>
      <c r="M526" s="44"/>
      <c r="N526" s="45" t="str">
        <f>_xlfn.IFNA(IF(VLOOKUP(tabPontoPed[[#This Row],[CÓDIGO]],Excluir_do_Estoque!$A$4:$A$4004,1,FALSE),"sim",""),"")</f>
        <v/>
      </c>
      <c r="O526" s="10" t="str">
        <f t="shared" si="8"/>
        <v>*</v>
      </c>
    </row>
    <row r="527" spans="1:15" x14ac:dyDescent="0.25">
      <c r="A527" s="2">
        <v>87698</v>
      </c>
      <c r="B527" s="4" t="s">
        <v>932</v>
      </c>
      <c r="C527" s="41" t="s">
        <v>1345</v>
      </c>
      <c r="D527" s="42">
        <v>72</v>
      </c>
      <c r="E527" s="43">
        <v>5</v>
      </c>
      <c r="F527" s="50" t="str">
        <f>VLOOKUP(tabPontoPed[[#This Row],[GRUPO]],tabGrupos[#Data],2,FALSE)</f>
        <v>MAQ.EQUIP.E MATERIAIS P/ HIGIEN.LIMP.POLIM.E LUBR.</v>
      </c>
      <c r="G527" s="42" t="str">
        <f>VLOOKUP(tabPontoPed[[#This Row],[GRUPO]],tabGrupos[#Data],3,FALSE)</f>
        <v>ADM</v>
      </c>
      <c r="H527" s="41" t="s">
        <v>1339</v>
      </c>
      <c r="I527" s="9">
        <v>4</v>
      </c>
      <c r="J527" s="51">
        <v>8</v>
      </c>
      <c r="K527" s="7">
        <f>tabPontoPed[[#This Row],[QTDMÊS]] * tabPontoPed[[#This Row],[MENSAL]]</f>
        <v>32</v>
      </c>
      <c r="L527" s="13" t="s">
        <v>1012</v>
      </c>
      <c r="M527" s="44"/>
      <c r="N527" s="45" t="str">
        <f>_xlfn.IFNA(IF(VLOOKUP(tabPontoPed[[#This Row],[CÓDIGO]],Excluir_do_Estoque!$A$4:$A$4004,1,FALSE),"sim",""),"")</f>
        <v/>
      </c>
      <c r="O527" s="10" t="str">
        <f t="shared" si="8"/>
        <v>*</v>
      </c>
    </row>
    <row r="528" spans="1:15" x14ac:dyDescent="0.25">
      <c r="A528" s="2">
        <v>87699</v>
      </c>
      <c r="B528" s="4" t="s">
        <v>933</v>
      </c>
      <c r="C528" s="41" t="s">
        <v>1345</v>
      </c>
      <c r="D528" s="42">
        <v>72</v>
      </c>
      <c r="E528" s="43">
        <v>5</v>
      </c>
      <c r="F528" s="50" t="str">
        <f>VLOOKUP(tabPontoPed[[#This Row],[GRUPO]],tabGrupos[#Data],2,FALSE)</f>
        <v>MAQ.EQUIP.E MATERIAIS P/ HIGIEN.LIMP.POLIM.E LUBR.</v>
      </c>
      <c r="G528" s="42" t="str">
        <f>VLOOKUP(tabPontoPed[[#This Row],[GRUPO]],tabGrupos[#Data],3,FALSE)</f>
        <v>ADM</v>
      </c>
      <c r="H528" s="41" t="s">
        <v>1339</v>
      </c>
      <c r="I528" s="9">
        <v>4</v>
      </c>
      <c r="J528" s="51">
        <v>11</v>
      </c>
      <c r="K528" s="7">
        <f>tabPontoPed[[#This Row],[QTDMÊS]] * tabPontoPed[[#This Row],[MENSAL]]</f>
        <v>44</v>
      </c>
      <c r="L528" s="13" t="s">
        <v>1012</v>
      </c>
      <c r="M528" s="44"/>
      <c r="N528" s="45" t="str">
        <f>_xlfn.IFNA(IF(VLOOKUP(tabPontoPed[[#This Row],[CÓDIGO]],Excluir_do_Estoque!$A$4:$A$4004,1,FALSE),"sim",""),"")</f>
        <v/>
      </c>
      <c r="O528" s="10" t="str">
        <f t="shared" si="8"/>
        <v>*</v>
      </c>
    </row>
    <row r="529" spans="1:15" x14ac:dyDescent="0.25">
      <c r="A529" s="2">
        <v>88718</v>
      </c>
      <c r="B529" s="4" t="s">
        <v>344</v>
      </c>
      <c r="C529" s="41" t="s">
        <v>1345</v>
      </c>
      <c r="D529" s="42">
        <v>55</v>
      </c>
      <c r="E529" s="43">
        <v>26</v>
      </c>
      <c r="F529" s="50" t="str">
        <f>VLOOKUP(tabPontoPed[[#This Row],[GRUPO]],tabGrupos[#Data],2,FALSE)</f>
        <v>EQUIP. MAT. P/ GERACAO, TRANSM. DISTR. RETIF...</v>
      </c>
      <c r="G529" s="42" t="str">
        <f>VLOOKUP(tabPontoPed[[#This Row],[GRUPO]],tabGrupos[#Data],3,FALSE)</f>
        <v>MEL</v>
      </c>
      <c r="H529" s="41" t="s">
        <v>1339</v>
      </c>
      <c r="I529" s="9">
        <v>4</v>
      </c>
      <c r="J529" s="51">
        <v>4</v>
      </c>
      <c r="K529" s="7">
        <f>tabPontoPed[[#This Row],[QTDMÊS]] * tabPontoPed[[#This Row],[MENSAL]]</f>
        <v>16</v>
      </c>
      <c r="L529" s="13" t="s">
        <v>1012</v>
      </c>
      <c r="M529" s="44"/>
      <c r="N529" s="45" t="str">
        <f>_xlfn.IFNA(IF(VLOOKUP(tabPontoPed[[#This Row],[CÓDIGO]],Excluir_do_Estoque!$A$4:$A$4004,1,FALSE),"sim",""),"")</f>
        <v/>
      </c>
      <c r="O529" s="10" t="str">
        <f t="shared" si="8"/>
        <v>*</v>
      </c>
    </row>
    <row r="530" spans="1:15" x14ac:dyDescent="0.25">
      <c r="A530" s="2">
        <v>88719</v>
      </c>
      <c r="B530" s="4" t="s">
        <v>345</v>
      </c>
      <c r="C530" s="41" t="s">
        <v>1345</v>
      </c>
      <c r="D530" s="42">
        <v>55</v>
      </c>
      <c r="E530" s="43">
        <v>26</v>
      </c>
      <c r="F530" s="50" t="str">
        <f>VLOOKUP(tabPontoPed[[#This Row],[GRUPO]],tabGrupos[#Data],2,FALSE)</f>
        <v>EQUIP. MAT. P/ GERACAO, TRANSM. DISTR. RETIF...</v>
      </c>
      <c r="G530" s="42" t="str">
        <f>VLOOKUP(tabPontoPed[[#This Row],[GRUPO]],tabGrupos[#Data],3,FALSE)</f>
        <v>MEL</v>
      </c>
      <c r="H530" s="41" t="s">
        <v>1339</v>
      </c>
      <c r="I530" s="9">
        <v>4</v>
      </c>
      <c r="J530" s="51">
        <v>9</v>
      </c>
      <c r="K530" s="7">
        <f>tabPontoPed[[#This Row],[QTDMÊS]] * tabPontoPed[[#This Row],[MENSAL]]</f>
        <v>36</v>
      </c>
      <c r="L530" s="13" t="s">
        <v>1012</v>
      </c>
      <c r="M530" s="44"/>
      <c r="N530" s="45" t="str">
        <f>_xlfn.IFNA(IF(VLOOKUP(tabPontoPed[[#This Row],[CÓDIGO]],Excluir_do_Estoque!$A$4:$A$4004,1,FALSE),"sim",""),"")</f>
        <v/>
      </c>
      <c r="O530" s="10" t="str">
        <f t="shared" si="8"/>
        <v>*</v>
      </c>
    </row>
    <row r="531" spans="1:15" x14ac:dyDescent="0.25">
      <c r="A531" s="2">
        <v>88726</v>
      </c>
      <c r="B531" s="4" t="s">
        <v>358</v>
      </c>
      <c r="C531" s="41" t="s">
        <v>1345</v>
      </c>
      <c r="D531" s="42">
        <v>55</v>
      </c>
      <c r="E531" s="43">
        <v>26</v>
      </c>
      <c r="F531" s="50" t="str">
        <f>VLOOKUP(tabPontoPed[[#This Row],[GRUPO]],tabGrupos[#Data],2,FALSE)</f>
        <v>EQUIP. MAT. P/ GERACAO, TRANSM. DISTR. RETIF...</v>
      </c>
      <c r="G531" s="42" t="str">
        <f>VLOOKUP(tabPontoPed[[#This Row],[GRUPO]],tabGrupos[#Data],3,FALSE)</f>
        <v>MEL</v>
      </c>
      <c r="H531" s="41" t="s">
        <v>1339</v>
      </c>
      <c r="I531" s="9">
        <v>4</v>
      </c>
      <c r="J531" s="51">
        <v>3</v>
      </c>
      <c r="K531" s="7">
        <f>tabPontoPed[[#This Row],[QTDMÊS]] * tabPontoPed[[#This Row],[MENSAL]]</f>
        <v>12</v>
      </c>
      <c r="L531" s="13" t="s">
        <v>1012</v>
      </c>
      <c r="M531" s="44"/>
      <c r="N531" s="45" t="str">
        <f>_xlfn.IFNA(IF(VLOOKUP(tabPontoPed[[#This Row],[CÓDIGO]],Excluir_do_Estoque!$A$4:$A$4004,1,FALSE),"sim",""),"")</f>
        <v/>
      </c>
      <c r="O531" s="10" t="str">
        <f t="shared" si="8"/>
        <v>*</v>
      </c>
    </row>
    <row r="532" spans="1:15" x14ac:dyDescent="0.25">
      <c r="A532" s="2">
        <v>88727</v>
      </c>
      <c r="B532" s="4" t="s">
        <v>359</v>
      </c>
      <c r="C532" s="41" t="s">
        <v>1345</v>
      </c>
      <c r="D532" s="42">
        <v>55</v>
      </c>
      <c r="E532" s="43">
        <v>26</v>
      </c>
      <c r="F532" s="50" t="str">
        <f>VLOOKUP(tabPontoPed[[#This Row],[GRUPO]],tabGrupos[#Data],2,FALSE)</f>
        <v>EQUIP. MAT. P/ GERACAO, TRANSM. DISTR. RETIF...</v>
      </c>
      <c r="G532" s="42" t="str">
        <f>VLOOKUP(tabPontoPed[[#This Row],[GRUPO]],tabGrupos[#Data],3,FALSE)</f>
        <v>MEL</v>
      </c>
      <c r="H532" s="41" t="s">
        <v>1339</v>
      </c>
      <c r="I532" s="9">
        <v>4</v>
      </c>
      <c r="J532" s="51">
        <v>8</v>
      </c>
      <c r="K532" s="7">
        <f>tabPontoPed[[#This Row],[QTDMÊS]] * tabPontoPed[[#This Row],[MENSAL]]</f>
        <v>32</v>
      </c>
      <c r="L532" s="13" t="s">
        <v>1012</v>
      </c>
      <c r="M532" s="44"/>
      <c r="N532" s="45" t="str">
        <f>_xlfn.IFNA(IF(VLOOKUP(tabPontoPed[[#This Row],[CÓDIGO]],Excluir_do_Estoque!$A$4:$A$4004,1,FALSE),"sim",""),"")</f>
        <v/>
      </c>
      <c r="O532" s="10" t="str">
        <f t="shared" si="8"/>
        <v>*</v>
      </c>
    </row>
    <row r="533" spans="1:15" x14ac:dyDescent="0.25">
      <c r="A533" s="2">
        <v>88728</v>
      </c>
      <c r="B533" s="4" t="s">
        <v>347</v>
      </c>
      <c r="C533" s="41" t="s">
        <v>1345</v>
      </c>
      <c r="D533" s="42">
        <v>55</v>
      </c>
      <c r="E533" s="43">
        <v>26</v>
      </c>
      <c r="F533" s="50" t="str">
        <f>VLOOKUP(tabPontoPed[[#This Row],[GRUPO]],tabGrupos[#Data],2,FALSE)</f>
        <v>EQUIP. MAT. P/ GERACAO, TRANSM. DISTR. RETIF...</v>
      </c>
      <c r="G533" s="42" t="str">
        <f>VLOOKUP(tabPontoPed[[#This Row],[GRUPO]],tabGrupos[#Data],3,FALSE)</f>
        <v>MEL</v>
      </c>
      <c r="H533" s="41" t="s">
        <v>1339</v>
      </c>
      <c r="I533" s="9">
        <v>4</v>
      </c>
      <c r="J533" s="51">
        <v>10</v>
      </c>
      <c r="K533" s="7">
        <f>tabPontoPed[[#This Row],[QTDMÊS]] * tabPontoPed[[#This Row],[MENSAL]]</f>
        <v>40</v>
      </c>
      <c r="L533" s="13" t="s">
        <v>1012</v>
      </c>
      <c r="M533" s="44"/>
      <c r="N533" s="45" t="str">
        <f>_xlfn.IFNA(IF(VLOOKUP(tabPontoPed[[#This Row],[CÓDIGO]],Excluir_do_Estoque!$A$4:$A$4004,1,FALSE),"sim",""),"")</f>
        <v/>
      </c>
      <c r="O533" s="10" t="str">
        <f t="shared" si="8"/>
        <v>*</v>
      </c>
    </row>
    <row r="534" spans="1:15" x14ac:dyDescent="0.25">
      <c r="A534" s="2">
        <v>88729</v>
      </c>
      <c r="B534" s="4" t="s">
        <v>360</v>
      </c>
      <c r="C534" s="41" t="s">
        <v>1345</v>
      </c>
      <c r="D534" s="42">
        <v>55</v>
      </c>
      <c r="E534" s="43">
        <v>26</v>
      </c>
      <c r="F534" s="50" t="str">
        <f>VLOOKUP(tabPontoPed[[#This Row],[GRUPO]],tabGrupos[#Data],2,FALSE)</f>
        <v>EQUIP. MAT. P/ GERACAO, TRANSM. DISTR. RETIF...</v>
      </c>
      <c r="G534" s="42" t="str">
        <f>VLOOKUP(tabPontoPed[[#This Row],[GRUPO]],tabGrupos[#Data],3,FALSE)</f>
        <v>MEL</v>
      </c>
      <c r="H534" s="41" t="s">
        <v>1339</v>
      </c>
      <c r="I534" s="9">
        <v>4</v>
      </c>
      <c r="J534" s="51">
        <v>3</v>
      </c>
      <c r="K534" s="7">
        <f>tabPontoPed[[#This Row],[QTDMÊS]] * tabPontoPed[[#This Row],[MENSAL]]</f>
        <v>12</v>
      </c>
      <c r="L534" s="13" t="s">
        <v>1012</v>
      </c>
      <c r="M534" s="44"/>
      <c r="N534" s="45" t="str">
        <f>_xlfn.IFNA(IF(VLOOKUP(tabPontoPed[[#This Row],[CÓDIGO]],Excluir_do_Estoque!$A$4:$A$4004,1,FALSE),"sim",""),"")</f>
        <v/>
      </c>
      <c r="O534" s="10" t="str">
        <f t="shared" si="8"/>
        <v>*</v>
      </c>
    </row>
    <row r="535" spans="1:15" x14ac:dyDescent="0.25">
      <c r="A535" s="2">
        <v>88730</v>
      </c>
      <c r="B535" s="4" t="s">
        <v>348</v>
      </c>
      <c r="C535" s="41" t="s">
        <v>1345</v>
      </c>
      <c r="D535" s="42">
        <v>55</v>
      </c>
      <c r="E535" s="43">
        <v>26</v>
      </c>
      <c r="F535" s="50" t="str">
        <f>VLOOKUP(tabPontoPed[[#This Row],[GRUPO]],tabGrupos[#Data],2,FALSE)</f>
        <v>EQUIP. MAT. P/ GERACAO, TRANSM. DISTR. RETIF...</v>
      </c>
      <c r="G535" s="42" t="str">
        <f>VLOOKUP(tabPontoPed[[#This Row],[GRUPO]],tabGrupos[#Data],3,FALSE)</f>
        <v>MEL</v>
      </c>
      <c r="H535" s="41" t="s">
        <v>1339</v>
      </c>
      <c r="I535" s="9">
        <v>4</v>
      </c>
      <c r="J535" s="51">
        <v>2</v>
      </c>
      <c r="K535" s="7">
        <f>tabPontoPed[[#This Row],[QTDMÊS]] * tabPontoPed[[#This Row],[MENSAL]]</f>
        <v>8</v>
      </c>
      <c r="L535" s="13" t="s">
        <v>1012</v>
      </c>
      <c r="M535" s="44"/>
      <c r="N535" s="45" t="str">
        <f>_xlfn.IFNA(IF(VLOOKUP(tabPontoPed[[#This Row],[CÓDIGO]],Excluir_do_Estoque!$A$4:$A$4004,1,FALSE),"sim",""),"")</f>
        <v/>
      </c>
      <c r="O535" s="10" t="str">
        <f t="shared" si="8"/>
        <v>*</v>
      </c>
    </row>
    <row r="536" spans="1:15" x14ac:dyDescent="0.25">
      <c r="A536" s="2">
        <v>88731</v>
      </c>
      <c r="B536" s="4" t="s">
        <v>630</v>
      </c>
      <c r="C536" s="41" t="s">
        <v>1345</v>
      </c>
      <c r="D536" s="42">
        <v>55</v>
      </c>
      <c r="E536" s="43">
        <v>26</v>
      </c>
      <c r="F536" s="50" t="str">
        <f>VLOOKUP(tabPontoPed[[#This Row],[GRUPO]],tabGrupos[#Data],2,FALSE)</f>
        <v>EQUIP. MAT. P/ GERACAO, TRANSM. DISTR. RETIF...</v>
      </c>
      <c r="G536" s="42" t="str">
        <f>VLOOKUP(tabPontoPed[[#This Row],[GRUPO]],tabGrupos[#Data],3,FALSE)</f>
        <v>MEL</v>
      </c>
      <c r="H536" s="41" t="s">
        <v>1339</v>
      </c>
      <c r="I536" s="9">
        <v>4</v>
      </c>
      <c r="J536" s="51">
        <v>1</v>
      </c>
      <c r="K536" s="7">
        <f>tabPontoPed[[#This Row],[QTDMÊS]] * tabPontoPed[[#This Row],[MENSAL]]</f>
        <v>4</v>
      </c>
      <c r="L536" s="13" t="s">
        <v>1012</v>
      </c>
      <c r="M536" s="44"/>
      <c r="N536" s="45" t="str">
        <f>_xlfn.IFNA(IF(VLOOKUP(tabPontoPed[[#This Row],[CÓDIGO]],Excluir_do_Estoque!$A$4:$A$4004,1,FALSE),"sim",""),"")</f>
        <v/>
      </c>
      <c r="O536" s="10" t="str">
        <f t="shared" si="8"/>
        <v>*</v>
      </c>
    </row>
    <row r="537" spans="1:15" x14ac:dyDescent="0.25">
      <c r="A537" s="2">
        <v>88732</v>
      </c>
      <c r="B537" s="4" t="s">
        <v>361</v>
      </c>
      <c r="C537" s="41" t="s">
        <v>1345</v>
      </c>
      <c r="D537" s="42">
        <v>55</v>
      </c>
      <c r="E537" s="43">
        <v>26</v>
      </c>
      <c r="F537" s="50" t="str">
        <f>VLOOKUP(tabPontoPed[[#This Row],[GRUPO]],tabGrupos[#Data],2,FALSE)</f>
        <v>EQUIP. MAT. P/ GERACAO, TRANSM. DISTR. RETIF...</v>
      </c>
      <c r="G537" s="42" t="str">
        <f>VLOOKUP(tabPontoPed[[#This Row],[GRUPO]],tabGrupos[#Data],3,FALSE)</f>
        <v>MEL</v>
      </c>
      <c r="H537" s="41" t="s">
        <v>1339</v>
      </c>
      <c r="I537" s="9">
        <v>4</v>
      </c>
      <c r="J537" s="51">
        <v>1</v>
      </c>
      <c r="K537" s="7">
        <f>tabPontoPed[[#This Row],[QTDMÊS]] * tabPontoPed[[#This Row],[MENSAL]]</f>
        <v>4</v>
      </c>
      <c r="L537" s="13" t="s">
        <v>1012</v>
      </c>
      <c r="M537" s="44"/>
      <c r="N537" s="45" t="str">
        <f>_xlfn.IFNA(IF(VLOOKUP(tabPontoPed[[#This Row],[CÓDIGO]],Excluir_do_Estoque!$A$4:$A$4004,1,FALSE),"sim",""),"")</f>
        <v/>
      </c>
      <c r="O537" s="10" t="str">
        <f t="shared" si="8"/>
        <v>*</v>
      </c>
    </row>
    <row r="538" spans="1:15" x14ac:dyDescent="0.25">
      <c r="A538" s="2">
        <v>88733</v>
      </c>
      <c r="B538" s="4" t="s">
        <v>362</v>
      </c>
      <c r="C538" s="41" t="s">
        <v>1345</v>
      </c>
      <c r="D538" s="42">
        <v>55</v>
      </c>
      <c r="E538" s="43">
        <v>26</v>
      </c>
      <c r="F538" s="50" t="str">
        <f>VLOOKUP(tabPontoPed[[#This Row],[GRUPO]],tabGrupos[#Data],2,FALSE)</f>
        <v>EQUIP. MAT. P/ GERACAO, TRANSM. DISTR. RETIF...</v>
      </c>
      <c r="G538" s="42" t="str">
        <f>VLOOKUP(tabPontoPed[[#This Row],[GRUPO]],tabGrupos[#Data],3,FALSE)</f>
        <v>MEL</v>
      </c>
      <c r="H538" s="41" t="s">
        <v>1339</v>
      </c>
      <c r="I538" s="9">
        <v>4</v>
      </c>
      <c r="J538" s="51">
        <v>1</v>
      </c>
      <c r="K538" s="7">
        <f>tabPontoPed[[#This Row],[QTDMÊS]] * tabPontoPed[[#This Row],[MENSAL]]</f>
        <v>4</v>
      </c>
      <c r="L538" s="13" t="s">
        <v>1012</v>
      </c>
      <c r="M538" s="44"/>
      <c r="N538" s="45" t="str">
        <f>_xlfn.IFNA(IF(VLOOKUP(tabPontoPed[[#This Row],[CÓDIGO]],Excluir_do_Estoque!$A$4:$A$4004,1,FALSE),"sim",""),"")</f>
        <v/>
      </c>
      <c r="O538" s="10" t="str">
        <f t="shared" si="8"/>
        <v>*</v>
      </c>
    </row>
    <row r="539" spans="1:15" x14ac:dyDescent="0.25">
      <c r="A539" s="2">
        <v>88734</v>
      </c>
      <c r="B539" s="4" t="s">
        <v>363</v>
      </c>
      <c r="C539" s="41" t="s">
        <v>1345</v>
      </c>
      <c r="D539" s="42">
        <v>55</v>
      </c>
      <c r="E539" s="43">
        <v>26</v>
      </c>
      <c r="F539" s="50" t="str">
        <f>VLOOKUP(tabPontoPed[[#This Row],[GRUPO]],tabGrupos[#Data],2,FALSE)</f>
        <v>EQUIP. MAT. P/ GERACAO, TRANSM. DISTR. RETIF...</v>
      </c>
      <c r="G539" s="42" t="str">
        <f>VLOOKUP(tabPontoPed[[#This Row],[GRUPO]],tabGrupos[#Data],3,FALSE)</f>
        <v>MEL</v>
      </c>
      <c r="H539" s="41" t="s">
        <v>1339</v>
      </c>
      <c r="I539" s="9">
        <v>4</v>
      </c>
      <c r="J539" s="51">
        <v>1</v>
      </c>
      <c r="K539" s="7">
        <f>tabPontoPed[[#This Row],[QTDMÊS]] * tabPontoPed[[#This Row],[MENSAL]]</f>
        <v>4</v>
      </c>
      <c r="L539" s="13" t="s">
        <v>1012</v>
      </c>
      <c r="M539" s="44"/>
      <c r="N539" s="45" t="str">
        <f>_xlfn.IFNA(IF(VLOOKUP(tabPontoPed[[#This Row],[CÓDIGO]],Excluir_do_Estoque!$A$4:$A$4004,1,FALSE),"sim",""),"")</f>
        <v/>
      </c>
      <c r="O539" s="10" t="str">
        <f t="shared" si="8"/>
        <v>*</v>
      </c>
    </row>
    <row r="540" spans="1:15" x14ac:dyDescent="0.25">
      <c r="A540" s="2">
        <v>88735</v>
      </c>
      <c r="B540" s="4" t="s">
        <v>349</v>
      </c>
      <c r="C540" s="41" t="s">
        <v>1345</v>
      </c>
      <c r="D540" s="42">
        <v>55</v>
      </c>
      <c r="E540" s="43">
        <v>26</v>
      </c>
      <c r="F540" s="50" t="str">
        <f>VLOOKUP(tabPontoPed[[#This Row],[GRUPO]],tabGrupos[#Data],2,FALSE)</f>
        <v>EQUIP. MAT. P/ GERACAO, TRANSM. DISTR. RETIF...</v>
      </c>
      <c r="G540" s="42" t="str">
        <f>VLOOKUP(tabPontoPed[[#This Row],[GRUPO]],tabGrupos[#Data],3,FALSE)</f>
        <v>MEL</v>
      </c>
      <c r="H540" s="41" t="s">
        <v>1339</v>
      </c>
      <c r="I540" s="9">
        <v>4</v>
      </c>
      <c r="J540" s="51">
        <v>2</v>
      </c>
      <c r="K540" s="7">
        <f>tabPontoPed[[#This Row],[QTDMÊS]] * tabPontoPed[[#This Row],[MENSAL]]</f>
        <v>8</v>
      </c>
      <c r="L540" s="13" t="s">
        <v>1012</v>
      </c>
      <c r="M540" s="44"/>
      <c r="N540" s="45" t="str">
        <f>_xlfn.IFNA(IF(VLOOKUP(tabPontoPed[[#This Row],[CÓDIGO]],Excluir_do_Estoque!$A$4:$A$4004,1,FALSE),"sim",""),"")</f>
        <v/>
      </c>
      <c r="O540" s="10" t="str">
        <f t="shared" si="8"/>
        <v>*</v>
      </c>
    </row>
    <row r="541" spans="1:15" x14ac:dyDescent="0.25">
      <c r="A541" s="2">
        <v>88740</v>
      </c>
      <c r="B541" s="4" t="s">
        <v>346</v>
      </c>
      <c r="C541" s="41" t="s">
        <v>1345</v>
      </c>
      <c r="D541" s="42">
        <v>55</v>
      </c>
      <c r="E541" s="43">
        <v>26</v>
      </c>
      <c r="F541" s="50" t="str">
        <f>VLOOKUP(tabPontoPed[[#This Row],[GRUPO]],tabGrupos[#Data],2,FALSE)</f>
        <v>EQUIP. MAT. P/ GERACAO, TRANSM. DISTR. RETIF...</v>
      </c>
      <c r="G541" s="42" t="str">
        <f>VLOOKUP(tabPontoPed[[#This Row],[GRUPO]],tabGrupos[#Data],3,FALSE)</f>
        <v>MEL</v>
      </c>
      <c r="H541" s="41" t="s">
        <v>1339</v>
      </c>
      <c r="I541" s="9">
        <v>4</v>
      </c>
      <c r="J541" s="51">
        <v>2</v>
      </c>
      <c r="K541" s="7">
        <f>tabPontoPed[[#This Row],[QTDMÊS]] * tabPontoPed[[#This Row],[MENSAL]]</f>
        <v>8</v>
      </c>
      <c r="L541" s="13" t="s">
        <v>1012</v>
      </c>
      <c r="M541" s="44"/>
      <c r="N541" s="45" t="str">
        <f>_xlfn.IFNA(IF(VLOOKUP(tabPontoPed[[#This Row],[CÓDIGO]],Excluir_do_Estoque!$A$4:$A$4004,1,FALSE),"sim",""),"")</f>
        <v/>
      </c>
      <c r="O541" s="10" t="str">
        <f t="shared" si="8"/>
        <v>*</v>
      </c>
    </row>
    <row r="542" spans="1:15" x14ac:dyDescent="0.25">
      <c r="A542" s="2">
        <v>88744</v>
      </c>
      <c r="B542" s="4" t="s">
        <v>350</v>
      </c>
      <c r="C542" s="41" t="s">
        <v>1345</v>
      </c>
      <c r="D542" s="42">
        <v>55</v>
      </c>
      <c r="E542" s="43">
        <v>26</v>
      </c>
      <c r="F542" s="50" t="str">
        <f>VLOOKUP(tabPontoPed[[#This Row],[GRUPO]],tabGrupos[#Data],2,FALSE)</f>
        <v>EQUIP. MAT. P/ GERACAO, TRANSM. DISTR. RETIF...</v>
      </c>
      <c r="G542" s="42" t="str">
        <f>VLOOKUP(tabPontoPed[[#This Row],[GRUPO]],tabGrupos[#Data],3,FALSE)</f>
        <v>MEL</v>
      </c>
      <c r="H542" s="41" t="s">
        <v>1339</v>
      </c>
      <c r="I542" s="9">
        <v>4</v>
      </c>
      <c r="J542" s="51">
        <v>1</v>
      </c>
      <c r="K542" s="7">
        <f>tabPontoPed[[#This Row],[QTDMÊS]] * tabPontoPed[[#This Row],[MENSAL]]</f>
        <v>4</v>
      </c>
      <c r="L542" s="13" t="s">
        <v>1012</v>
      </c>
      <c r="M542" s="44"/>
      <c r="N542" s="45" t="str">
        <f>_xlfn.IFNA(IF(VLOOKUP(tabPontoPed[[#This Row],[CÓDIGO]],Excluir_do_Estoque!$A$4:$A$4004,1,FALSE),"sim",""),"")</f>
        <v/>
      </c>
      <c r="O542" s="10" t="str">
        <f t="shared" si="8"/>
        <v>*</v>
      </c>
    </row>
    <row r="543" spans="1:15" x14ac:dyDescent="0.25">
      <c r="A543" s="2">
        <v>88745</v>
      </c>
      <c r="B543" s="4" t="s">
        <v>351</v>
      </c>
      <c r="C543" s="41" t="s">
        <v>1345</v>
      </c>
      <c r="D543" s="42">
        <v>55</v>
      </c>
      <c r="E543" s="43">
        <v>26</v>
      </c>
      <c r="F543" s="50" t="str">
        <f>VLOOKUP(tabPontoPed[[#This Row],[GRUPO]],tabGrupos[#Data],2,FALSE)</f>
        <v>EQUIP. MAT. P/ GERACAO, TRANSM. DISTR. RETIF...</v>
      </c>
      <c r="G543" s="42" t="str">
        <f>VLOOKUP(tabPontoPed[[#This Row],[GRUPO]],tabGrupos[#Data],3,FALSE)</f>
        <v>MEL</v>
      </c>
      <c r="H543" s="41" t="s">
        <v>1339</v>
      </c>
      <c r="I543" s="9">
        <v>4</v>
      </c>
      <c r="J543" s="51">
        <v>1</v>
      </c>
      <c r="K543" s="7">
        <f>tabPontoPed[[#This Row],[QTDMÊS]] * tabPontoPed[[#This Row],[MENSAL]]</f>
        <v>4</v>
      </c>
      <c r="L543" s="13" t="s">
        <v>1012</v>
      </c>
      <c r="M543" s="44"/>
      <c r="N543" s="45" t="str">
        <f>_xlfn.IFNA(IF(VLOOKUP(tabPontoPed[[#This Row],[CÓDIGO]],Excluir_do_Estoque!$A$4:$A$4004,1,FALSE),"sim",""),"")</f>
        <v/>
      </c>
      <c r="O543" s="10" t="str">
        <f t="shared" si="8"/>
        <v>*</v>
      </c>
    </row>
    <row r="544" spans="1:15" x14ac:dyDescent="0.25">
      <c r="A544" s="2">
        <v>88746</v>
      </c>
      <c r="B544" s="4" t="s">
        <v>352</v>
      </c>
      <c r="C544" s="41" t="s">
        <v>1345</v>
      </c>
      <c r="D544" s="42">
        <v>55</v>
      </c>
      <c r="E544" s="43">
        <v>26</v>
      </c>
      <c r="F544" s="50" t="str">
        <f>VLOOKUP(tabPontoPed[[#This Row],[GRUPO]],tabGrupos[#Data],2,FALSE)</f>
        <v>EQUIP. MAT. P/ GERACAO, TRANSM. DISTR. RETIF...</v>
      </c>
      <c r="G544" s="42" t="str">
        <f>VLOOKUP(tabPontoPed[[#This Row],[GRUPO]],tabGrupos[#Data],3,FALSE)</f>
        <v>MEL</v>
      </c>
      <c r="H544" s="41" t="s">
        <v>1339</v>
      </c>
      <c r="I544" s="9">
        <v>4</v>
      </c>
      <c r="J544" s="51">
        <v>1</v>
      </c>
      <c r="K544" s="7">
        <f>tabPontoPed[[#This Row],[QTDMÊS]] * tabPontoPed[[#This Row],[MENSAL]]</f>
        <v>4</v>
      </c>
      <c r="L544" s="13" t="s">
        <v>1012</v>
      </c>
      <c r="M544" s="44"/>
      <c r="N544" s="45" t="str">
        <f>_xlfn.IFNA(IF(VLOOKUP(tabPontoPed[[#This Row],[CÓDIGO]],Excluir_do_Estoque!$A$4:$A$4004,1,FALSE),"sim",""),"")</f>
        <v/>
      </c>
      <c r="O544" s="10" t="str">
        <f t="shared" si="8"/>
        <v>*</v>
      </c>
    </row>
    <row r="545" spans="1:15" x14ac:dyDescent="0.25">
      <c r="A545" s="2">
        <v>88747</v>
      </c>
      <c r="B545" s="4" t="s">
        <v>353</v>
      </c>
      <c r="C545" s="41" t="s">
        <v>1345</v>
      </c>
      <c r="D545" s="42">
        <v>55</v>
      </c>
      <c r="E545" s="43">
        <v>26</v>
      </c>
      <c r="F545" s="50" t="str">
        <f>VLOOKUP(tabPontoPed[[#This Row],[GRUPO]],tabGrupos[#Data],2,FALSE)</f>
        <v>EQUIP. MAT. P/ GERACAO, TRANSM. DISTR. RETIF...</v>
      </c>
      <c r="G545" s="42" t="str">
        <f>VLOOKUP(tabPontoPed[[#This Row],[GRUPO]],tabGrupos[#Data],3,FALSE)</f>
        <v>MEL</v>
      </c>
      <c r="H545" s="41" t="s">
        <v>1339</v>
      </c>
      <c r="I545" s="9">
        <v>4</v>
      </c>
      <c r="J545" s="51">
        <v>1</v>
      </c>
      <c r="K545" s="7">
        <f>tabPontoPed[[#This Row],[QTDMÊS]] * tabPontoPed[[#This Row],[MENSAL]]</f>
        <v>4</v>
      </c>
      <c r="L545" s="13" t="s">
        <v>1012</v>
      </c>
      <c r="M545" s="44"/>
      <c r="N545" s="45" t="str">
        <f>_xlfn.IFNA(IF(VLOOKUP(tabPontoPed[[#This Row],[CÓDIGO]],Excluir_do_Estoque!$A$4:$A$4004,1,FALSE),"sim",""),"")</f>
        <v/>
      </c>
      <c r="O545" s="10" t="str">
        <f t="shared" si="8"/>
        <v>*</v>
      </c>
    </row>
    <row r="546" spans="1:15" x14ac:dyDescent="0.25">
      <c r="A546" s="2">
        <v>88838</v>
      </c>
      <c r="B546" s="4" t="s">
        <v>167</v>
      </c>
      <c r="C546" s="41" t="s">
        <v>1345</v>
      </c>
      <c r="D546" s="42">
        <v>83</v>
      </c>
      <c r="E546" s="43">
        <v>2</v>
      </c>
      <c r="F546" s="50" t="str">
        <f>VLOOKUP(tabPontoPed[[#This Row],[GRUPO]],tabGrupos[#Data],2,FALSE)</f>
        <v>ABRASIVOS</v>
      </c>
      <c r="G546" s="42" t="str">
        <f>VLOOKUP(tabPontoPed[[#This Row],[GRUPO]],tabGrupos[#Data],3,FALSE)</f>
        <v>MAN</v>
      </c>
      <c r="H546" s="41" t="s">
        <v>1339</v>
      </c>
      <c r="I546" s="9">
        <v>4</v>
      </c>
      <c r="J546" s="51">
        <v>103</v>
      </c>
      <c r="K546" s="7">
        <f>tabPontoPed[[#This Row],[QTDMÊS]] * tabPontoPed[[#This Row],[MENSAL]]</f>
        <v>412</v>
      </c>
      <c r="L546" s="13" t="s">
        <v>1012</v>
      </c>
      <c r="M546" s="44"/>
      <c r="N546" s="45" t="str">
        <f>_xlfn.IFNA(IF(VLOOKUP(tabPontoPed[[#This Row],[CÓDIGO]],Excluir_do_Estoque!$A$4:$A$4004,1,FALSE),"sim",""),"")</f>
        <v/>
      </c>
      <c r="O546" s="10" t="str">
        <f t="shared" si="8"/>
        <v>*</v>
      </c>
    </row>
    <row r="547" spans="1:15" x14ac:dyDescent="0.25">
      <c r="A547" s="2">
        <v>88839</v>
      </c>
      <c r="B547" s="4" t="s">
        <v>177</v>
      </c>
      <c r="C547" s="41" t="s">
        <v>1345</v>
      </c>
      <c r="D547" s="42">
        <v>76</v>
      </c>
      <c r="E547" s="43">
        <v>13</v>
      </c>
      <c r="F547" s="50" t="str">
        <f>VLOOKUP(tabPontoPed[[#This Row],[GRUPO]],tabGrupos[#Data],2,FALSE)</f>
        <v>EQUIP. E MATERIAIS P/PINTURAS E IMPERMEABILIZACAO</v>
      </c>
      <c r="G547" s="42" t="str">
        <f>VLOOKUP(tabPontoPed[[#This Row],[GRUPO]],tabGrupos[#Data],3,FALSE)</f>
        <v>MPI</v>
      </c>
      <c r="H547" s="41" t="s">
        <v>1339</v>
      </c>
      <c r="I547" s="9">
        <v>4</v>
      </c>
      <c r="J547" s="51">
        <v>2</v>
      </c>
      <c r="K547" s="7">
        <f>tabPontoPed[[#This Row],[QTDMÊS]] * tabPontoPed[[#This Row],[MENSAL]]</f>
        <v>8</v>
      </c>
      <c r="L547" s="13" t="s">
        <v>1012</v>
      </c>
      <c r="M547" s="44"/>
      <c r="N547" s="45" t="str">
        <f>_xlfn.IFNA(IF(VLOOKUP(tabPontoPed[[#This Row],[CÓDIGO]],Excluir_do_Estoque!$A$4:$A$4004,1,FALSE),"sim",""),"")</f>
        <v/>
      </c>
      <c r="O547" s="10" t="str">
        <f t="shared" si="8"/>
        <v>*</v>
      </c>
    </row>
    <row r="548" spans="1:15" x14ac:dyDescent="0.25">
      <c r="A548" s="2">
        <v>88849</v>
      </c>
      <c r="B548" s="4" t="s">
        <v>835</v>
      </c>
      <c r="C548" s="41" t="s">
        <v>1345</v>
      </c>
      <c r="D548" s="42">
        <v>67</v>
      </c>
      <c r="E548" s="43">
        <v>5</v>
      </c>
      <c r="F548" s="50" t="str">
        <f>VLOOKUP(tabPontoPed[[#This Row],[GRUPO]],tabGrupos[#Data],2,FALSE)</f>
        <v>PARAFUSOS ELEM. VEDACAO UNIAO CONEX . FIXACAO</v>
      </c>
      <c r="G548" s="42" t="str">
        <f>VLOOKUP(tabPontoPed[[#This Row],[GRUPO]],tabGrupos[#Data],3,FALSE)</f>
        <v>MSE</v>
      </c>
      <c r="H548" s="41" t="s">
        <v>1339</v>
      </c>
      <c r="I548" s="9">
        <v>4</v>
      </c>
      <c r="J548" s="51">
        <v>19</v>
      </c>
      <c r="K548" s="7">
        <f>tabPontoPed[[#This Row],[QTDMÊS]] * tabPontoPed[[#This Row],[MENSAL]]</f>
        <v>76</v>
      </c>
      <c r="L548" s="13" t="s">
        <v>1012</v>
      </c>
      <c r="M548" s="44"/>
      <c r="N548" s="45" t="str">
        <f>_xlfn.IFNA(IF(VLOOKUP(tabPontoPed[[#This Row],[CÓDIGO]],Excluir_do_Estoque!$A$4:$A$4004,1,FALSE),"sim",""),"")</f>
        <v/>
      </c>
      <c r="O548" s="10" t="str">
        <f t="shared" si="8"/>
        <v>*</v>
      </c>
    </row>
    <row r="549" spans="1:15" x14ac:dyDescent="0.25">
      <c r="A549" s="2">
        <v>88856</v>
      </c>
      <c r="B549" s="4" t="s">
        <v>882</v>
      </c>
      <c r="C549" s="41" t="s">
        <v>1345</v>
      </c>
      <c r="D549" s="42">
        <v>69</v>
      </c>
      <c r="E549" s="43">
        <v>2</v>
      </c>
      <c r="F549" s="50" t="str">
        <f>VLOOKUP(tabPontoPed[[#This Row],[GRUPO]],tabGrupos[#Data],2,FALSE)</f>
        <v>METAIS,LAMINAD.,PERFILADOS E ARTEFATOS METALICOS</v>
      </c>
      <c r="G549" s="42" t="str">
        <f>VLOOKUP(tabPontoPed[[#This Row],[GRUPO]],tabGrupos[#Data],3,FALSE)</f>
        <v>MSE</v>
      </c>
      <c r="H549" s="41" t="s">
        <v>1339</v>
      </c>
      <c r="I549" s="9">
        <v>4</v>
      </c>
      <c r="J549" s="51">
        <v>5</v>
      </c>
      <c r="K549" s="7">
        <f>tabPontoPed[[#This Row],[QTDMÊS]] * tabPontoPed[[#This Row],[MENSAL]]</f>
        <v>20</v>
      </c>
      <c r="L549" s="13" t="s">
        <v>1012</v>
      </c>
      <c r="M549" s="44"/>
      <c r="N549" s="45" t="str">
        <f>_xlfn.IFNA(IF(VLOOKUP(tabPontoPed[[#This Row],[CÓDIGO]],Excluir_do_Estoque!$A$4:$A$4004,1,FALSE),"sim",""),"")</f>
        <v/>
      </c>
      <c r="O549" s="10" t="str">
        <f t="shared" si="8"/>
        <v>*</v>
      </c>
    </row>
    <row r="550" spans="1:15" x14ac:dyDescent="0.25">
      <c r="A550" s="2">
        <v>88876</v>
      </c>
      <c r="B550" s="4" t="s">
        <v>543</v>
      </c>
      <c r="C550" s="41" t="s">
        <v>1345</v>
      </c>
      <c r="D550" s="42">
        <v>51</v>
      </c>
      <c r="E550" s="43">
        <v>26</v>
      </c>
      <c r="F550" s="50" t="str">
        <f>VLOOKUP(tabPontoPed[[#This Row],[GRUPO]],tabGrupos[#Data],2,FALSE)</f>
        <v>MAT.E EQUIP. P/ CONSTR.CIVIL E CONSERV. DE VIAS PUBL.</v>
      </c>
      <c r="G550" s="42" t="str">
        <f>VLOOKUP(tabPontoPed[[#This Row],[GRUPO]],tabGrupos[#Data],3,FALSE)</f>
        <v>MCO</v>
      </c>
      <c r="H550" s="41" t="s">
        <v>1339</v>
      </c>
      <c r="I550" s="9">
        <v>4</v>
      </c>
      <c r="J550" s="51">
        <v>0</v>
      </c>
      <c r="K550" s="7">
        <f>tabPontoPed[[#This Row],[QTDMÊS]] * tabPontoPed[[#This Row],[MENSAL]]</f>
        <v>0</v>
      </c>
      <c r="L550" s="13" t="s">
        <v>1012</v>
      </c>
      <c r="M550" s="44"/>
      <c r="N550" s="45" t="str">
        <f>_xlfn.IFNA(IF(VLOOKUP(tabPontoPed[[#This Row],[CÓDIGO]],Excluir_do_Estoque!$A$4:$A$4004,1,FALSE),"sim",""),"")</f>
        <v/>
      </c>
      <c r="O550" s="10" t="str">
        <f t="shared" si="8"/>
        <v>*</v>
      </c>
    </row>
    <row r="551" spans="1:15" x14ac:dyDescent="0.25">
      <c r="A551" s="2">
        <v>88989</v>
      </c>
      <c r="B551" s="4" t="s">
        <v>578</v>
      </c>
      <c r="C551" s="41" t="s">
        <v>1345</v>
      </c>
      <c r="D551" s="42">
        <v>54</v>
      </c>
      <c r="E551" s="43">
        <v>4</v>
      </c>
      <c r="F551" s="50" t="str">
        <f>VLOOKUP(tabPontoPed[[#This Row],[GRUPO]],tabGrupos[#Data],2,FALSE)</f>
        <v>EQUIP PROT IND, INST MAT P/ SINAL, CONTR, COMB ...</v>
      </c>
      <c r="G551" s="42" t="str">
        <f>VLOOKUP(tabPontoPed[[#This Row],[GRUPO]],tabGrupos[#Data],3,FALSE)</f>
        <v>MAN</v>
      </c>
      <c r="H551" s="41" t="s">
        <v>1339</v>
      </c>
      <c r="I551" s="9">
        <v>4</v>
      </c>
      <c r="J551" s="51">
        <v>1</v>
      </c>
      <c r="K551" s="7">
        <f>tabPontoPed[[#This Row],[QTDMÊS]] * tabPontoPed[[#This Row],[MENSAL]]</f>
        <v>4</v>
      </c>
      <c r="L551" s="13" t="s">
        <v>1012</v>
      </c>
      <c r="M551" s="44"/>
      <c r="N551" s="45" t="str">
        <f>_xlfn.IFNA(IF(VLOOKUP(tabPontoPed[[#This Row],[CÓDIGO]],Excluir_do_Estoque!$A$4:$A$4004,1,FALSE),"sim",""),"")</f>
        <v/>
      </c>
      <c r="O551" s="10" t="str">
        <f t="shared" si="8"/>
        <v>*</v>
      </c>
    </row>
    <row r="552" spans="1:15" x14ac:dyDescent="0.25">
      <c r="A552" s="2">
        <v>88992</v>
      </c>
      <c r="B552" s="4" t="s">
        <v>579</v>
      </c>
      <c r="C552" s="41" t="s">
        <v>1345</v>
      </c>
      <c r="D552" s="42">
        <v>54</v>
      </c>
      <c r="E552" s="43">
        <v>4</v>
      </c>
      <c r="F552" s="50" t="str">
        <f>VLOOKUP(tabPontoPed[[#This Row],[GRUPO]],tabGrupos[#Data],2,FALSE)</f>
        <v>EQUIP PROT IND, INST MAT P/ SINAL, CONTR, COMB ...</v>
      </c>
      <c r="G552" s="42" t="str">
        <f>VLOOKUP(tabPontoPed[[#This Row],[GRUPO]],tabGrupos[#Data],3,FALSE)</f>
        <v>MAN</v>
      </c>
      <c r="H552" s="41" t="s">
        <v>1339</v>
      </c>
      <c r="I552" s="9">
        <v>4</v>
      </c>
      <c r="J552" s="51">
        <v>1</v>
      </c>
      <c r="K552" s="7">
        <f>tabPontoPed[[#This Row],[QTDMÊS]] * tabPontoPed[[#This Row],[MENSAL]]</f>
        <v>4</v>
      </c>
      <c r="L552" s="13" t="s">
        <v>1012</v>
      </c>
      <c r="M552" s="44"/>
      <c r="N552" s="45" t="str">
        <f>_xlfn.IFNA(IF(VLOOKUP(tabPontoPed[[#This Row],[CÓDIGO]],Excluir_do_Estoque!$A$4:$A$4004,1,FALSE),"sim",""),"")</f>
        <v/>
      </c>
      <c r="O552" s="10" t="str">
        <f t="shared" si="8"/>
        <v>*</v>
      </c>
    </row>
    <row r="553" spans="1:15" x14ac:dyDescent="0.25">
      <c r="A553" s="2">
        <v>88993</v>
      </c>
      <c r="B553" s="4" t="s">
        <v>580</v>
      </c>
      <c r="C553" s="41" t="s">
        <v>1345</v>
      </c>
      <c r="D553" s="42">
        <v>54</v>
      </c>
      <c r="E553" s="43">
        <v>4</v>
      </c>
      <c r="F553" s="50" t="str">
        <f>VLOOKUP(tabPontoPed[[#This Row],[GRUPO]],tabGrupos[#Data],2,FALSE)</f>
        <v>EQUIP PROT IND, INST MAT P/ SINAL, CONTR, COMB ...</v>
      </c>
      <c r="G553" s="42" t="str">
        <f>VLOOKUP(tabPontoPed[[#This Row],[GRUPO]],tabGrupos[#Data],3,FALSE)</f>
        <v>MAN</v>
      </c>
      <c r="H553" s="41" t="s">
        <v>1339</v>
      </c>
      <c r="I553" s="9">
        <v>4</v>
      </c>
      <c r="J553" s="51">
        <v>1</v>
      </c>
      <c r="K553" s="7">
        <f>tabPontoPed[[#This Row],[QTDMÊS]] * tabPontoPed[[#This Row],[MENSAL]]</f>
        <v>4</v>
      </c>
      <c r="L553" s="13" t="s">
        <v>1012</v>
      </c>
      <c r="M553" s="44"/>
      <c r="N553" s="45" t="str">
        <f>_xlfn.IFNA(IF(VLOOKUP(tabPontoPed[[#This Row],[CÓDIGO]],Excluir_do_Estoque!$A$4:$A$4004,1,FALSE),"sim",""),"")</f>
        <v/>
      </c>
      <c r="O553" s="10" t="str">
        <f t="shared" si="8"/>
        <v>*</v>
      </c>
    </row>
    <row r="554" spans="1:15" x14ac:dyDescent="0.25">
      <c r="A554" s="2">
        <v>89818</v>
      </c>
      <c r="B554" s="4" t="s">
        <v>581</v>
      </c>
      <c r="C554" s="41" t="s">
        <v>1345</v>
      </c>
      <c r="D554" s="42">
        <v>54</v>
      </c>
      <c r="E554" s="43">
        <v>4</v>
      </c>
      <c r="F554" s="50" t="str">
        <f>VLOOKUP(tabPontoPed[[#This Row],[GRUPO]],tabGrupos[#Data],2,FALSE)</f>
        <v>EQUIP PROT IND, INST MAT P/ SINAL, CONTR, COMB ...</v>
      </c>
      <c r="G554" s="42" t="str">
        <f>VLOOKUP(tabPontoPed[[#This Row],[GRUPO]],tabGrupos[#Data],3,FALSE)</f>
        <v>MAN</v>
      </c>
      <c r="H554" s="41" t="s">
        <v>1339</v>
      </c>
      <c r="I554" s="9">
        <v>4</v>
      </c>
      <c r="J554" s="51">
        <v>2</v>
      </c>
      <c r="K554" s="7">
        <f>tabPontoPed[[#This Row],[QTDMÊS]] * tabPontoPed[[#This Row],[MENSAL]]</f>
        <v>8</v>
      </c>
      <c r="L554" s="13" t="s">
        <v>1012</v>
      </c>
      <c r="M554" s="44"/>
      <c r="N554" s="45" t="str">
        <f>_xlfn.IFNA(IF(VLOOKUP(tabPontoPed[[#This Row],[CÓDIGO]],Excluir_do_Estoque!$A$4:$A$4004,1,FALSE),"sim",""),"")</f>
        <v/>
      </c>
      <c r="O554" s="10" t="str">
        <f t="shared" si="8"/>
        <v>*</v>
      </c>
    </row>
    <row r="555" spans="1:15" x14ac:dyDescent="0.25">
      <c r="A555" s="2">
        <v>89855</v>
      </c>
      <c r="B555" s="4" t="s">
        <v>987</v>
      </c>
      <c r="C555" s="41" t="s">
        <v>1345</v>
      </c>
      <c r="D555" s="42">
        <v>83</v>
      </c>
      <c r="E555" s="43">
        <v>3</v>
      </c>
      <c r="F555" s="50" t="str">
        <f>VLOOKUP(tabPontoPed[[#This Row],[GRUPO]],tabGrupos[#Data],2,FALSE)</f>
        <v>ABRASIVOS</v>
      </c>
      <c r="G555" s="42" t="str">
        <f>VLOOKUP(tabPontoPed[[#This Row],[GRUPO]],tabGrupos[#Data],3,FALSE)</f>
        <v>MAN</v>
      </c>
      <c r="H555" s="41" t="s">
        <v>1339</v>
      </c>
      <c r="I555" s="9">
        <v>4</v>
      </c>
      <c r="J555" s="51">
        <v>0</v>
      </c>
      <c r="K555" s="7">
        <f>tabPontoPed[[#This Row],[QTDMÊS]] * tabPontoPed[[#This Row],[MENSAL]]</f>
        <v>0</v>
      </c>
      <c r="L555" s="13" t="s">
        <v>1012</v>
      </c>
      <c r="M555" s="44"/>
      <c r="N555" s="45" t="str">
        <f>_xlfn.IFNA(IF(VLOOKUP(tabPontoPed[[#This Row],[CÓDIGO]],Excluir_do_Estoque!$A$4:$A$4004,1,FALSE),"sim",""),"")</f>
        <v/>
      </c>
      <c r="O555" s="10" t="str">
        <f t="shared" si="8"/>
        <v>*</v>
      </c>
    </row>
    <row r="556" spans="1:15" x14ac:dyDescent="0.25">
      <c r="A556" s="2">
        <v>89863</v>
      </c>
      <c r="B556" s="4" t="s">
        <v>823</v>
      </c>
      <c r="C556" s="41" t="s">
        <v>1345</v>
      </c>
      <c r="D556" s="42">
        <v>67</v>
      </c>
      <c r="E556" s="43">
        <v>3</v>
      </c>
      <c r="F556" s="50" t="str">
        <f>VLOOKUP(tabPontoPed[[#This Row],[GRUPO]],tabGrupos[#Data],2,FALSE)</f>
        <v>PARAFUSOS ELEM. VEDACAO UNIAO CONEX . FIXACAO</v>
      </c>
      <c r="G556" s="42" t="str">
        <f>VLOOKUP(tabPontoPed[[#This Row],[GRUPO]],tabGrupos[#Data],3,FALSE)</f>
        <v>MSE</v>
      </c>
      <c r="H556" s="41" t="s">
        <v>1339</v>
      </c>
      <c r="I556" s="9">
        <v>4</v>
      </c>
      <c r="J556" s="51">
        <v>18</v>
      </c>
      <c r="K556" s="7">
        <f>tabPontoPed[[#This Row],[QTDMÊS]] * tabPontoPed[[#This Row],[MENSAL]]</f>
        <v>72</v>
      </c>
      <c r="L556" s="13" t="s">
        <v>1012</v>
      </c>
      <c r="M556" s="44"/>
      <c r="N556" s="45" t="str">
        <f>_xlfn.IFNA(IF(VLOOKUP(tabPontoPed[[#This Row],[CÓDIGO]],Excluir_do_Estoque!$A$4:$A$4004,1,FALSE),"sim",""),"")</f>
        <v/>
      </c>
      <c r="O556" s="10" t="str">
        <f t="shared" si="8"/>
        <v>*</v>
      </c>
    </row>
    <row r="557" spans="1:15" x14ac:dyDescent="0.25">
      <c r="A557" s="2">
        <v>89864</v>
      </c>
      <c r="B557" s="4" t="s">
        <v>824</v>
      </c>
      <c r="C557" s="41" t="s">
        <v>1345</v>
      </c>
      <c r="D557" s="42">
        <v>67</v>
      </c>
      <c r="E557" s="43">
        <v>3</v>
      </c>
      <c r="F557" s="50" t="str">
        <f>VLOOKUP(tabPontoPed[[#This Row],[GRUPO]],tabGrupos[#Data],2,FALSE)</f>
        <v>PARAFUSOS ELEM. VEDACAO UNIAO CONEX . FIXACAO</v>
      </c>
      <c r="G557" s="42" t="str">
        <f>VLOOKUP(tabPontoPed[[#This Row],[GRUPO]],tabGrupos[#Data],3,FALSE)</f>
        <v>MSE</v>
      </c>
      <c r="H557" s="41" t="s">
        <v>1339</v>
      </c>
      <c r="I557" s="9">
        <v>4</v>
      </c>
      <c r="J557" s="51">
        <v>3</v>
      </c>
      <c r="K557" s="7">
        <f>tabPontoPed[[#This Row],[QTDMÊS]] * tabPontoPed[[#This Row],[MENSAL]]</f>
        <v>12</v>
      </c>
      <c r="L557" s="13" t="s">
        <v>1012</v>
      </c>
      <c r="M557" s="44"/>
      <c r="N557" s="45" t="str">
        <f>_xlfn.IFNA(IF(VLOOKUP(tabPontoPed[[#This Row],[CÓDIGO]],Excluir_do_Estoque!$A$4:$A$4004,1,FALSE),"sim",""),"")</f>
        <v/>
      </c>
      <c r="O557" s="10" t="str">
        <f t="shared" si="8"/>
        <v>*</v>
      </c>
    </row>
    <row r="558" spans="1:15" x14ac:dyDescent="0.25">
      <c r="A558" s="2">
        <v>89865</v>
      </c>
      <c r="B558" s="4" t="s">
        <v>825</v>
      </c>
      <c r="C558" s="41" t="s">
        <v>1345</v>
      </c>
      <c r="D558" s="42">
        <v>67</v>
      </c>
      <c r="E558" s="43">
        <v>3</v>
      </c>
      <c r="F558" s="50" t="str">
        <f>VLOOKUP(tabPontoPed[[#This Row],[GRUPO]],tabGrupos[#Data],2,FALSE)</f>
        <v>PARAFUSOS ELEM. VEDACAO UNIAO CONEX . FIXACAO</v>
      </c>
      <c r="G558" s="42" t="str">
        <f>VLOOKUP(tabPontoPed[[#This Row],[GRUPO]],tabGrupos[#Data],3,FALSE)</f>
        <v>MSE</v>
      </c>
      <c r="H558" s="41" t="s">
        <v>1339</v>
      </c>
      <c r="I558" s="9">
        <v>4</v>
      </c>
      <c r="J558" s="51">
        <v>7</v>
      </c>
      <c r="K558" s="7">
        <f>tabPontoPed[[#This Row],[QTDMÊS]] * tabPontoPed[[#This Row],[MENSAL]]</f>
        <v>28</v>
      </c>
      <c r="L558" s="13" t="s">
        <v>1012</v>
      </c>
      <c r="M558" s="44"/>
      <c r="N558" s="45" t="str">
        <f>_xlfn.IFNA(IF(VLOOKUP(tabPontoPed[[#This Row],[CÓDIGO]],Excluir_do_Estoque!$A$4:$A$4004,1,FALSE),"sim",""),"")</f>
        <v/>
      </c>
      <c r="O558" s="10" t="str">
        <f t="shared" si="8"/>
        <v>*</v>
      </c>
    </row>
    <row r="559" spans="1:15" x14ac:dyDescent="0.25">
      <c r="A559" s="2">
        <v>90500</v>
      </c>
      <c r="B559" s="4" t="s">
        <v>623</v>
      </c>
      <c r="C559" s="41" t="s">
        <v>1345</v>
      </c>
      <c r="D559" s="42">
        <v>55</v>
      </c>
      <c r="E559" s="43">
        <v>19</v>
      </c>
      <c r="F559" s="50" t="str">
        <f>VLOOKUP(tabPontoPed[[#This Row],[GRUPO]],tabGrupos[#Data],2,FALSE)</f>
        <v>EQUIP. MAT. P/ GERACAO, TRANSM. DISTR. RETIF...</v>
      </c>
      <c r="G559" s="42" t="str">
        <f>VLOOKUP(tabPontoPed[[#This Row],[GRUPO]],tabGrupos[#Data],3,FALSE)</f>
        <v>MEL</v>
      </c>
      <c r="H559" s="41" t="s">
        <v>1339</v>
      </c>
      <c r="I559" s="9">
        <v>4</v>
      </c>
      <c r="J559" s="51">
        <v>83</v>
      </c>
      <c r="K559" s="7">
        <f>tabPontoPed[[#This Row],[QTDMÊS]] * tabPontoPed[[#This Row],[MENSAL]]</f>
        <v>332</v>
      </c>
      <c r="L559" s="13" t="s">
        <v>1012</v>
      </c>
      <c r="M559" s="44"/>
      <c r="N559" s="45" t="str">
        <f>_xlfn.IFNA(IF(VLOOKUP(tabPontoPed[[#This Row],[CÓDIGO]],Excluir_do_Estoque!$A$4:$A$4004,1,FALSE),"sim",""),"")</f>
        <v/>
      </c>
      <c r="O559" s="10" t="str">
        <f t="shared" si="8"/>
        <v>*</v>
      </c>
    </row>
    <row r="560" spans="1:15" x14ac:dyDescent="0.25">
      <c r="A560" s="2">
        <v>90502</v>
      </c>
      <c r="B560" s="4" t="s">
        <v>126</v>
      </c>
      <c r="C560" s="41" t="s">
        <v>1345</v>
      </c>
      <c r="D560" s="42">
        <v>55</v>
      </c>
      <c r="E560" s="43">
        <v>19</v>
      </c>
      <c r="F560" s="50" t="str">
        <f>VLOOKUP(tabPontoPed[[#This Row],[GRUPO]],tabGrupos[#Data],2,FALSE)</f>
        <v>EQUIP. MAT. P/ GERACAO, TRANSM. DISTR. RETIF...</v>
      </c>
      <c r="G560" s="42" t="str">
        <f>VLOOKUP(tabPontoPed[[#This Row],[GRUPO]],tabGrupos[#Data],3,FALSE)</f>
        <v>MEL</v>
      </c>
      <c r="H560" s="41" t="s">
        <v>1339</v>
      </c>
      <c r="I560" s="9">
        <v>4</v>
      </c>
      <c r="J560" s="51">
        <v>160</v>
      </c>
      <c r="K560" s="7">
        <f>tabPontoPed[[#This Row],[QTDMÊS]] * tabPontoPed[[#This Row],[MENSAL]]</f>
        <v>640</v>
      </c>
      <c r="L560" s="13" t="s">
        <v>1012</v>
      </c>
      <c r="M560" s="44"/>
      <c r="N560" s="45" t="str">
        <f>_xlfn.IFNA(IF(VLOOKUP(tabPontoPed[[#This Row],[CÓDIGO]],Excluir_do_Estoque!$A$4:$A$4004,1,FALSE),"sim",""),"")</f>
        <v/>
      </c>
      <c r="O560" s="10" t="str">
        <f t="shared" si="8"/>
        <v>*</v>
      </c>
    </row>
    <row r="561" spans="1:15" x14ac:dyDescent="0.25">
      <c r="A561" s="2">
        <v>91250</v>
      </c>
      <c r="B561" s="4" t="s">
        <v>481</v>
      </c>
      <c r="C561" s="41" t="s">
        <v>1345</v>
      </c>
      <c r="D561" s="42">
        <v>45</v>
      </c>
      <c r="E561" s="43">
        <v>17</v>
      </c>
      <c r="F561" s="50" t="str">
        <f>VLOOKUP(tabPontoPed[[#This Row],[GRUPO]],tabGrupos[#Data],2,FALSE)</f>
        <v>MAQ., EQUIP., COMP., ACES., MAT. PARA ESCRIT.E ESCOLAR</v>
      </c>
      <c r="G561" s="42" t="str">
        <f>VLOOKUP(tabPontoPed[[#This Row],[GRUPO]],tabGrupos[#Data],3,FALSE)</f>
        <v>EDU</v>
      </c>
      <c r="H561" s="41" t="s">
        <v>1339</v>
      </c>
      <c r="I561" s="9">
        <v>4</v>
      </c>
      <c r="J561" s="51">
        <v>6</v>
      </c>
      <c r="K561" s="7">
        <f>tabPontoPed[[#This Row],[QTDMÊS]] * tabPontoPed[[#This Row],[MENSAL]]</f>
        <v>24</v>
      </c>
      <c r="L561" s="13" t="s">
        <v>1012</v>
      </c>
      <c r="M561" s="44"/>
      <c r="N561" s="45" t="str">
        <f>_xlfn.IFNA(IF(VLOOKUP(tabPontoPed[[#This Row],[CÓDIGO]],Excluir_do_Estoque!$A$4:$A$4004,1,FALSE),"sim",""),"")</f>
        <v/>
      </c>
      <c r="O561" s="10" t="str">
        <f t="shared" si="8"/>
        <v>*</v>
      </c>
    </row>
    <row r="562" spans="1:15" x14ac:dyDescent="0.25">
      <c r="A562" s="2">
        <v>91669</v>
      </c>
      <c r="B562" s="4" t="s">
        <v>386</v>
      </c>
      <c r="C562" s="41" t="s">
        <v>1345</v>
      </c>
      <c r="D562" s="42">
        <v>72</v>
      </c>
      <c r="E562" s="43">
        <v>9</v>
      </c>
      <c r="F562" s="50" t="str">
        <f>VLOOKUP(tabPontoPed[[#This Row],[GRUPO]],tabGrupos[#Data],2,FALSE)</f>
        <v>MAQ.EQUIP.E MATERIAIS P/ HIGIEN.LIMP.POLIM.E LUBR.</v>
      </c>
      <c r="G562" s="42" t="str">
        <f>VLOOKUP(tabPontoPed[[#This Row],[GRUPO]],tabGrupos[#Data],3,FALSE)</f>
        <v>ADM</v>
      </c>
      <c r="H562" s="41" t="s">
        <v>1339</v>
      </c>
      <c r="I562" s="9">
        <v>4</v>
      </c>
      <c r="J562" s="51">
        <v>189</v>
      </c>
      <c r="K562" s="7">
        <f>tabPontoPed[[#This Row],[QTDMÊS]] * tabPontoPed[[#This Row],[MENSAL]]</f>
        <v>756</v>
      </c>
      <c r="L562" s="13" t="s">
        <v>1012</v>
      </c>
      <c r="M562" s="44"/>
      <c r="N562" s="45" t="str">
        <f>_xlfn.IFNA(IF(VLOOKUP(tabPontoPed[[#This Row],[CÓDIGO]],Excluir_do_Estoque!$A$4:$A$4004,1,FALSE),"sim",""),"")</f>
        <v/>
      </c>
      <c r="O562" s="10" t="str">
        <f t="shared" si="8"/>
        <v>*</v>
      </c>
    </row>
    <row r="563" spans="1:15" x14ac:dyDescent="0.25">
      <c r="A563" s="2">
        <v>91811</v>
      </c>
      <c r="B563" s="4" t="s">
        <v>191</v>
      </c>
      <c r="C563" s="41" t="s">
        <v>1345</v>
      </c>
      <c r="D563" s="42">
        <v>72</v>
      </c>
      <c r="E563" s="43">
        <v>5</v>
      </c>
      <c r="F563" s="50" t="str">
        <f>VLOOKUP(tabPontoPed[[#This Row],[GRUPO]],tabGrupos[#Data],2,FALSE)</f>
        <v>MAQ.EQUIP.E MATERIAIS P/ HIGIEN.LIMP.POLIM.E LUBR.</v>
      </c>
      <c r="G563" s="42" t="str">
        <f>VLOOKUP(tabPontoPed[[#This Row],[GRUPO]],tabGrupos[#Data],3,FALSE)</f>
        <v>ADM</v>
      </c>
      <c r="H563" s="41" t="s">
        <v>1339</v>
      </c>
      <c r="I563" s="9">
        <v>4</v>
      </c>
      <c r="J563" s="51">
        <v>35</v>
      </c>
      <c r="K563" s="7">
        <f>tabPontoPed[[#This Row],[QTDMÊS]] * tabPontoPed[[#This Row],[MENSAL]]</f>
        <v>140</v>
      </c>
      <c r="L563" s="13" t="s">
        <v>1012</v>
      </c>
      <c r="M563" s="44"/>
      <c r="N563" s="45" t="str">
        <f>_xlfn.IFNA(IF(VLOOKUP(tabPontoPed[[#This Row],[CÓDIGO]],Excluir_do_Estoque!$A$4:$A$4004,1,FALSE),"sim",""),"")</f>
        <v/>
      </c>
      <c r="O563" s="10" t="str">
        <f t="shared" si="8"/>
        <v>*</v>
      </c>
    </row>
    <row r="564" spans="1:15" x14ac:dyDescent="0.25">
      <c r="A564" s="2">
        <v>91868</v>
      </c>
      <c r="B564" s="4" t="s">
        <v>934</v>
      </c>
      <c r="C564" s="41" t="s">
        <v>1345</v>
      </c>
      <c r="D564" s="42">
        <v>72</v>
      </c>
      <c r="E564" s="43">
        <v>5</v>
      </c>
      <c r="F564" s="50" t="str">
        <f>VLOOKUP(tabPontoPed[[#This Row],[GRUPO]],tabGrupos[#Data],2,FALSE)</f>
        <v>MAQ.EQUIP.E MATERIAIS P/ HIGIEN.LIMP.POLIM.E LUBR.</v>
      </c>
      <c r="G564" s="42" t="str">
        <f>VLOOKUP(tabPontoPed[[#This Row],[GRUPO]],tabGrupos[#Data],3,FALSE)</f>
        <v>ADM</v>
      </c>
      <c r="H564" s="41" t="s">
        <v>1339</v>
      </c>
      <c r="I564" s="9">
        <v>4</v>
      </c>
      <c r="J564" s="51">
        <v>8</v>
      </c>
      <c r="K564" s="7">
        <f>tabPontoPed[[#This Row],[QTDMÊS]] * tabPontoPed[[#This Row],[MENSAL]]</f>
        <v>32</v>
      </c>
      <c r="L564" s="13" t="s">
        <v>1012</v>
      </c>
      <c r="M564" s="44"/>
      <c r="N564" s="45" t="str">
        <f>_xlfn.IFNA(IF(VLOOKUP(tabPontoPed[[#This Row],[CÓDIGO]],Excluir_do_Estoque!$A$4:$A$4004,1,FALSE),"sim",""),"")</f>
        <v/>
      </c>
      <c r="O564" s="10" t="str">
        <f t="shared" si="8"/>
        <v>*</v>
      </c>
    </row>
    <row r="565" spans="1:15" x14ac:dyDescent="0.25">
      <c r="A565" s="2">
        <v>92111</v>
      </c>
      <c r="B565" s="4" t="s">
        <v>127</v>
      </c>
      <c r="C565" s="41" t="s">
        <v>1345</v>
      </c>
      <c r="D565" s="42">
        <v>55</v>
      </c>
      <c r="E565" s="43">
        <v>19</v>
      </c>
      <c r="F565" s="50" t="str">
        <f>VLOOKUP(tabPontoPed[[#This Row],[GRUPO]],tabGrupos[#Data],2,FALSE)</f>
        <v>EQUIP. MAT. P/ GERACAO, TRANSM. DISTR. RETIF...</v>
      </c>
      <c r="G565" s="42" t="str">
        <f>VLOOKUP(tabPontoPed[[#This Row],[GRUPO]],tabGrupos[#Data],3,FALSE)</f>
        <v>MEL</v>
      </c>
      <c r="H565" s="41" t="s">
        <v>1339</v>
      </c>
      <c r="I565" s="9">
        <v>4</v>
      </c>
      <c r="J565" s="51">
        <v>67</v>
      </c>
      <c r="K565" s="7">
        <f>tabPontoPed[[#This Row],[QTDMÊS]] * tabPontoPed[[#This Row],[MENSAL]]</f>
        <v>268</v>
      </c>
      <c r="L565" s="13" t="s">
        <v>1012</v>
      </c>
      <c r="M565" s="44"/>
      <c r="N565" s="45" t="str">
        <f>_xlfn.IFNA(IF(VLOOKUP(tabPontoPed[[#This Row],[CÓDIGO]],Excluir_do_Estoque!$A$4:$A$4004,1,FALSE),"sim",""),"")</f>
        <v/>
      </c>
      <c r="O565" s="10" t="str">
        <f t="shared" si="8"/>
        <v>*</v>
      </c>
    </row>
    <row r="566" spans="1:15" x14ac:dyDescent="0.25">
      <c r="A566" s="2">
        <v>92842</v>
      </c>
      <c r="B566" s="4" t="s">
        <v>69</v>
      </c>
      <c r="C566" s="41" t="s">
        <v>1345</v>
      </c>
      <c r="D566" s="42">
        <v>57</v>
      </c>
      <c r="E566" s="43">
        <v>3</v>
      </c>
      <c r="F566" s="50" t="str">
        <f>VLOOKUP(tabPontoPed[[#This Row],[GRUPO]],tabGrupos[#Data],2,FALSE)</f>
        <v>MAQ. E EQUIP. P/ IND. GRAFICA COMP. ACESS. E PAPEI</v>
      </c>
      <c r="G566" s="42" t="str">
        <f>VLOOKUP(tabPontoPed[[#This Row],[GRUPO]],tabGrupos[#Data],3,FALSE)</f>
        <v>EDU</v>
      </c>
      <c r="H566" s="41" t="s">
        <v>1339</v>
      </c>
      <c r="I566" s="9">
        <v>4</v>
      </c>
      <c r="J566" s="51">
        <v>4</v>
      </c>
      <c r="K566" s="7">
        <f>tabPontoPed[[#This Row],[QTDMÊS]] * tabPontoPed[[#This Row],[MENSAL]]</f>
        <v>16</v>
      </c>
      <c r="L566" s="13" t="s">
        <v>1012</v>
      </c>
      <c r="M566" s="44"/>
      <c r="N566" s="45" t="str">
        <f>_xlfn.IFNA(IF(VLOOKUP(tabPontoPed[[#This Row],[CÓDIGO]],Excluir_do_Estoque!$A$4:$A$4004,1,FALSE),"sim",""),"")</f>
        <v/>
      </c>
      <c r="O566" s="10" t="str">
        <f t="shared" si="8"/>
        <v>*</v>
      </c>
    </row>
    <row r="567" spans="1:15" x14ac:dyDescent="0.25">
      <c r="A567" s="2">
        <v>92906</v>
      </c>
      <c r="B567" s="4" t="s">
        <v>708</v>
      </c>
      <c r="C567" s="41" t="s">
        <v>1345</v>
      </c>
      <c r="D567" s="42">
        <v>57</v>
      </c>
      <c r="E567" s="43">
        <v>17</v>
      </c>
      <c r="F567" s="50" t="str">
        <f>VLOOKUP(tabPontoPed[[#This Row],[GRUPO]],tabGrupos[#Data],2,FALSE)</f>
        <v>MAQ. E EQUIP. P/ IND. GRAFICA COMP. ACESS. E PAPEI</v>
      </c>
      <c r="G567" s="42" t="str">
        <f>VLOOKUP(tabPontoPed[[#This Row],[GRUPO]],tabGrupos[#Data],3,FALSE)</f>
        <v>EDU</v>
      </c>
      <c r="H567" s="41" t="s">
        <v>1339</v>
      </c>
      <c r="I567" s="9">
        <v>4</v>
      </c>
      <c r="J567" s="51">
        <v>267</v>
      </c>
      <c r="K567" s="7">
        <f>tabPontoPed[[#This Row],[QTDMÊS]] * tabPontoPed[[#This Row],[MENSAL]]</f>
        <v>1068</v>
      </c>
      <c r="L567" s="13" t="s">
        <v>1012</v>
      </c>
      <c r="M567" s="44"/>
      <c r="N567" s="45" t="str">
        <f>_xlfn.IFNA(IF(VLOOKUP(tabPontoPed[[#This Row],[CÓDIGO]],Excluir_do_Estoque!$A$4:$A$4004,1,FALSE),"sim",""),"")</f>
        <v/>
      </c>
      <c r="O567" s="10" t="str">
        <f t="shared" si="8"/>
        <v>*</v>
      </c>
    </row>
    <row r="568" spans="1:15" x14ac:dyDescent="0.25">
      <c r="A568" s="2">
        <v>92907</v>
      </c>
      <c r="B568" s="4" t="s">
        <v>709</v>
      </c>
      <c r="C568" s="41" t="s">
        <v>1345</v>
      </c>
      <c r="D568" s="42">
        <v>57</v>
      </c>
      <c r="E568" s="43">
        <v>17</v>
      </c>
      <c r="F568" s="50" t="str">
        <f>VLOOKUP(tabPontoPed[[#This Row],[GRUPO]],tabGrupos[#Data],2,FALSE)</f>
        <v>MAQ. E EQUIP. P/ IND. GRAFICA COMP. ACESS. E PAPEI</v>
      </c>
      <c r="G568" s="42" t="str">
        <f>VLOOKUP(tabPontoPed[[#This Row],[GRUPO]],tabGrupos[#Data],3,FALSE)</f>
        <v>EDU</v>
      </c>
      <c r="H568" s="41" t="s">
        <v>1339</v>
      </c>
      <c r="I568" s="9">
        <v>4</v>
      </c>
      <c r="J568" s="51">
        <v>264</v>
      </c>
      <c r="K568" s="7">
        <f>tabPontoPed[[#This Row],[QTDMÊS]] * tabPontoPed[[#This Row],[MENSAL]]</f>
        <v>1056</v>
      </c>
      <c r="L568" s="13" t="s">
        <v>1012</v>
      </c>
      <c r="M568" s="44"/>
      <c r="N568" s="45" t="str">
        <f>_xlfn.IFNA(IF(VLOOKUP(tabPontoPed[[#This Row],[CÓDIGO]],Excluir_do_Estoque!$A$4:$A$4004,1,FALSE),"sim",""),"")</f>
        <v/>
      </c>
      <c r="O568" s="10" t="str">
        <f t="shared" si="8"/>
        <v>*</v>
      </c>
    </row>
    <row r="569" spans="1:15" x14ac:dyDescent="0.25">
      <c r="A569" s="2">
        <v>92908</v>
      </c>
      <c r="B569" s="4" t="s">
        <v>710</v>
      </c>
      <c r="C569" s="41" t="s">
        <v>1345</v>
      </c>
      <c r="D569" s="42">
        <v>57</v>
      </c>
      <c r="E569" s="43">
        <v>17</v>
      </c>
      <c r="F569" s="50" t="str">
        <f>VLOOKUP(tabPontoPed[[#This Row],[GRUPO]],tabGrupos[#Data],2,FALSE)</f>
        <v>MAQ. E EQUIP. P/ IND. GRAFICA COMP. ACESS. E PAPEI</v>
      </c>
      <c r="G569" s="42" t="str">
        <f>VLOOKUP(tabPontoPed[[#This Row],[GRUPO]],tabGrupos[#Data],3,FALSE)</f>
        <v>EDU</v>
      </c>
      <c r="H569" s="41" t="s">
        <v>1339</v>
      </c>
      <c r="I569" s="9">
        <v>4</v>
      </c>
      <c r="J569" s="51">
        <v>270</v>
      </c>
      <c r="K569" s="7">
        <f>tabPontoPed[[#This Row],[QTDMÊS]] * tabPontoPed[[#This Row],[MENSAL]]</f>
        <v>1080</v>
      </c>
      <c r="L569" s="13" t="s">
        <v>1012</v>
      </c>
      <c r="M569" s="44"/>
      <c r="N569" s="45" t="str">
        <f>_xlfn.IFNA(IF(VLOOKUP(tabPontoPed[[#This Row],[CÓDIGO]],Excluir_do_Estoque!$A$4:$A$4004,1,FALSE),"sim",""),"")</f>
        <v/>
      </c>
      <c r="O569" s="10" t="str">
        <f t="shared" si="8"/>
        <v>*</v>
      </c>
    </row>
    <row r="570" spans="1:15" x14ac:dyDescent="0.25">
      <c r="A570" s="2">
        <v>93139</v>
      </c>
      <c r="B570" s="4" t="s">
        <v>596</v>
      </c>
      <c r="C570" s="41" t="s">
        <v>1345</v>
      </c>
      <c r="D570" s="42">
        <v>54</v>
      </c>
      <c r="E570" s="43">
        <v>8</v>
      </c>
      <c r="F570" s="50" t="str">
        <f>VLOOKUP(tabPontoPed[[#This Row],[GRUPO]],tabGrupos[#Data],2,FALSE)</f>
        <v>EQUIP PROT IND, INST MAT P/ SINAL, CONTR, COMB ...</v>
      </c>
      <c r="G570" s="42" t="str">
        <f>VLOOKUP(tabPontoPed[[#This Row],[GRUPO]],tabGrupos[#Data],3,FALSE)</f>
        <v>MAN</v>
      </c>
      <c r="H570" s="41" t="s">
        <v>1339</v>
      </c>
      <c r="I570" s="9">
        <v>4</v>
      </c>
      <c r="J570" s="51">
        <v>4</v>
      </c>
      <c r="K570" s="7">
        <f>tabPontoPed[[#This Row],[QTDMÊS]] * tabPontoPed[[#This Row],[MENSAL]]</f>
        <v>16</v>
      </c>
      <c r="L570" s="13" t="s">
        <v>1012</v>
      </c>
      <c r="M570" s="44"/>
      <c r="N570" s="45" t="str">
        <f>_xlfn.IFNA(IF(VLOOKUP(tabPontoPed[[#This Row],[CÓDIGO]],Excluir_do_Estoque!$A$4:$A$4004,1,FALSE),"sim",""),"")</f>
        <v/>
      </c>
      <c r="O570" s="10" t="str">
        <f t="shared" si="8"/>
        <v>*</v>
      </c>
    </row>
    <row r="571" spans="1:15" x14ac:dyDescent="0.25">
      <c r="A571" s="2">
        <v>93325</v>
      </c>
      <c r="B571" s="4" t="s">
        <v>62</v>
      </c>
      <c r="C571" s="41" t="s">
        <v>1345</v>
      </c>
      <c r="D571" s="42">
        <v>57</v>
      </c>
      <c r="E571" s="43">
        <v>2</v>
      </c>
      <c r="F571" s="50" t="str">
        <f>VLOOKUP(tabPontoPed[[#This Row],[GRUPO]],tabGrupos[#Data],2,FALSE)</f>
        <v>MAQ. E EQUIP. P/ IND. GRAFICA COMP. ACESS. E PAPEI</v>
      </c>
      <c r="G571" s="42" t="str">
        <f>VLOOKUP(tabPontoPed[[#This Row],[GRUPO]],tabGrupos[#Data],3,FALSE)</f>
        <v>EDU</v>
      </c>
      <c r="H571" s="41" t="s">
        <v>1339</v>
      </c>
      <c r="I571" s="9">
        <v>4</v>
      </c>
      <c r="J571" s="51">
        <v>798</v>
      </c>
      <c r="K571" s="7">
        <f>tabPontoPed[[#This Row],[QTDMÊS]] * tabPontoPed[[#This Row],[MENSAL]]</f>
        <v>3192</v>
      </c>
      <c r="L571" s="13" t="s">
        <v>1012</v>
      </c>
      <c r="M571" s="44"/>
      <c r="N571" s="45" t="str">
        <f>_xlfn.IFNA(IF(VLOOKUP(tabPontoPed[[#This Row],[CÓDIGO]],Excluir_do_Estoque!$A$4:$A$4004,1,FALSE),"sim",""),"")</f>
        <v/>
      </c>
      <c r="O571" s="10" t="str">
        <f t="shared" si="8"/>
        <v>*</v>
      </c>
    </row>
    <row r="572" spans="1:15" x14ac:dyDescent="0.25">
      <c r="A572" s="2">
        <v>93327</v>
      </c>
      <c r="B572" s="4" t="s">
        <v>63</v>
      </c>
      <c r="C572" s="41" t="s">
        <v>1345</v>
      </c>
      <c r="D572" s="42">
        <v>57</v>
      </c>
      <c r="E572" s="43">
        <v>2</v>
      </c>
      <c r="F572" s="50" t="str">
        <f>VLOOKUP(tabPontoPed[[#This Row],[GRUPO]],tabGrupos[#Data],2,FALSE)</f>
        <v>MAQ. E EQUIP. P/ IND. GRAFICA COMP. ACESS. E PAPEI</v>
      </c>
      <c r="G572" s="42" t="str">
        <f>VLOOKUP(tabPontoPed[[#This Row],[GRUPO]],tabGrupos[#Data],3,FALSE)</f>
        <v>EDU</v>
      </c>
      <c r="H572" s="41" t="s">
        <v>1339</v>
      </c>
      <c r="I572" s="9">
        <v>4</v>
      </c>
      <c r="J572" s="51">
        <v>416</v>
      </c>
      <c r="K572" s="7">
        <f>tabPontoPed[[#This Row],[QTDMÊS]] * tabPontoPed[[#This Row],[MENSAL]]</f>
        <v>1664</v>
      </c>
      <c r="L572" s="13" t="s">
        <v>1012</v>
      </c>
      <c r="M572" s="44"/>
      <c r="N572" s="45" t="str">
        <f>_xlfn.IFNA(IF(VLOOKUP(tabPontoPed[[#This Row],[CÓDIGO]],Excluir_do_Estoque!$A$4:$A$4004,1,FALSE),"sim",""),"")</f>
        <v/>
      </c>
      <c r="O572" s="10" t="str">
        <f t="shared" si="8"/>
        <v>*</v>
      </c>
    </row>
    <row r="573" spans="1:15" x14ac:dyDescent="0.25">
      <c r="A573" s="2">
        <v>93329</v>
      </c>
      <c r="B573" s="4" t="s">
        <v>64</v>
      </c>
      <c r="C573" s="41" t="s">
        <v>1345</v>
      </c>
      <c r="D573" s="42">
        <v>57</v>
      </c>
      <c r="E573" s="43">
        <v>2</v>
      </c>
      <c r="F573" s="50" t="str">
        <f>VLOOKUP(tabPontoPed[[#This Row],[GRUPO]],tabGrupos[#Data],2,FALSE)</f>
        <v>MAQ. E EQUIP. P/ IND. GRAFICA COMP. ACESS. E PAPEI</v>
      </c>
      <c r="G573" s="42" t="str">
        <f>VLOOKUP(tabPontoPed[[#This Row],[GRUPO]],tabGrupos[#Data],3,FALSE)</f>
        <v>EDU</v>
      </c>
      <c r="H573" s="41" t="s">
        <v>1339</v>
      </c>
      <c r="I573" s="9">
        <v>4</v>
      </c>
      <c r="J573" s="51">
        <v>543</v>
      </c>
      <c r="K573" s="7">
        <f>tabPontoPed[[#This Row],[QTDMÊS]] * tabPontoPed[[#This Row],[MENSAL]]</f>
        <v>2172</v>
      </c>
      <c r="L573" s="13" t="s">
        <v>1012</v>
      </c>
      <c r="M573" s="44"/>
      <c r="N573" s="45" t="str">
        <f>_xlfn.IFNA(IF(VLOOKUP(tabPontoPed[[#This Row],[CÓDIGO]],Excluir_do_Estoque!$A$4:$A$4004,1,FALSE),"sim",""),"")</f>
        <v/>
      </c>
      <c r="O573" s="10" t="str">
        <f t="shared" si="8"/>
        <v>*</v>
      </c>
    </row>
    <row r="574" spans="1:15" x14ac:dyDescent="0.25">
      <c r="A574" s="2">
        <v>93332</v>
      </c>
      <c r="B574" s="4" t="s">
        <v>65</v>
      </c>
      <c r="C574" s="41" t="s">
        <v>1345</v>
      </c>
      <c r="D574" s="42">
        <v>57</v>
      </c>
      <c r="E574" s="43">
        <v>2</v>
      </c>
      <c r="F574" s="50" t="str">
        <f>VLOOKUP(tabPontoPed[[#This Row],[GRUPO]],tabGrupos[#Data],2,FALSE)</f>
        <v>MAQ. E EQUIP. P/ IND. GRAFICA COMP. ACESS. E PAPEI</v>
      </c>
      <c r="G574" s="42" t="str">
        <f>VLOOKUP(tabPontoPed[[#This Row],[GRUPO]],tabGrupos[#Data],3,FALSE)</f>
        <v>EDU</v>
      </c>
      <c r="H574" s="41" t="s">
        <v>1339</v>
      </c>
      <c r="I574" s="9">
        <v>4</v>
      </c>
      <c r="J574" s="51">
        <v>724</v>
      </c>
      <c r="K574" s="7">
        <f>tabPontoPed[[#This Row],[QTDMÊS]] * tabPontoPed[[#This Row],[MENSAL]]</f>
        <v>2896</v>
      </c>
      <c r="L574" s="13" t="s">
        <v>1012</v>
      </c>
      <c r="M574" s="44"/>
      <c r="N574" s="45" t="str">
        <f>_xlfn.IFNA(IF(VLOOKUP(tabPontoPed[[#This Row],[CÓDIGO]],Excluir_do_Estoque!$A$4:$A$4004,1,FALSE),"sim",""),"")</f>
        <v/>
      </c>
      <c r="O574" s="10" t="str">
        <f t="shared" si="8"/>
        <v>*</v>
      </c>
    </row>
    <row r="575" spans="1:15" x14ac:dyDescent="0.25">
      <c r="A575" s="2">
        <v>93334</v>
      </c>
      <c r="B575" s="4" t="s">
        <v>66</v>
      </c>
      <c r="C575" s="41" t="s">
        <v>1345</v>
      </c>
      <c r="D575" s="42">
        <v>57</v>
      </c>
      <c r="E575" s="43">
        <v>2</v>
      </c>
      <c r="F575" s="50" t="str">
        <f>VLOOKUP(tabPontoPed[[#This Row],[GRUPO]],tabGrupos[#Data],2,FALSE)</f>
        <v>MAQ. E EQUIP. P/ IND. GRAFICA COMP. ACESS. E PAPEI</v>
      </c>
      <c r="G575" s="42" t="str">
        <f>VLOOKUP(tabPontoPed[[#This Row],[GRUPO]],tabGrupos[#Data],3,FALSE)</f>
        <v>EDU</v>
      </c>
      <c r="H575" s="41" t="s">
        <v>1339</v>
      </c>
      <c r="I575" s="9">
        <v>4</v>
      </c>
      <c r="J575" s="51">
        <v>509</v>
      </c>
      <c r="K575" s="7">
        <f>tabPontoPed[[#This Row],[QTDMÊS]] * tabPontoPed[[#This Row],[MENSAL]]</f>
        <v>2036</v>
      </c>
      <c r="L575" s="13" t="s">
        <v>1012</v>
      </c>
      <c r="M575" s="44"/>
      <c r="N575" s="45" t="str">
        <f>_xlfn.IFNA(IF(VLOOKUP(tabPontoPed[[#This Row],[CÓDIGO]],Excluir_do_Estoque!$A$4:$A$4004,1,FALSE),"sim",""),"")</f>
        <v/>
      </c>
      <c r="O575" s="10" t="str">
        <f t="shared" si="8"/>
        <v>*</v>
      </c>
    </row>
    <row r="576" spans="1:15" x14ac:dyDescent="0.25">
      <c r="A576" s="2">
        <v>93335</v>
      </c>
      <c r="B576" s="4" t="s">
        <v>67</v>
      </c>
      <c r="C576" s="41" t="s">
        <v>1345</v>
      </c>
      <c r="D576" s="42">
        <v>57</v>
      </c>
      <c r="E576" s="43">
        <v>2</v>
      </c>
      <c r="F576" s="50" t="str">
        <f>VLOOKUP(tabPontoPed[[#This Row],[GRUPO]],tabGrupos[#Data],2,FALSE)</f>
        <v>MAQ. E EQUIP. P/ IND. GRAFICA COMP. ACESS. E PAPEI</v>
      </c>
      <c r="G576" s="42" t="str">
        <f>VLOOKUP(tabPontoPed[[#This Row],[GRUPO]],tabGrupos[#Data],3,FALSE)</f>
        <v>EDU</v>
      </c>
      <c r="H576" s="41" t="s">
        <v>1339</v>
      </c>
      <c r="I576" s="9">
        <v>4</v>
      </c>
      <c r="J576" s="51">
        <v>670</v>
      </c>
      <c r="K576" s="7">
        <f>tabPontoPed[[#This Row],[QTDMÊS]] * tabPontoPed[[#This Row],[MENSAL]]</f>
        <v>2680</v>
      </c>
      <c r="L576" s="13" t="s">
        <v>1012</v>
      </c>
      <c r="M576" s="44"/>
      <c r="N576" s="45" t="str">
        <f>_xlfn.IFNA(IF(VLOOKUP(tabPontoPed[[#This Row],[CÓDIGO]],Excluir_do_Estoque!$A$4:$A$4004,1,FALSE),"sim",""),"")</f>
        <v/>
      </c>
      <c r="O576" s="10" t="str">
        <f t="shared" si="8"/>
        <v>*</v>
      </c>
    </row>
    <row r="577" spans="1:15" x14ac:dyDescent="0.25">
      <c r="A577" s="2">
        <v>93344</v>
      </c>
      <c r="B577" s="4" t="s">
        <v>582</v>
      </c>
      <c r="C577" s="41" t="s">
        <v>1345</v>
      </c>
      <c r="D577" s="42">
        <v>54</v>
      </c>
      <c r="E577" s="43">
        <v>4</v>
      </c>
      <c r="F577" s="50" t="str">
        <f>VLOOKUP(tabPontoPed[[#This Row],[GRUPO]],tabGrupos[#Data],2,FALSE)</f>
        <v>EQUIP PROT IND, INST MAT P/ SINAL, CONTR, COMB ...</v>
      </c>
      <c r="G577" s="42" t="str">
        <f>VLOOKUP(tabPontoPed[[#This Row],[GRUPO]],tabGrupos[#Data],3,FALSE)</f>
        <v>MAN</v>
      </c>
      <c r="H577" s="41" t="s">
        <v>1339</v>
      </c>
      <c r="I577" s="9">
        <v>4</v>
      </c>
      <c r="J577" s="51">
        <v>1</v>
      </c>
      <c r="K577" s="7">
        <f>tabPontoPed[[#This Row],[QTDMÊS]] * tabPontoPed[[#This Row],[MENSAL]]</f>
        <v>4</v>
      </c>
      <c r="L577" s="13" t="s">
        <v>1012</v>
      </c>
      <c r="M577" s="44"/>
      <c r="N577" s="45" t="str">
        <f>_xlfn.IFNA(IF(VLOOKUP(tabPontoPed[[#This Row],[CÓDIGO]],Excluir_do_Estoque!$A$4:$A$4004,1,FALSE),"sim",""),"")</f>
        <v/>
      </c>
      <c r="O577" s="10" t="str">
        <f t="shared" si="8"/>
        <v>*</v>
      </c>
    </row>
    <row r="578" spans="1:15" x14ac:dyDescent="0.25">
      <c r="A578" s="2">
        <v>93453</v>
      </c>
      <c r="B578" s="4" t="s">
        <v>46</v>
      </c>
      <c r="C578" s="41" t="s">
        <v>1345</v>
      </c>
      <c r="D578" s="42">
        <v>57</v>
      </c>
      <c r="E578" s="43">
        <v>2</v>
      </c>
      <c r="F578" s="50" t="str">
        <f>VLOOKUP(tabPontoPed[[#This Row],[GRUPO]],tabGrupos[#Data],2,FALSE)</f>
        <v>MAQ. E EQUIP. P/ IND. GRAFICA COMP. ACESS. E PAPEI</v>
      </c>
      <c r="G578" s="42" t="str">
        <f>VLOOKUP(tabPontoPed[[#This Row],[GRUPO]],tabGrupos[#Data],3,FALSE)</f>
        <v>EDU</v>
      </c>
      <c r="H578" s="41" t="s">
        <v>1339</v>
      </c>
      <c r="I578" s="9">
        <v>4</v>
      </c>
      <c r="J578" s="51">
        <v>925</v>
      </c>
      <c r="K578" s="7">
        <f>tabPontoPed[[#This Row],[QTDMÊS]] * tabPontoPed[[#This Row],[MENSAL]]</f>
        <v>3700</v>
      </c>
      <c r="L578" s="13" t="s">
        <v>1012</v>
      </c>
      <c r="M578" s="44"/>
      <c r="N578" s="45" t="str">
        <f>_xlfn.IFNA(IF(VLOOKUP(tabPontoPed[[#This Row],[CÓDIGO]],Excluir_do_Estoque!$A$4:$A$4004,1,FALSE),"sim",""),"")</f>
        <v/>
      </c>
      <c r="O578" s="10" t="str">
        <f t="shared" si="8"/>
        <v>*</v>
      </c>
    </row>
    <row r="579" spans="1:15" x14ac:dyDescent="0.25">
      <c r="A579" s="2">
        <v>93454</v>
      </c>
      <c r="B579" s="4" t="s">
        <v>47</v>
      </c>
      <c r="C579" s="41" t="s">
        <v>1345</v>
      </c>
      <c r="D579" s="42">
        <v>57</v>
      </c>
      <c r="E579" s="43">
        <v>2</v>
      </c>
      <c r="F579" s="50" t="str">
        <f>VLOOKUP(tabPontoPed[[#This Row],[GRUPO]],tabGrupos[#Data],2,FALSE)</f>
        <v>MAQ. E EQUIP. P/ IND. GRAFICA COMP. ACESS. E PAPEI</v>
      </c>
      <c r="G579" s="42" t="str">
        <f>VLOOKUP(tabPontoPed[[#This Row],[GRUPO]],tabGrupos[#Data],3,FALSE)</f>
        <v>EDU</v>
      </c>
      <c r="H579" s="41" t="s">
        <v>1339</v>
      </c>
      <c r="I579" s="9">
        <v>4</v>
      </c>
      <c r="J579" s="51">
        <v>985</v>
      </c>
      <c r="K579" s="7">
        <f>tabPontoPed[[#This Row],[QTDMÊS]] * tabPontoPed[[#This Row],[MENSAL]]</f>
        <v>3940</v>
      </c>
      <c r="L579" s="13" t="s">
        <v>1012</v>
      </c>
      <c r="M579" s="44"/>
      <c r="N579" s="45" t="str">
        <f>_xlfn.IFNA(IF(VLOOKUP(tabPontoPed[[#This Row],[CÓDIGO]],Excluir_do_Estoque!$A$4:$A$4004,1,FALSE),"sim",""),"")</f>
        <v/>
      </c>
      <c r="O579" s="10" t="str">
        <f t="shared" si="8"/>
        <v>*</v>
      </c>
    </row>
    <row r="580" spans="1:15" x14ac:dyDescent="0.25">
      <c r="A580" s="2">
        <v>93456</v>
      </c>
      <c r="B580" s="4" t="s">
        <v>48</v>
      </c>
      <c r="C580" s="41" t="s">
        <v>1345</v>
      </c>
      <c r="D580" s="42">
        <v>57</v>
      </c>
      <c r="E580" s="43">
        <v>2</v>
      </c>
      <c r="F580" s="50" t="str">
        <f>VLOOKUP(tabPontoPed[[#This Row],[GRUPO]],tabGrupos[#Data],2,FALSE)</f>
        <v>MAQ. E EQUIP. P/ IND. GRAFICA COMP. ACESS. E PAPEI</v>
      </c>
      <c r="G580" s="42" t="str">
        <f>VLOOKUP(tabPontoPed[[#This Row],[GRUPO]],tabGrupos[#Data],3,FALSE)</f>
        <v>EDU</v>
      </c>
      <c r="H580" s="41" t="s">
        <v>1339</v>
      </c>
      <c r="I580" s="9">
        <v>4</v>
      </c>
      <c r="J580" s="51">
        <v>886</v>
      </c>
      <c r="K580" s="7">
        <f>tabPontoPed[[#This Row],[QTDMÊS]] * tabPontoPed[[#This Row],[MENSAL]]</f>
        <v>3544</v>
      </c>
      <c r="L580" s="13" t="s">
        <v>1012</v>
      </c>
      <c r="M580" s="44"/>
      <c r="N580" s="45" t="str">
        <f>_xlfn.IFNA(IF(VLOOKUP(tabPontoPed[[#This Row],[CÓDIGO]],Excluir_do_Estoque!$A$4:$A$4004,1,FALSE),"sim",""),"")</f>
        <v/>
      </c>
      <c r="O580" s="10" t="str">
        <f t="shared" ref="O580:O643" si="9">"*"</f>
        <v>*</v>
      </c>
    </row>
    <row r="581" spans="1:15" x14ac:dyDescent="0.25">
      <c r="A581" s="2">
        <v>93461</v>
      </c>
      <c r="B581" s="4" t="s">
        <v>49</v>
      </c>
      <c r="C581" s="41" t="s">
        <v>1345</v>
      </c>
      <c r="D581" s="42">
        <v>57</v>
      </c>
      <c r="E581" s="43">
        <v>2</v>
      </c>
      <c r="F581" s="50" t="str">
        <f>VLOOKUP(tabPontoPed[[#This Row],[GRUPO]],tabGrupos[#Data],2,FALSE)</f>
        <v>MAQ. E EQUIP. P/ IND. GRAFICA COMP. ACESS. E PAPEI</v>
      </c>
      <c r="G581" s="42" t="str">
        <f>VLOOKUP(tabPontoPed[[#This Row],[GRUPO]],tabGrupos[#Data],3,FALSE)</f>
        <v>EDU</v>
      </c>
      <c r="H581" s="41" t="s">
        <v>1339</v>
      </c>
      <c r="I581" s="9">
        <v>4</v>
      </c>
      <c r="J581" s="51">
        <v>926</v>
      </c>
      <c r="K581" s="7">
        <f>tabPontoPed[[#This Row],[QTDMÊS]] * tabPontoPed[[#This Row],[MENSAL]]</f>
        <v>3704</v>
      </c>
      <c r="L581" s="13" t="s">
        <v>1012</v>
      </c>
      <c r="M581" s="44"/>
      <c r="N581" s="45" t="str">
        <f>_xlfn.IFNA(IF(VLOOKUP(tabPontoPed[[#This Row],[CÓDIGO]],Excluir_do_Estoque!$A$4:$A$4004,1,FALSE),"sim",""),"")</f>
        <v/>
      </c>
      <c r="O581" s="10" t="str">
        <f t="shared" si="9"/>
        <v>*</v>
      </c>
    </row>
    <row r="582" spans="1:15" x14ac:dyDescent="0.25">
      <c r="A582" s="2">
        <v>93462</v>
      </c>
      <c r="B582" s="4" t="s">
        <v>50</v>
      </c>
      <c r="C582" s="41" t="s">
        <v>1345</v>
      </c>
      <c r="D582" s="42">
        <v>57</v>
      </c>
      <c r="E582" s="43">
        <v>2</v>
      </c>
      <c r="F582" s="50" t="str">
        <f>VLOOKUP(tabPontoPed[[#This Row],[GRUPO]],tabGrupos[#Data],2,FALSE)</f>
        <v>MAQ. E EQUIP. P/ IND. GRAFICA COMP. ACESS. E PAPEI</v>
      </c>
      <c r="G582" s="42" t="str">
        <f>VLOOKUP(tabPontoPed[[#This Row],[GRUPO]],tabGrupos[#Data],3,FALSE)</f>
        <v>EDU</v>
      </c>
      <c r="H582" s="41" t="s">
        <v>1339</v>
      </c>
      <c r="I582" s="9">
        <v>4</v>
      </c>
      <c r="J582" s="51">
        <v>878</v>
      </c>
      <c r="K582" s="7">
        <f>tabPontoPed[[#This Row],[QTDMÊS]] * tabPontoPed[[#This Row],[MENSAL]]</f>
        <v>3512</v>
      </c>
      <c r="L582" s="13" t="s">
        <v>1012</v>
      </c>
      <c r="M582" s="44"/>
      <c r="N582" s="45" t="str">
        <f>_xlfn.IFNA(IF(VLOOKUP(tabPontoPed[[#This Row],[CÓDIGO]],Excluir_do_Estoque!$A$4:$A$4004,1,FALSE),"sim",""),"")</f>
        <v/>
      </c>
      <c r="O582" s="10" t="str">
        <f t="shared" si="9"/>
        <v>*</v>
      </c>
    </row>
    <row r="583" spans="1:15" x14ac:dyDescent="0.25">
      <c r="A583" s="2">
        <v>93486</v>
      </c>
      <c r="B583" s="4" t="s">
        <v>631</v>
      </c>
      <c r="C583" s="41" t="s">
        <v>1345</v>
      </c>
      <c r="D583" s="42">
        <v>55</v>
      </c>
      <c r="E583" s="43">
        <v>26</v>
      </c>
      <c r="F583" s="50" t="str">
        <f>VLOOKUP(tabPontoPed[[#This Row],[GRUPO]],tabGrupos[#Data],2,FALSE)</f>
        <v>EQUIP. MAT. P/ GERACAO, TRANSM. DISTR. RETIF...</v>
      </c>
      <c r="G583" s="42" t="str">
        <f>VLOOKUP(tabPontoPed[[#This Row],[GRUPO]],tabGrupos[#Data],3,FALSE)</f>
        <v>MEL</v>
      </c>
      <c r="H583" s="41" t="s">
        <v>1339</v>
      </c>
      <c r="I583" s="9">
        <v>4</v>
      </c>
      <c r="J583" s="51">
        <v>1</v>
      </c>
      <c r="K583" s="7">
        <f>tabPontoPed[[#This Row],[QTDMÊS]] * tabPontoPed[[#This Row],[MENSAL]]</f>
        <v>4</v>
      </c>
      <c r="L583" s="13" t="s">
        <v>1012</v>
      </c>
      <c r="M583" s="44"/>
      <c r="N583" s="45" t="str">
        <f>_xlfn.IFNA(IF(VLOOKUP(tabPontoPed[[#This Row],[CÓDIGO]],Excluir_do_Estoque!$A$4:$A$4004,1,FALSE),"sim",""),"")</f>
        <v/>
      </c>
      <c r="O583" s="10" t="str">
        <f t="shared" si="9"/>
        <v>*</v>
      </c>
    </row>
    <row r="584" spans="1:15" x14ac:dyDescent="0.25">
      <c r="A584" s="2">
        <v>93487</v>
      </c>
      <c r="B584" s="4" t="s">
        <v>632</v>
      </c>
      <c r="C584" s="41" t="s">
        <v>1345</v>
      </c>
      <c r="D584" s="42">
        <v>55</v>
      </c>
      <c r="E584" s="43">
        <v>26</v>
      </c>
      <c r="F584" s="50" t="str">
        <f>VLOOKUP(tabPontoPed[[#This Row],[GRUPO]],tabGrupos[#Data],2,FALSE)</f>
        <v>EQUIP. MAT. P/ GERACAO, TRANSM. DISTR. RETIF...</v>
      </c>
      <c r="G584" s="42" t="str">
        <f>VLOOKUP(tabPontoPed[[#This Row],[GRUPO]],tabGrupos[#Data],3,FALSE)</f>
        <v>MEL</v>
      </c>
      <c r="H584" s="41" t="s">
        <v>1339</v>
      </c>
      <c r="I584" s="9">
        <v>4</v>
      </c>
      <c r="J584" s="51">
        <v>1</v>
      </c>
      <c r="K584" s="7">
        <f>tabPontoPed[[#This Row],[QTDMÊS]] * tabPontoPed[[#This Row],[MENSAL]]</f>
        <v>4</v>
      </c>
      <c r="L584" s="13" t="s">
        <v>1012</v>
      </c>
      <c r="M584" s="44"/>
      <c r="N584" s="45" t="str">
        <f>_xlfn.IFNA(IF(VLOOKUP(tabPontoPed[[#This Row],[CÓDIGO]],Excluir_do_Estoque!$A$4:$A$4004,1,FALSE),"sim",""),"")</f>
        <v/>
      </c>
      <c r="O584" s="10" t="str">
        <f t="shared" si="9"/>
        <v>*</v>
      </c>
    </row>
    <row r="585" spans="1:15" x14ac:dyDescent="0.25">
      <c r="A585" s="2">
        <v>93488</v>
      </c>
      <c r="B585" s="4" t="s">
        <v>633</v>
      </c>
      <c r="C585" s="41" t="s">
        <v>1345</v>
      </c>
      <c r="D585" s="42">
        <v>55</v>
      </c>
      <c r="E585" s="43">
        <v>26</v>
      </c>
      <c r="F585" s="50" t="str">
        <f>VLOOKUP(tabPontoPed[[#This Row],[GRUPO]],tabGrupos[#Data],2,FALSE)</f>
        <v>EQUIP. MAT. P/ GERACAO, TRANSM. DISTR. RETIF...</v>
      </c>
      <c r="G585" s="42" t="str">
        <f>VLOOKUP(tabPontoPed[[#This Row],[GRUPO]],tabGrupos[#Data],3,FALSE)</f>
        <v>MEL</v>
      </c>
      <c r="H585" s="41" t="s">
        <v>1339</v>
      </c>
      <c r="I585" s="9">
        <v>4</v>
      </c>
      <c r="J585" s="51">
        <v>1</v>
      </c>
      <c r="K585" s="7">
        <f>tabPontoPed[[#This Row],[QTDMÊS]] * tabPontoPed[[#This Row],[MENSAL]]</f>
        <v>4</v>
      </c>
      <c r="L585" s="13" t="s">
        <v>1012</v>
      </c>
      <c r="M585" s="44"/>
      <c r="N585" s="45" t="str">
        <f>_xlfn.IFNA(IF(VLOOKUP(tabPontoPed[[#This Row],[CÓDIGO]],Excluir_do_Estoque!$A$4:$A$4004,1,FALSE),"sim",""),"")</f>
        <v/>
      </c>
      <c r="O585" s="10" t="str">
        <f t="shared" si="9"/>
        <v>*</v>
      </c>
    </row>
    <row r="586" spans="1:15" x14ac:dyDescent="0.25">
      <c r="A586" s="2">
        <v>94013</v>
      </c>
      <c r="B586" s="4" t="s">
        <v>606</v>
      </c>
      <c r="C586" s="41" t="s">
        <v>1345</v>
      </c>
      <c r="D586" s="42">
        <v>54</v>
      </c>
      <c r="E586" s="43">
        <v>19</v>
      </c>
      <c r="F586" s="50" t="str">
        <f>VLOOKUP(tabPontoPed[[#This Row],[GRUPO]],tabGrupos[#Data],2,FALSE)</f>
        <v>EQUIP PROT IND, INST MAT P/ SINAL, CONTR, COMB ...</v>
      </c>
      <c r="G586" s="42" t="str">
        <f>VLOOKUP(tabPontoPed[[#This Row],[GRUPO]],tabGrupos[#Data],3,FALSE)</f>
        <v>MAN</v>
      </c>
      <c r="H586" s="41" t="s">
        <v>1339</v>
      </c>
      <c r="I586" s="9">
        <v>4</v>
      </c>
      <c r="J586" s="51">
        <v>2</v>
      </c>
      <c r="K586" s="7">
        <f>tabPontoPed[[#This Row],[QTDMÊS]] * tabPontoPed[[#This Row],[MENSAL]]</f>
        <v>8</v>
      </c>
      <c r="L586" s="13" t="s">
        <v>1012</v>
      </c>
      <c r="M586" s="44"/>
      <c r="N586" s="45" t="str">
        <f>_xlfn.IFNA(IF(VLOOKUP(tabPontoPed[[#This Row],[CÓDIGO]],Excluir_do_Estoque!$A$4:$A$4004,1,FALSE),"sim",""),"")</f>
        <v/>
      </c>
      <c r="O586" s="10" t="str">
        <f t="shared" si="9"/>
        <v>*</v>
      </c>
    </row>
    <row r="587" spans="1:15" x14ac:dyDescent="0.25">
      <c r="A587" s="2">
        <v>94615</v>
      </c>
      <c r="B587" s="4" t="s">
        <v>804</v>
      </c>
      <c r="C587" s="41" t="s">
        <v>1345</v>
      </c>
      <c r="D587" s="42">
        <v>62</v>
      </c>
      <c r="E587" s="43">
        <v>4</v>
      </c>
      <c r="F587" s="50" t="str">
        <f>VLOOKUP(tabPontoPed[[#This Row],[GRUPO]],tabGrupos[#Data],2,FALSE)</f>
        <v>VEST., ART.P/ TOUC.E HIG. PES. MAQ., EQUIP., MAT.E ACES.</v>
      </c>
      <c r="G587" s="42" t="str">
        <f>VLOOKUP(tabPontoPed[[#This Row],[GRUPO]],tabGrupos[#Data],3,FALSE)</f>
        <v>ADM</v>
      </c>
      <c r="H587" s="41" t="s">
        <v>1339</v>
      </c>
      <c r="I587" s="9">
        <v>4</v>
      </c>
      <c r="J587" s="51">
        <v>1</v>
      </c>
      <c r="K587" s="7">
        <f>tabPontoPed[[#This Row],[QTDMÊS]] * tabPontoPed[[#This Row],[MENSAL]]</f>
        <v>4</v>
      </c>
      <c r="L587" s="13" t="s">
        <v>1012</v>
      </c>
      <c r="M587" s="44"/>
      <c r="N587" s="45" t="str">
        <f>_xlfn.IFNA(IF(VLOOKUP(tabPontoPed[[#This Row],[CÓDIGO]],Excluir_do_Estoque!$A$4:$A$4004,1,FALSE),"sim",""),"")</f>
        <v/>
      </c>
      <c r="O587" s="10" t="str">
        <f t="shared" si="9"/>
        <v>*</v>
      </c>
    </row>
    <row r="588" spans="1:15" x14ac:dyDescent="0.25">
      <c r="A588" s="2">
        <v>94616</v>
      </c>
      <c r="B588" s="4" t="s">
        <v>805</v>
      </c>
      <c r="C588" s="41" t="s">
        <v>1345</v>
      </c>
      <c r="D588" s="42">
        <v>62</v>
      </c>
      <c r="E588" s="43">
        <v>4</v>
      </c>
      <c r="F588" s="50" t="str">
        <f>VLOOKUP(tabPontoPed[[#This Row],[GRUPO]],tabGrupos[#Data],2,FALSE)</f>
        <v>VEST., ART.P/ TOUC.E HIG. PES. MAQ., EQUIP., MAT.E ACES.</v>
      </c>
      <c r="G588" s="42" t="str">
        <f>VLOOKUP(tabPontoPed[[#This Row],[GRUPO]],tabGrupos[#Data],3,FALSE)</f>
        <v>ADM</v>
      </c>
      <c r="H588" s="41" t="s">
        <v>1339</v>
      </c>
      <c r="I588" s="9">
        <v>4</v>
      </c>
      <c r="J588" s="51">
        <v>1</v>
      </c>
      <c r="K588" s="7">
        <f>tabPontoPed[[#This Row],[QTDMÊS]] * tabPontoPed[[#This Row],[MENSAL]]</f>
        <v>4</v>
      </c>
      <c r="L588" s="13" t="s">
        <v>1012</v>
      </c>
      <c r="M588" s="44"/>
      <c r="N588" s="45" t="str">
        <f>_xlfn.IFNA(IF(VLOOKUP(tabPontoPed[[#This Row],[CÓDIGO]],Excluir_do_Estoque!$A$4:$A$4004,1,FALSE),"sim",""),"")</f>
        <v/>
      </c>
      <c r="O588" s="10" t="str">
        <f t="shared" si="9"/>
        <v>*</v>
      </c>
    </row>
    <row r="589" spans="1:15" x14ac:dyDescent="0.25">
      <c r="A589" s="2">
        <v>94617</v>
      </c>
      <c r="B589" s="4" t="s">
        <v>806</v>
      </c>
      <c r="C589" s="41" t="s">
        <v>1345</v>
      </c>
      <c r="D589" s="42">
        <v>62</v>
      </c>
      <c r="E589" s="43">
        <v>4</v>
      </c>
      <c r="F589" s="50" t="str">
        <f>VLOOKUP(tabPontoPed[[#This Row],[GRUPO]],tabGrupos[#Data],2,FALSE)</f>
        <v>VEST., ART.P/ TOUC.E HIG. PES. MAQ., EQUIP., MAT.E ACES.</v>
      </c>
      <c r="G589" s="42" t="str">
        <f>VLOOKUP(tabPontoPed[[#This Row],[GRUPO]],tabGrupos[#Data],3,FALSE)</f>
        <v>ADM</v>
      </c>
      <c r="H589" s="41" t="s">
        <v>1339</v>
      </c>
      <c r="I589" s="9">
        <v>4</v>
      </c>
      <c r="J589" s="51">
        <v>1</v>
      </c>
      <c r="K589" s="7">
        <f>tabPontoPed[[#This Row],[QTDMÊS]] * tabPontoPed[[#This Row],[MENSAL]]</f>
        <v>4</v>
      </c>
      <c r="L589" s="13" t="s">
        <v>1012</v>
      </c>
      <c r="M589" s="44"/>
      <c r="N589" s="45" t="str">
        <f>_xlfn.IFNA(IF(VLOOKUP(tabPontoPed[[#This Row],[CÓDIGO]],Excluir_do_Estoque!$A$4:$A$4004,1,FALSE),"sim",""),"")</f>
        <v/>
      </c>
      <c r="O589" s="10" t="str">
        <f t="shared" si="9"/>
        <v>*</v>
      </c>
    </row>
    <row r="590" spans="1:15" x14ac:dyDescent="0.25">
      <c r="A590" s="2">
        <v>94618</v>
      </c>
      <c r="B590" s="4" t="s">
        <v>807</v>
      </c>
      <c r="C590" s="41" t="s">
        <v>1345</v>
      </c>
      <c r="D590" s="42">
        <v>62</v>
      </c>
      <c r="E590" s="43">
        <v>4</v>
      </c>
      <c r="F590" s="50" t="str">
        <f>VLOOKUP(tabPontoPed[[#This Row],[GRUPO]],tabGrupos[#Data],2,FALSE)</f>
        <v>VEST., ART.P/ TOUC.E HIG. PES. MAQ., EQUIP., MAT.E ACES.</v>
      </c>
      <c r="G590" s="42" t="str">
        <f>VLOOKUP(tabPontoPed[[#This Row],[GRUPO]],tabGrupos[#Data],3,FALSE)</f>
        <v>ADM</v>
      </c>
      <c r="H590" s="41" t="s">
        <v>1339</v>
      </c>
      <c r="I590" s="9">
        <v>4</v>
      </c>
      <c r="J590" s="51">
        <v>1</v>
      </c>
      <c r="K590" s="7">
        <f>tabPontoPed[[#This Row],[QTDMÊS]] * tabPontoPed[[#This Row],[MENSAL]]</f>
        <v>4</v>
      </c>
      <c r="L590" s="13" t="s">
        <v>1012</v>
      </c>
      <c r="M590" s="44"/>
      <c r="N590" s="45" t="str">
        <f>_xlfn.IFNA(IF(VLOOKUP(tabPontoPed[[#This Row],[CÓDIGO]],Excluir_do_Estoque!$A$4:$A$4004,1,FALSE),"sim",""),"")</f>
        <v/>
      </c>
      <c r="O590" s="10" t="str">
        <f t="shared" si="9"/>
        <v>*</v>
      </c>
    </row>
    <row r="591" spans="1:15" x14ac:dyDescent="0.25">
      <c r="A591" s="2">
        <v>94627</v>
      </c>
      <c r="B591" s="4" t="s">
        <v>168</v>
      </c>
      <c r="C591" s="41" t="s">
        <v>1345</v>
      </c>
      <c r="D591" s="42">
        <v>83</v>
      </c>
      <c r="E591" s="43">
        <v>2</v>
      </c>
      <c r="F591" s="50" t="str">
        <f>VLOOKUP(tabPontoPed[[#This Row],[GRUPO]],tabGrupos[#Data],2,FALSE)</f>
        <v>ABRASIVOS</v>
      </c>
      <c r="G591" s="42" t="str">
        <f>VLOOKUP(tabPontoPed[[#This Row],[GRUPO]],tabGrupos[#Data],3,FALSE)</f>
        <v>MAN</v>
      </c>
      <c r="H591" s="41" t="s">
        <v>1339</v>
      </c>
      <c r="I591" s="9">
        <v>4</v>
      </c>
      <c r="J591" s="51">
        <v>20</v>
      </c>
      <c r="K591" s="7">
        <f>tabPontoPed[[#This Row],[QTDMÊS]] * tabPontoPed[[#This Row],[MENSAL]]</f>
        <v>80</v>
      </c>
      <c r="L591" s="13" t="s">
        <v>1012</v>
      </c>
      <c r="M591" s="44"/>
      <c r="N591" s="45" t="str">
        <f>_xlfn.IFNA(IF(VLOOKUP(tabPontoPed[[#This Row],[CÓDIGO]],Excluir_do_Estoque!$A$4:$A$4004,1,FALSE),"sim",""),"")</f>
        <v/>
      </c>
      <c r="O591" s="10" t="str">
        <f t="shared" si="9"/>
        <v>*</v>
      </c>
    </row>
    <row r="592" spans="1:15" x14ac:dyDescent="0.25">
      <c r="A592" s="2">
        <v>95121</v>
      </c>
      <c r="B592" s="4" t="s">
        <v>769</v>
      </c>
      <c r="C592" s="41" t="s">
        <v>1345</v>
      </c>
      <c r="D592" s="42">
        <v>61</v>
      </c>
      <c r="E592" s="43">
        <v>8</v>
      </c>
      <c r="F592" s="50" t="str">
        <f>VLOOKUP(tabPontoPed[[#This Row],[GRUPO]],tabGrupos[#Data],2,FALSE)</f>
        <v>MATERIAL HIDRAULICO, CANOS, TUBOS, MANGUEIRAS, CONEXOES E ACESS.</v>
      </c>
      <c r="G592" s="42" t="str">
        <f>VLOOKUP(tabPontoPed[[#This Row],[GRUPO]],tabGrupos[#Data],3,FALSE)</f>
        <v>MHI</v>
      </c>
      <c r="H592" s="41" t="s">
        <v>1339</v>
      </c>
      <c r="I592" s="9">
        <v>4</v>
      </c>
      <c r="J592" s="51">
        <v>5</v>
      </c>
      <c r="K592" s="7">
        <f>tabPontoPed[[#This Row],[QTDMÊS]] * tabPontoPed[[#This Row],[MENSAL]]</f>
        <v>20</v>
      </c>
      <c r="L592" s="13" t="s">
        <v>1012</v>
      </c>
      <c r="M592" s="44"/>
      <c r="N592" s="45" t="str">
        <f>_xlfn.IFNA(IF(VLOOKUP(tabPontoPed[[#This Row],[CÓDIGO]],Excluir_do_Estoque!$A$4:$A$4004,1,FALSE),"sim",""),"")</f>
        <v/>
      </c>
      <c r="O592" s="10" t="str">
        <f t="shared" si="9"/>
        <v>*</v>
      </c>
    </row>
    <row r="593" spans="1:15" x14ac:dyDescent="0.25">
      <c r="A593" s="2">
        <v>95209</v>
      </c>
      <c r="B593" s="4" t="s">
        <v>317</v>
      </c>
      <c r="C593" s="41" t="s">
        <v>1345</v>
      </c>
      <c r="D593" s="42">
        <v>61</v>
      </c>
      <c r="E593" s="43">
        <v>15</v>
      </c>
      <c r="F593" s="50" t="str">
        <f>VLOOKUP(tabPontoPed[[#This Row],[GRUPO]],tabGrupos[#Data],2,FALSE)</f>
        <v>MATERIAL HIDRAULICO, CANOS, TUBOS, MANGUEIRAS, CONEXOES E ACESS.</v>
      </c>
      <c r="G593" s="42" t="str">
        <f>VLOOKUP(tabPontoPed[[#This Row],[GRUPO]],tabGrupos[#Data],3,FALSE)</f>
        <v>MHI</v>
      </c>
      <c r="H593" s="41" t="s">
        <v>1339</v>
      </c>
      <c r="I593" s="9">
        <v>4</v>
      </c>
      <c r="J593" s="51">
        <v>12</v>
      </c>
      <c r="K593" s="7">
        <f>tabPontoPed[[#This Row],[QTDMÊS]] * tabPontoPed[[#This Row],[MENSAL]]</f>
        <v>48</v>
      </c>
      <c r="L593" s="13" t="s">
        <v>1012</v>
      </c>
      <c r="M593" s="44"/>
      <c r="N593" s="45" t="str">
        <f>_xlfn.IFNA(IF(VLOOKUP(tabPontoPed[[#This Row],[CÓDIGO]],Excluir_do_Estoque!$A$4:$A$4004,1,FALSE),"sim",""),"")</f>
        <v/>
      </c>
      <c r="O593" s="10" t="str">
        <f t="shared" si="9"/>
        <v>*</v>
      </c>
    </row>
    <row r="594" spans="1:15" x14ac:dyDescent="0.25">
      <c r="A594" s="2">
        <v>95513</v>
      </c>
      <c r="B594" s="4" t="s">
        <v>128</v>
      </c>
      <c r="C594" s="41" t="s">
        <v>1345</v>
      </c>
      <c r="D594" s="42">
        <v>55</v>
      </c>
      <c r="E594" s="43">
        <v>19</v>
      </c>
      <c r="F594" s="50" t="str">
        <f>VLOOKUP(tabPontoPed[[#This Row],[GRUPO]],tabGrupos[#Data],2,FALSE)</f>
        <v>EQUIP. MAT. P/ GERACAO, TRANSM. DISTR. RETIF...</v>
      </c>
      <c r="G594" s="42" t="str">
        <f>VLOOKUP(tabPontoPed[[#This Row],[GRUPO]],tabGrupos[#Data],3,FALSE)</f>
        <v>MEL</v>
      </c>
      <c r="H594" s="41" t="s">
        <v>1339</v>
      </c>
      <c r="I594" s="9">
        <v>4</v>
      </c>
      <c r="J594" s="51">
        <v>66</v>
      </c>
      <c r="K594" s="7">
        <f>tabPontoPed[[#This Row],[QTDMÊS]] * tabPontoPed[[#This Row],[MENSAL]]</f>
        <v>264</v>
      </c>
      <c r="L594" s="13" t="s">
        <v>1012</v>
      </c>
      <c r="M594" s="44"/>
      <c r="N594" s="45" t="str">
        <f>_xlfn.IFNA(IF(VLOOKUP(tabPontoPed[[#This Row],[CÓDIGO]],Excluir_do_Estoque!$A$4:$A$4004,1,FALSE),"sim",""),"")</f>
        <v/>
      </c>
      <c r="O594" s="10" t="str">
        <f t="shared" si="9"/>
        <v>*</v>
      </c>
    </row>
    <row r="595" spans="1:15" x14ac:dyDescent="0.25">
      <c r="A595" s="2">
        <v>96516</v>
      </c>
      <c r="B595" s="4" t="s">
        <v>583</v>
      </c>
      <c r="C595" s="41" t="s">
        <v>1345</v>
      </c>
      <c r="D595" s="42">
        <v>54</v>
      </c>
      <c r="E595" s="43">
        <v>4</v>
      </c>
      <c r="F595" s="50" t="str">
        <f>VLOOKUP(tabPontoPed[[#This Row],[GRUPO]],tabGrupos[#Data],2,FALSE)</f>
        <v>EQUIP PROT IND, INST MAT P/ SINAL, CONTR, COMB ...</v>
      </c>
      <c r="G595" s="42" t="str">
        <f>VLOOKUP(tabPontoPed[[#This Row],[GRUPO]],tabGrupos[#Data],3,FALSE)</f>
        <v>MAN</v>
      </c>
      <c r="H595" s="41" t="s">
        <v>1339</v>
      </c>
      <c r="I595" s="9">
        <v>4</v>
      </c>
      <c r="J595" s="51">
        <v>61</v>
      </c>
      <c r="K595" s="7">
        <f>tabPontoPed[[#This Row],[QTDMÊS]] * tabPontoPed[[#This Row],[MENSAL]]</f>
        <v>244</v>
      </c>
      <c r="L595" s="13" t="s">
        <v>1012</v>
      </c>
      <c r="M595" s="44"/>
      <c r="N595" s="45" t="str">
        <f>_xlfn.IFNA(IF(VLOOKUP(tabPontoPed[[#This Row],[CÓDIGO]],Excluir_do_Estoque!$A$4:$A$4004,1,FALSE),"sim",""),"")</f>
        <v/>
      </c>
      <c r="O595" s="10" t="str">
        <f t="shared" si="9"/>
        <v>*</v>
      </c>
    </row>
    <row r="596" spans="1:15" x14ac:dyDescent="0.25">
      <c r="A596" s="2">
        <v>97965</v>
      </c>
      <c r="B596" s="4" t="s">
        <v>952</v>
      </c>
      <c r="C596" s="41" t="s">
        <v>1345</v>
      </c>
      <c r="D596" s="42">
        <v>74</v>
      </c>
      <c r="E596" s="43">
        <v>4</v>
      </c>
      <c r="F596" s="50" t="str">
        <f>VLOOKUP(tabPontoPed[[#This Row],[GRUPO]],tabGrupos[#Data],2,FALSE)</f>
        <v>MADEIRAS,LAMINADOS,COMPENSADOS E AGLOMERADOS</v>
      </c>
      <c r="G596" s="42" t="str">
        <f>VLOOKUP(tabPontoPed[[#This Row],[GRUPO]],tabGrupos[#Data],3,FALSE)</f>
        <v>MCO</v>
      </c>
      <c r="H596" s="41" t="s">
        <v>1339</v>
      </c>
      <c r="I596" s="9">
        <v>4</v>
      </c>
      <c r="J596" s="51">
        <v>0</v>
      </c>
      <c r="K596" s="7">
        <f>tabPontoPed[[#This Row],[QTDMÊS]] * tabPontoPed[[#This Row],[MENSAL]]</f>
        <v>0</v>
      </c>
      <c r="L596" s="13" t="s">
        <v>1012</v>
      </c>
      <c r="M596" s="44"/>
      <c r="N596" s="45" t="str">
        <f>_xlfn.IFNA(IF(VLOOKUP(tabPontoPed[[#This Row],[CÓDIGO]],Excluir_do_Estoque!$A$4:$A$4004,1,FALSE),"sim",""),"")</f>
        <v/>
      </c>
      <c r="O596" s="10" t="str">
        <f t="shared" si="9"/>
        <v>*</v>
      </c>
    </row>
    <row r="597" spans="1:15" x14ac:dyDescent="0.25">
      <c r="A597" s="2">
        <v>98080</v>
      </c>
      <c r="B597" s="4" t="s">
        <v>607</v>
      </c>
      <c r="C597" s="41" t="s">
        <v>1345</v>
      </c>
      <c r="D597" s="42">
        <v>54</v>
      </c>
      <c r="E597" s="43">
        <v>19</v>
      </c>
      <c r="F597" s="50" t="str">
        <f>VLOOKUP(tabPontoPed[[#This Row],[GRUPO]],tabGrupos[#Data],2,FALSE)</f>
        <v>EQUIP PROT IND, INST MAT P/ SINAL, CONTR, COMB ...</v>
      </c>
      <c r="G597" s="42" t="str">
        <f>VLOOKUP(tabPontoPed[[#This Row],[GRUPO]],tabGrupos[#Data],3,FALSE)</f>
        <v>MAN</v>
      </c>
      <c r="H597" s="41" t="s">
        <v>1339</v>
      </c>
      <c r="I597" s="9">
        <v>4</v>
      </c>
      <c r="J597" s="51">
        <v>45</v>
      </c>
      <c r="K597" s="7">
        <f>tabPontoPed[[#This Row],[QTDMÊS]] * tabPontoPed[[#This Row],[MENSAL]]</f>
        <v>180</v>
      </c>
      <c r="L597" s="13" t="s">
        <v>1012</v>
      </c>
      <c r="M597" s="44"/>
      <c r="N597" s="45" t="str">
        <f>_xlfn.IFNA(IF(VLOOKUP(tabPontoPed[[#This Row],[CÓDIGO]],Excluir_do_Estoque!$A$4:$A$4004,1,FALSE),"sim",""),"")</f>
        <v/>
      </c>
      <c r="O597" s="10" t="str">
        <f t="shared" si="9"/>
        <v>*</v>
      </c>
    </row>
    <row r="598" spans="1:15" x14ac:dyDescent="0.25">
      <c r="A598" s="2">
        <v>98359</v>
      </c>
      <c r="B598" s="4" t="s">
        <v>399</v>
      </c>
      <c r="C598" s="41" t="s">
        <v>1345</v>
      </c>
      <c r="D598" s="42">
        <v>70</v>
      </c>
      <c r="E598" s="43">
        <v>47</v>
      </c>
      <c r="F598" s="50" t="str">
        <f>VLOOKUP(tabPontoPed[[#This Row],[GRUPO]],tabGrupos[#Data],2,FALSE)</f>
        <v>FERRAMENTAS MAQ.FERRAMENTAS,ELETR.PECAS E ACESSORI</v>
      </c>
      <c r="G598" s="42" t="str">
        <f>VLOOKUP(tabPontoPed[[#This Row],[GRUPO]],tabGrupos[#Data],3,FALSE)</f>
        <v>MAN</v>
      </c>
      <c r="H598" s="41" t="s">
        <v>1339</v>
      </c>
      <c r="I598" s="9">
        <v>4</v>
      </c>
      <c r="J598" s="51">
        <v>5</v>
      </c>
      <c r="K598" s="7">
        <f>tabPontoPed[[#This Row],[QTDMÊS]] * tabPontoPed[[#This Row],[MENSAL]]</f>
        <v>20</v>
      </c>
      <c r="L598" s="13" t="s">
        <v>1012</v>
      </c>
      <c r="M598" s="44"/>
      <c r="N598" s="45" t="str">
        <f>_xlfn.IFNA(IF(VLOOKUP(tabPontoPed[[#This Row],[CÓDIGO]],Excluir_do_Estoque!$A$4:$A$4004,1,FALSE),"sim",""),"")</f>
        <v/>
      </c>
      <c r="O598" s="10" t="str">
        <f t="shared" si="9"/>
        <v>*</v>
      </c>
    </row>
    <row r="599" spans="1:15" x14ac:dyDescent="0.25">
      <c r="A599" s="2">
        <v>98702</v>
      </c>
      <c r="B599" s="4" t="s">
        <v>537</v>
      </c>
      <c r="C599" s="41" t="s">
        <v>1345</v>
      </c>
      <c r="D599" s="42">
        <v>51</v>
      </c>
      <c r="E599" s="43">
        <v>24</v>
      </c>
      <c r="F599" s="50" t="str">
        <f>VLOOKUP(tabPontoPed[[#This Row],[GRUPO]],tabGrupos[#Data],2,FALSE)</f>
        <v>MAT.E EQUIP. P/ CONSTR.CIVIL E CONSERV. DE VIAS PUBL.</v>
      </c>
      <c r="G599" s="42" t="str">
        <f>VLOOKUP(tabPontoPed[[#This Row],[GRUPO]],tabGrupos[#Data],3,FALSE)</f>
        <v>MCO</v>
      </c>
      <c r="H599" s="41" t="s">
        <v>1339</v>
      </c>
      <c r="I599" s="9">
        <v>4</v>
      </c>
      <c r="J599" s="51">
        <v>198</v>
      </c>
      <c r="K599" s="7">
        <f>tabPontoPed[[#This Row],[QTDMÊS]] * tabPontoPed[[#This Row],[MENSAL]]</f>
        <v>792</v>
      </c>
      <c r="L599" s="13" t="s">
        <v>1012</v>
      </c>
      <c r="M599" s="44"/>
      <c r="N599" s="45" t="str">
        <f>_xlfn.IFNA(IF(VLOOKUP(tabPontoPed[[#This Row],[CÓDIGO]],Excluir_do_Estoque!$A$4:$A$4004,1,FALSE),"sim",""),"")</f>
        <v/>
      </c>
      <c r="O599" s="10" t="str">
        <f t="shared" si="9"/>
        <v>*</v>
      </c>
    </row>
    <row r="600" spans="1:15" x14ac:dyDescent="0.25">
      <c r="A600" s="2">
        <v>98703</v>
      </c>
      <c r="B600" s="4" t="s">
        <v>100</v>
      </c>
      <c r="C600" s="41" t="s">
        <v>1345</v>
      </c>
      <c r="D600" s="42">
        <v>69</v>
      </c>
      <c r="E600" s="43">
        <v>3</v>
      </c>
      <c r="F600" s="50" t="str">
        <f>VLOOKUP(tabPontoPed[[#This Row],[GRUPO]],tabGrupos[#Data],2,FALSE)</f>
        <v>METAIS,LAMINAD.,PERFILADOS E ARTEFATOS METALICOS</v>
      </c>
      <c r="G600" s="42" t="str">
        <f>VLOOKUP(tabPontoPed[[#This Row],[GRUPO]],tabGrupos[#Data],3,FALSE)</f>
        <v>MSE</v>
      </c>
      <c r="H600" s="41" t="s">
        <v>1339</v>
      </c>
      <c r="I600" s="9">
        <v>4</v>
      </c>
      <c r="J600" s="51">
        <v>46</v>
      </c>
      <c r="K600" s="7">
        <f>tabPontoPed[[#This Row],[QTDMÊS]] * tabPontoPed[[#This Row],[MENSAL]]</f>
        <v>184</v>
      </c>
      <c r="L600" s="13" t="s">
        <v>1012</v>
      </c>
      <c r="M600" s="44"/>
      <c r="N600" s="45" t="str">
        <f>_xlfn.IFNA(IF(VLOOKUP(tabPontoPed[[#This Row],[CÓDIGO]],Excluir_do_Estoque!$A$4:$A$4004,1,FALSE),"sim",""),"")</f>
        <v/>
      </c>
      <c r="O600" s="10" t="str">
        <f t="shared" si="9"/>
        <v>*</v>
      </c>
    </row>
    <row r="601" spans="1:15" x14ac:dyDescent="0.25">
      <c r="A601" s="2">
        <v>98704</v>
      </c>
      <c r="B601" s="4" t="s">
        <v>101</v>
      </c>
      <c r="C601" s="41" t="s">
        <v>1345</v>
      </c>
      <c r="D601" s="42">
        <v>69</v>
      </c>
      <c r="E601" s="43">
        <v>3</v>
      </c>
      <c r="F601" s="50" t="str">
        <f>VLOOKUP(tabPontoPed[[#This Row],[GRUPO]],tabGrupos[#Data],2,FALSE)</f>
        <v>METAIS,LAMINAD.,PERFILADOS E ARTEFATOS METALICOS</v>
      </c>
      <c r="G601" s="42" t="str">
        <f>VLOOKUP(tabPontoPed[[#This Row],[GRUPO]],tabGrupos[#Data],3,FALSE)</f>
        <v>MSE</v>
      </c>
      <c r="H601" s="41" t="s">
        <v>1339</v>
      </c>
      <c r="I601" s="9">
        <v>4</v>
      </c>
      <c r="J601" s="51">
        <v>6</v>
      </c>
      <c r="K601" s="7">
        <f>tabPontoPed[[#This Row],[QTDMÊS]] * tabPontoPed[[#This Row],[MENSAL]]</f>
        <v>24</v>
      </c>
      <c r="L601" s="13" t="s">
        <v>1012</v>
      </c>
      <c r="M601" s="44"/>
      <c r="N601" s="45" t="str">
        <f>_xlfn.IFNA(IF(VLOOKUP(tabPontoPed[[#This Row],[CÓDIGO]],Excluir_do_Estoque!$A$4:$A$4004,1,FALSE),"sim",""),"")</f>
        <v/>
      </c>
      <c r="O601" s="10" t="str">
        <f t="shared" si="9"/>
        <v>*</v>
      </c>
    </row>
    <row r="602" spans="1:15" x14ac:dyDescent="0.25">
      <c r="A602" s="2">
        <v>98732</v>
      </c>
      <c r="B602" s="4" t="s">
        <v>713</v>
      </c>
      <c r="C602" s="41" t="s">
        <v>1345</v>
      </c>
      <c r="D602" s="42">
        <v>58</v>
      </c>
      <c r="E602" s="43">
        <v>14</v>
      </c>
      <c r="F602" s="50" t="str">
        <f>VLOOKUP(tabPontoPed[[#This Row],[GRUPO]],tabGrupos[#Data],2,FALSE)</f>
        <v>EQUIP. E MAT. P/ RECREACAO, ATLETISMO, DESPORTO...</v>
      </c>
      <c r="G602" s="42" t="str">
        <f>VLOOKUP(tabPontoPed[[#This Row],[GRUPO]],tabGrupos[#Data],3,FALSE)</f>
        <v>EDU</v>
      </c>
      <c r="H602" s="41" t="s">
        <v>1339</v>
      </c>
      <c r="I602" s="9">
        <v>4</v>
      </c>
      <c r="J602" s="51">
        <v>0</v>
      </c>
      <c r="K602" s="7">
        <f>tabPontoPed[[#This Row],[QTDMÊS]] * tabPontoPed[[#This Row],[MENSAL]]</f>
        <v>0</v>
      </c>
      <c r="L602" s="13" t="s">
        <v>1012</v>
      </c>
      <c r="M602" s="44"/>
      <c r="N602" s="45" t="str">
        <f>_xlfn.IFNA(IF(VLOOKUP(tabPontoPed[[#This Row],[CÓDIGO]],Excluir_do_Estoque!$A$4:$A$4004,1,FALSE),"sim",""),"")</f>
        <v/>
      </c>
      <c r="O602" s="10" t="str">
        <f t="shared" si="9"/>
        <v>*</v>
      </c>
    </row>
    <row r="603" spans="1:15" x14ac:dyDescent="0.25">
      <c r="A603" s="2">
        <v>98733</v>
      </c>
      <c r="B603" s="4" t="s">
        <v>714</v>
      </c>
      <c r="C603" s="41" t="s">
        <v>1345</v>
      </c>
      <c r="D603" s="42">
        <v>58</v>
      </c>
      <c r="E603" s="43">
        <v>14</v>
      </c>
      <c r="F603" s="50" t="str">
        <f>VLOOKUP(tabPontoPed[[#This Row],[GRUPO]],tabGrupos[#Data],2,FALSE)</f>
        <v>EQUIP. E MAT. P/ RECREACAO, ATLETISMO, DESPORTO...</v>
      </c>
      <c r="G603" s="42" t="str">
        <f>VLOOKUP(tabPontoPed[[#This Row],[GRUPO]],tabGrupos[#Data],3,FALSE)</f>
        <v>EDU</v>
      </c>
      <c r="H603" s="41" t="s">
        <v>1339</v>
      </c>
      <c r="I603" s="9">
        <v>4</v>
      </c>
      <c r="J603" s="51">
        <v>0</v>
      </c>
      <c r="K603" s="7">
        <f>tabPontoPed[[#This Row],[QTDMÊS]] * tabPontoPed[[#This Row],[MENSAL]]</f>
        <v>0</v>
      </c>
      <c r="L603" s="13" t="s">
        <v>1012</v>
      </c>
      <c r="M603" s="44"/>
      <c r="N603" s="45" t="str">
        <f>_xlfn.IFNA(IF(VLOOKUP(tabPontoPed[[#This Row],[CÓDIGO]],Excluir_do_Estoque!$A$4:$A$4004,1,FALSE),"sim",""),"")</f>
        <v/>
      </c>
      <c r="O603" s="10" t="str">
        <f t="shared" si="9"/>
        <v>*</v>
      </c>
    </row>
    <row r="604" spans="1:15" x14ac:dyDescent="0.25">
      <c r="A604" s="2">
        <v>98734</v>
      </c>
      <c r="B604" s="4" t="s">
        <v>715</v>
      </c>
      <c r="C604" s="41" t="s">
        <v>1345</v>
      </c>
      <c r="D604" s="42">
        <v>58</v>
      </c>
      <c r="E604" s="43">
        <v>14</v>
      </c>
      <c r="F604" s="50" t="str">
        <f>VLOOKUP(tabPontoPed[[#This Row],[GRUPO]],tabGrupos[#Data],2,FALSE)</f>
        <v>EQUIP. E MAT. P/ RECREACAO, ATLETISMO, DESPORTO...</v>
      </c>
      <c r="G604" s="42" t="str">
        <f>VLOOKUP(tabPontoPed[[#This Row],[GRUPO]],tabGrupos[#Data],3,FALSE)</f>
        <v>EDU</v>
      </c>
      <c r="H604" s="41" t="s">
        <v>1339</v>
      </c>
      <c r="I604" s="9">
        <v>4</v>
      </c>
      <c r="J604" s="51">
        <v>1</v>
      </c>
      <c r="K604" s="7">
        <f>tabPontoPed[[#This Row],[QTDMÊS]] * tabPontoPed[[#This Row],[MENSAL]]</f>
        <v>4</v>
      </c>
      <c r="L604" s="13" t="s">
        <v>1012</v>
      </c>
      <c r="M604" s="44"/>
      <c r="N604" s="45" t="str">
        <f>_xlfn.IFNA(IF(VLOOKUP(tabPontoPed[[#This Row],[CÓDIGO]],Excluir_do_Estoque!$A$4:$A$4004,1,FALSE),"sim",""),"")</f>
        <v/>
      </c>
      <c r="O604" s="10" t="str">
        <f t="shared" si="9"/>
        <v>*</v>
      </c>
    </row>
    <row r="605" spans="1:15" x14ac:dyDescent="0.25">
      <c r="A605" s="2">
        <v>99787</v>
      </c>
      <c r="B605" s="4" t="s">
        <v>836</v>
      </c>
      <c r="C605" s="41" t="s">
        <v>1345</v>
      </c>
      <c r="D605" s="42">
        <v>67</v>
      </c>
      <c r="E605" s="43">
        <v>5</v>
      </c>
      <c r="F605" s="50" t="str">
        <f>VLOOKUP(tabPontoPed[[#This Row],[GRUPO]],tabGrupos[#Data],2,FALSE)</f>
        <v>PARAFUSOS ELEM. VEDACAO UNIAO CONEX . FIXACAO</v>
      </c>
      <c r="G605" s="42" t="str">
        <f>VLOOKUP(tabPontoPed[[#This Row],[GRUPO]],tabGrupos[#Data],3,FALSE)</f>
        <v>MSE</v>
      </c>
      <c r="H605" s="41" t="s">
        <v>1339</v>
      </c>
      <c r="I605" s="9">
        <v>4</v>
      </c>
      <c r="J605" s="51">
        <v>3</v>
      </c>
      <c r="K605" s="7">
        <f>tabPontoPed[[#This Row],[QTDMÊS]] * tabPontoPed[[#This Row],[MENSAL]]</f>
        <v>12</v>
      </c>
      <c r="L605" s="13" t="s">
        <v>1012</v>
      </c>
      <c r="M605" s="44"/>
      <c r="N605" s="45" t="str">
        <f>_xlfn.IFNA(IF(VLOOKUP(tabPontoPed[[#This Row],[CÓDIGO]],Excluir_do_Estoque!$A$4:$A$4004,1,FALSE),"sim",""),"")</f>
        <v/>
      </c>
      <c r="O605" s="10" t="str">
        <f t="shared" si="9"/>
        <v>*</v>
      </c>
    </row>
    <row r="606" spans="1:15" x14ac:dyDescent="0.25">
      <c r="A606" s="2">
        <v>99788</v>
      </c>
      <c r="B606" s="4" t="s">
        <v>655</v>
      </c>
      <c r="C606" s="41" t="s">
        <v>1345</v>
      </c>
      <c r="D606" s="42">
        <v>55</v>
      </c>
      <c r="E606" s="43">
        <v>32</v>
      </c>
      <c r="F606" s="50" t="str">
        <f>VLOOKUP(tabPontoPed[[#This Row],[GRUPO]],tabGrupos[#Data],2,FALSE)</f>
        <v>EQUIP. MAT. P/ GERACAO, TRANSM. DISTR. RETIF...</v>
      </c>
      <c r="G606" s="42" t="str">
        <f>VLOOKUP(tabPontoPed[[#This Row],[GRUPO]],tabGrupos[#Data],3,FALSE)</f>
        <v>MEL</v>
      </c>
      <c r="H606" s="41" t="s">
        <v>1339</v>
      </c>
      <c r="I606" s="9">
        <v>4</v>
      </c>
      <c r="J606" s="51">
        <v>1</v>
      </c>
      <c r="K606" s="7">
        <f>tabPontoPed[[#This Row],[QTDMÊS]] * tabPontoPed[[#This Row],[MENSAL]]</f>
        <v>4</v>
      </c>
      <c r="L606" s="13" t="s">
        <v>1012</v>
      </c>
      <c r="M606" s="44"/>
      <c r="N606" s="45" t="str">
        <f>_xlfn.IFNA(IF(VLOOKUP(tabPontoPed[[#This Row],[CÓDIGO]],Excluir_do_Estoque!$A$4:$A$4004,1,FALSE),"sim",""),"")</f>
        <v/>
      </c>
      <c r="O606" s="10" t="str">
        <f t="shared" si="9"/>
        <v>*</v>
      </c>
    </row>
    <row r="607" spans="1:15" x14ac:dyDescent="0.25">
      <c r="A607" s="2">
        <v>99796</v>
      </c>
      <c r="B607" s="4" t="s">
        <v>770</v>
      </c>
      <c r="C607" s="41" t="s">
        <v>1345</v>
      </c>
      <c r="D607" s="42">
        <v>61</v>
      </c>
      <c r="E607" s="43">
        <v>8</v>
      </c>
      <c r="F607" s="50" t="str">
        <f>VLOOKUP(tabPontoPed[[#This Row],[GRUPO]],tabGrupos[#Data],2,FALSE)</f>
        <v>MATERIAL HIDRAULICO, CANOS, TUBOS, MANGUEIRAS, CONEXOES E ACESS.</v>
      </c>
      <c r="G607" s="42" t="str">
        <f>VLOOKUP(tabPontoPed[[#This Row],[GRUPO]],tabGrupos[#Data],3,FALSE)</f>
        <v>MHI</v>
      </c>
      <c r="H607" s="41" t="s">
        <v>1339</v>
      </c>
      <c r="I607" s="9">
        <v>4</v>
      </c>
      <c r="J607" s="51">
        <v>1</v>
      </c>
      <c r="K607" s="7">
        <f>tabPontoPed[[#This Row],[QTDMÊS]] * tabPontoPed[[#This Row],[MENSAL]]</f>
        <v>4</v>
      </c>
      <c r="L607" s="13" t="s">
        <v>1012</v>
      </c>
      <c r="M607" s="44"/>
      <c r="N607" s="45" t="str">
        <f>_xlfn.IFNA(IF(VLOOKUP(tabPontoPed[[#This Row],[CÓDIGO]],Excluir_do_Estoque!$A$4:$A$4004,1,FALSE),"sim",""),"")</f>
        <v/>
      </c>
      <c r="O607" s="10" t="str">
        <f t="shared" si="9"/>
        <v>*</v>
      </c>
    </row>
    <row r="608" spans="1:15" x14ac:dyDescent="0.25">
      <c r="A608" s="2">
        <v>99810</v>
      </c>
      <c r="B608" s="4" t="s">
        <v>118</v>
      </c>
      <c r="C608" s="41" t="s">
        <v>1345</v>
      </c>
      <c r="D608" s="42">
        <v>55</v>
      </c>
      <c r="E608" s="43">
        <v>19</v>
      </c>
      <c r="F608" s="50" t="str">
        <f>VLOOKUP(tabPontoPed[[#This Row],[GRUPO]],tabGrupos[#Data],2,FALSE)</f>
        <v>EQUIP. MAT. P/ GERACAO, TRANSM. DISTR. RETIF...</v>
      </c>
      <c r="G608" s="42" t="str">
        <f>VLOOKUP(tabPontoPed[[#This Row],[GRUPO]],tabGrupos[#Data],3,FALSE)</f>
        <v>MEL</v>
      </c>
      <c r="H608" s="41" t="s">
        <v>1339</v>
      </c>
      <c r="I608" s="9">
        <v>4</v>
      </c>
      <c r="J608" s="51">
        <v>276</v>
      </c>
      <c r="K608" s="7">
        <f>tabPontoPed[[#This Row],[QTDMÊS]] * tabPontoPed[[#This Row],[MENSAL]]</f>
        <v>1104</v>
      </c>
      <c r="L608" s="13" t="s">
        <v>1012</v>
      </c>
      <c r="M608" s="44"/>
      <c r="N608" s="45" t="str">
        <f>_xlfn.IFNA(IF(VLOOKUP(tabPontoPed[[#This Row],[CÓDIGO]],Excluir_do_Estoque!$A$4:$A$4004,1,FALSE),"sim",""),"")</f>
        <v/>
      </c>
      <c r="O608" s="10" t="str">
        <f t="shared" si="9"/>
        <v>*</v>
      </c>
    </row>
    <row r="609" spans="1:15" x14ac:dyDescent="0.25">
      <c r="A609" s="2">
        <v>100383</v>
      </c>
      <c r="B609" s="4" t="s">
        <v>331</v>
      </c>
      <c r="C609" s="41" t="s">
        <v>1345</v>
      </c>
      <c r="D609" s="42">
        <v>80</v>
      </c>
      <c r="E609" s="43">
        <v>7</v>
      </c>
      <c r="F609" s="50" t="str">
        <f>VLOOKUP(tabPontoPed[[#This Row],[GRUPO]],tabGrupos[#Data],2,FALSE)</f>
        <v>CABOS CORRENTES CORDAS ESTICADORES E ART. BORRACHA</v>
      </c>
      <c r="G609" s="42" t="str">
        <f>VLOOKUP(tabPontoPed[[#This Row],[GRUPO]],tabGrupos[#Data],3,FALSE)</f>
        <v>MAN</v>
      </c>
      <c r="H609" s="41" t="s">
        <v>1339</v>
      </c>
      <c r="I609" s="9">
        <v>4</v>
      </c>
      <c r="J609" s="51">
        <v>2</v>
      </c>
      <c r="K609" s="7">
        <f>tabPontoPed[[#This Row],[QTDMÊS]] * tabPontoPed[[#This Row],[MENSAL]]</f>
        <v>8</v>
      </c>
      <c r="L609" s="13" t="s">
        <v>1012</v>
      </c>
      <c r="M609" s="44"/>
      <c r="N609" s="45" t="str">
        <f>_xlfn.IFNA(IF(VLOOKUP(tabPontoPed[[#This Row],[CÓDIGO]],Excluir_do_Estoque!$A$4:$A$4004,1,FALSE),"sim",""),"")</f>
        <v/>
      </c>
      <c r="O609" s="10" t="str">
        <f t="shared" si="9"/>
        <v>*</v>
      </c>
    </row>
    <row r="610" spans="1:15" x14ac:dyDescent="0.25">
      <c r="A610" s="2">
        <v>100802</v>
      </c>
      <c r="B610" s="4" t="s">
        <v>778</v>
      </c>
      <c r="C610" s="41" t="s">
        <v>1345</v>
      </c>
      <c r="D610" s="42">
        <v>61</v>
      </c>
      <c r="E610" s="43">
        <v>9</v>
      </c>
      <c r="F610" s="50" t="str">
        <f>VLOOKUP(tabPontoPed[[#This Row],[GRUPO]],tabGrupos[#Data],2,FALSE)</f>
        <v>MATERIAL HIDRAULICO, CANOS, TUBOS, MANGUEIRAS, CONEXOES E ACESS.</v>
      </c>
      <c r="G610" s="42" t="str">
        <f>VLOOKUP(tabPontoPed[[#This Row],[GRUPO]],tabGrupos[#Data],3,FALSE)</f>
        <v>MHI</v>
      </c>
      <c r="H610" s="41" t="s">
        <v>1339</v>
      </c>
      <c r="I610" s="9">
        <v>4</v>
      </c>
      <c r="J610" s="51">
        <v>52</v>
      </c>
      <c r="K610" s="7">
        <f>tabPontoPed[[#This Row],[QTDMÊS]] * tabPontoPed[[#This Row],[MENSAL]]</f>
        <v>208</v>
      </c>
      <c r="L610" s="13" t="s">
        <v>1012</v>
      </c>
      <c r="M610" s="44"/>
      <c r="N610" s="45" t="str">
        <f>_xlfn.IFNA(IF(VLOOKUP(tabPontoPed[[#This Row],[CÓDIGO]],Excluir_do_Estoque!$A$4:$A$4004,1,FALSE),"sim",""),"")</f>
        <v/>
      </c>
      <c r="O610" s="10" t="str">
        <f t="shared" si="9"/>
        <v>*</v>
      </c>
    </row>
    <row r="611" spans="1:15" x14ac:dyDescent="0.25">
      <c r="A611" s="2">
        <v>100907</v>
      </c>
      <c r="B611" s="4" t="s">
        <v>944</v>
      </c>
      <c r="C611" s="41" t="s">
        <v>1345</v>
      </c>
      <c r="D611" s="42">
        <v>73</v>
      </c>
      <c r="E611" s="43">
        <v>1</v>
      </c>
      <c r="F611" s="50" t="str">
        <f>VLOOKUP(tabPontoPed[[#This Row],[GRUPO]],tabGrupos[#Data],2,FALSE)</f>
        <v>EMBALAG., RECIP., ACESSOR., EQUIP., MATER. P/ACONDICIO</v>
      </c>
      <c r="G611" s="42" t="str">
        <f>VLOOKUP(tabPontoPed[[#This Row],[GRUPO]],tabGrupos[#Data],3,FALSE)</f>
        <v>EDU</v>
      </c>
      <c r="H611" s="41" t="s">
        <v>1339</v>
      </c>
      <c r="I611" s="9">
        <v>4</v>
      </c>
      <c r="J611" s="51">
        <v>11</v>
      </c>
      <c r="K611" s="7">
        <f>tabPontoPed[[#This Row],[QTDMÊS]] * tabPontoPed[[#This Row],[MENSAL]]</f>
        <v>44</v>
      </c>
      <c r="L611" s="13" t="s">
        <v>1012</v>
      </c>
      <c r="M611" s="44"/>
      <c r="N611" s="45" t="str">
        <f>_xlfn.IFNA(IF(VLOOKUP(tabPontoPed[[#This Row],[CÓDIGO]],Excluir_do_Estoque!$A$4:$A$4004,1,FALSE),"sim",""),"")</f>
        <v/>
      </c>
      <c r="O611" s="10" t="str">
        <f t="shared" si="9"/>
        <v>*</v>
      </c>
    </row>
    <row r="612" spans="1:15" x14ac:dyDescent="0.25">
      <c r="A612" s="2">
        <v>101867</v>
      </c>
      <c r="B612" s="4" t="s">
        <v>339</v>
      </c>
      <c r="C612" s="41" t="s">
        <v>1345</v>
      </c>
      <c r="D612" s="42">
        <v>61</v>
      </c>
      <c r="E612" s="43">
        <v>3</v>
      </c>
      <c r="F612" s="50" t="str">
        <f>VLOOKUP(tabPontoPed[[#This Row],[GRUPO]],tabGrupos[#Data],2,FALSE)</f>
        <v>MATERIAL HIDRAULICO, CANOS, TUBOS, MANGUEIRAS, CONEXOES E ACESS.</v>
      </c>
      <c r="G612" s="42" t="str">
        <f>VLOOKUP(tabPontoPed[[#This Row],[GRUPO]],tabGrupos[#Data],3,FALSE)</f>
        <v>MHI</v>
      </c>
      <c r="H612" s="41" t="s">
        <v>1339</v>
      </c>
      <c r="I612" s="9">
        <v>4</v>
      </c>
      <c r="J612" s="51">
        <v>17</v>
      </c>
      <c r="K612" s="7">
        <f>tabPontoPed[[#This Row],[QTDMÊS]] * tabPontoPed[[#This Row],[MENSAL]]</f>
        <v>68</v>
      </c>
      <c r="L612" s="13" t="s">
        <v>1012</v>
      </c>
      <c r="M612" s="44"/>
      <c r="N612" s="45" t="str">
        <f>_xlfn.IFNA(IF(VLOOKUP(tabPontoPed[[#This Row],[CÓDIGO]],Excluir_do_Estoque!$A$4:$A$4004,1,FALSE),"sim",""),"")</f>
        <v/>
      </c>
      <c r="O612" s="10" t="str">
        <f t="shared" si="9"/>
        <v>*</v>
      </c>
    </row>
    <row r="613" spans="1:15" x14ac:dyDescent="0.25">
      <c r="A613" s="2">
        <v>101868</v>
      </c>
      <c r="B613" s="4" t="s">
        <v>336</v>
      </c>
      <c r="C613" s="41" t="s">
        <v>1345</v>
      </c>
      <c r="D613" s="42">
        <v>61</v>
      </c>
      <c r="E613" s="43">
        <v>3</v>
      </c>
      <c r="F613" s="50" t="str">
        <f>VLOOKUP(tabPontoPed[[#This Row],[GRUPO]],tabGrupos[#Data],2,FALSE)</f>
        <v>MATERIAL HIDRAULICO, CANOS, TUBOS, MANGUEIRAS, CONEXOES E ACESS.</v>
      </c>
      <c r="G613" s="42" t="str">
        <f>VLOOKUP(tabPontoPed[[#This Row],[GRUPO]],tabGrupos[#Data],3,FALSE)</f>
        <v>MHI</v>
      </c>
      <c r="H613" s="41" t="s">
        <v>1339</v>
      </c>
      <c r="I613" s="9">
        <v>4</v>
      </c>
      <c r="J613" s="51">
        <v>14</v>
      </c>
      <c r="K613" s="7">
        <f>tabPontoPed[[#This Row],[QTDMÊS]] * tabPontoPed[[#This Row],[MENSAL]]</f>
        <v>56</v>
      </c>
      <c r="L613" s="13" t="s">
        <v>1012</v>
      </c>
      <c r="M613" s="44"/>
      <c r="N613" s="45" t="str">
        <f>_xlfn.IFNA(IF(VLOOKUP(tabPontoPed[[#This Row],[CÓDIGO]],Excluir_do_Estoque!$A$4:$A$4004,1,FALSE),"sim",""),"")</f>
        <v/>
      </c>
      <c r="O613" s="10" t="str">
        <f t="shared" si="9"/>
        <v>*</v>
      </c>
    </row>
    <row r="614" spans="1:15" x14ac:dyDescent="0.25">
      <c r="A614" s="2">
        <v>101891</v>
      </c>
      <c r="B614" s="4" t="s">
        <v>605</v>
      </c>
      <c r="C614" s="41" t="s">
        <v>1345</v>
      </c>
      <c r="D614" s="42">
        <v>54</v>
      </c>
      <c r="E614" s="43">
        <v>18</v>
      </c>
      <c r="F614" s="50" t="str">
        <f>VLOOKUP(tabPontoPed[[#This Row],[GRUPO]],tabGrupos[#Data],2,FALSE)</f>
        <v>EQUIP PROT IND, INST MAT P/ SINAL, CONTR, COMB ...</v>
      </c>
      <c r="G614" s="42" t="str">
        <f>VLOOKUP(tabPontoPed[[#This Row],[GRUPO]],tabGrupos[#Data],3,FALSE)</f>
        <v>MAN</v>
      </c>
      <c r="H614" s="41" t="s">
        <v>1339</v>
      </c>
      <c r="I614" s="9">
        <v>4</v>
      </c>
      <c r="J614" s="51">
        <v>1</v>
      </c>
      <c r="K614" s="7">
        <f>tabPontoPed[[#This Row],[QTDMÊS]] * tabPontoPed[[#This Row],[MENSAL]]</f>
        <v>4</v>
      </c>
      <c r="L614" s="13" t="s">
        <v>1012</v>
      </c>
      <c r="M614" s="44"/>
      <c r="N614" s="45" t="str">
        <f>_xlfn.IFNA(IF(VLOOKUP(tabPontoPed[[#This Row],[CÓDIGO]],Excluir_do_Estoque!$A$4:$A$4004,1,FALSE),"sim",""),"")</f>
        <v/>
      </c>
      <c r="O614" s="10" t="str">
        <f t="shared" si="9"/>
        <v>*</v>
      </c>
    </row>
    <row r="615" spans="1:15" x14ac:dyDescent="0.25">
      <c r="A615" s="2">
        <v>101917</v>
      </c>
      <c r="B615" s="4" t="s">
        <v>129</v>
      </c>
      <c r="C615" s="41" t="s">
        <v>1345</v>
      </c>
      <c r="D615" s="42">
        <v>55</v>
      </c>
      <c r="E615" s="43">
        <v>19</v>
      </c>
      <c r="F615" s="50" t="str">
        <f>VLOOKUP(tabPontoPed[[#This Row],[GRUPO]],tabGrupos[#Data],2,FALSE)</f>
        <v>EQUIP. MAT. P/ GERACAO, TRANSM. DISTR. RETIF...</v>
      </c>
      <c r="G615" s="42" t="str">
        <f>VLOOKUP(tabPontoPed[[#This Row],[GRUPO]],tabGrupos[#Data],3,FALSE)</f>
        <v>MEL</v>
      </c>
      <c r="H615" s="41" t="s">
        <v>1339</v>
      </c>
      <c r="I615" s="9">
        <v>4</v>
      </c>
      <c r="J615" s="51">
        <v>50</v>
      </c>
      <c r="K615" s="7">
        <f>tabPontoPed[[#This Row],[QTDMÊS]] * tabPontoPed[[#This Row],[MENSAL]]</f>
        <v>200</v>
      </c>
      <c r="L615" s="13" t="s">
        <v>1012</v>
      </c>
      <c r="M615" s="44"/>
      <c r="N615" s="45" t="str">
        <f>_xlfn.IFNA(IF(VLOOKUP(tabPontoPed[[#This Row],[CÓDIGO]],Excluir_do_Estoque!$A$4:$A$4004,1,FALSE),"sim",""),"")</f>
        <v/>
      </c>
      <c r="O615" s="10" t="str">
        <f t="shared" si="9"/>
        <v>*</v>
      </c>
    </row>
    <row r="616" spans="1:15" x14ac:dyDescent="0.25">
      <c r="A616" s="2">
        <v>101938</v>
      </c>
      <c r="B616" s="4" t="s">
        <v>584</v>
      </c>
      <c r="C616" s="41" t="s">
        <v>1345</v>
      </c>
      <c r="D616" s="42">
        <v>54</v>
      </c>
      <c r="E616" s="43">
        <v>4</v>
      </c>
      <c r="F616" s="50" t="str">
        <f>VLOOKUP(tabPontoPed[[#This Row],[GRUPO]],tabGrupos[#Data],2,FALSE)</f>
        <v>EQUIP PROT IND, INST MAT P/ SINAL, CONTR, COMB ...</v>
      </c>
      <c r="G616" s="42" t="str">
        <f>VLOOKUP(tabPontoPed[[#This Row],[GRUPO]],tabGrupos[#Data],3,FALSE)</f>
        <v>MAN</v>
      </c>
      <c r="H616" s="41" t="s">
        <v>1339</v>
      </c>
      <c r="I616" s="9">
        <v>4</v>
      </c>
      <c r="J616" s="51">
        <v>5</v>
      </c>
      <c r="K616" s="7">
        <f>tabPontoPed[[#This Row],[QTDMÊS]] * tabPontoPed[[#This Row],[MENSAL]]</f>
        <v>20</v>
      </c>
      <c r="L616" s="13" t="s">
        <v>1012</v>
      </c>
      <c r="M616" s="44"/>
      <c r="N616" s="45" t="str">
        <f>_xlfn.IFNA(IF(VLOOKUP(tabPontoPed[[#This Row],[CÓDIGO]],Excluir_do_Estoque!$A$4:$A$4004,1,FALSE),"sim",""),"")</f>
        <v/>
      </c>
      <c r="O616" s="10" t="str">
        <f t="shared" si="9"/>
        <v>*</v>
      </c>
    </row>
    <row r="617" spans="1:15" x14ac:dyDescent="0.25">
      <c r="A617" s="2">
        <v>102000</v>
      </c>
      <c r="B617" s="4" t="s">
        <v>503</v>
      </c>
      <c r="C617" s="41" t="s">
        <v>1345</v>
      </c>
      <c r="D617" s="42">
        <v>51</v>
      </c>
      <c r="E617" s="43">
        <v>7</v>
      </c>
      <c r="F617" s="50" t="str">
        <f>VLOOKUP(tabPontoPed[[#This Row],[GRUPO]],tabGrupos[#Data],2,FALSE)</f>
        <v>MAT.E EQUIP. P/ CONSTR.CIVIL E CONSERV. DE VIAS PUBL.</v>
      </c>
      <c r="G617" s="42" t="str">
        <f>VLOOKUP(tabPontoPed[[#This Row],[GRUPO]],tabGrupos[#Data],3,FALSE)</f>
        <v>MCO</v>
      </c>
      <c r="H617" s="41" t="s">
        <v>1349</v>
      </c>
      <c r="I617" s="9">
        <v>3</v>
      </c>
      <c r="J617" s="51">
        <v>86</v>
      </c>
      <c r="K617" s="7">
        <f>tabPontoPed[[#This Row],[QTDMÊS]] * tabPontoPed[[#This Row],[MENSAL]]</f>
        <v>258</v>
      </c>
      <c r="L617" s="13" t="s">
        <v>1012</v>
      </c>
      <c r="M617" s="44"/>
      <c r="N617" s="45" t="str">
        <f>_xlfn.IFNA(IF(VLOOKUP(tabPontoPed[[#This Row],[CÓDIGO]],Excluir_do_Estoque!$A$4:$A$4004,1,FALSE),"sim",""),"")</f>
        <v/>
      </c>
      <c r="O617" s="10" t="str">
        <f t="shared" si="9"/>
        <v>*</v>
      </c>
    </row>
    <row r="618" spans="1:15" x14ac:dyDescent="0.25">
      <c r="A618" s="2">
        <v>102234</v>
      </c>
      <c r="B618" s="4" t="s">
        <v>771</v>
      </c>
      <c r="C618" s="41" t="s">
        <v>1345</v>
      </c>
      <c r="D618" s="42">
        <v>61</v>
      </c>
      <c r="E618" s="43">
        <v>8</v>
      </c>
      <c r="F618" s="50" t="str">
        <f>VLOOKUP(tabPontoPed[[#This Row],[GRUPO]],tabGrupos[#Data],2,FALSE)</f>
        <v>MATERIAL HIDRAULICO, CANOS, TUBOS, MANGUEIRAS, CONEXOES E ACESS.</v>
      </c>
      <c r="G618" s="42" t="str">
        <f>VLOOKUP(tabPontoPed[[#This Row],[GRUPO]],tabGrupos[#Data],3,FALSE)</f>
        <v>MHI</v>
      </c>
      <c r="H618" s="41" t="s">
        <v>1339</v>
      </c>
      <c r="I618" s="9">
        <v>4</v>
      </c>
      <c r="J618" s="51">
        <v>2</v>
      </c>
      <c r="K618" s="7">
        <f>tabPontoPed[[#This Row],[QTDMÊS]] * tabPontoPed[[#This Row],[MENSAL]]</f>
        <v>8</v>
      </c>
      <c r="L618" s="13" t="s">
        <v>1012</v>
      </c>
      <c r="M618" s="44"/>
      <c r="N618" s="45" t="str">
        <f>_xlfn.IFNA(IF(VLOOKUP(tabPontoPed[[#This Row],[CÓDIGO]],Excluir_do_Estoque!$A$4:$A$4004,1,FALSE),"sim",""),"")</f>
        <v/>
      </c>
      <c r="O618" s="10" t="str">
        <f t="shared" si="9"/>
        <v>*</v>
      </c>
    </row>
    <row r="619" spans="1:15" x14ac:dyDescent="0.25">
      <c r="A619" s="2">
        <v>102276</v>
      </c>
      <c r="B619" s="4" t="s">
        <v>340</v>
      </c>
      <c r="C619" s="41" t="s">
        <v>1345</v>
      </c>
      <c r="D619" s="42">
        <v>61</v>
      </c>
      <c r="E619" s="43">
        <v>3</v>
      </c>
      <c r="F619" s="50" t="str">
        <f>VLOOKUP(tabPontoPed[[#This Row],[GRUPO]],tabGrupos[#Data],2,FALSE)</f>
        <v>MATERIAL HIDRAULICO, CANOS, TUBOS, MANGUEIRAS, CONEXOES E ACESS.</v>
      </c>
      <c r="G619" s="42" t="str">
        <f>VLOOKUP(tabPontoPed[[#This Row],[GRUPO]],tabGrupos[#Data],3,FALSE)</f>
        <v>MHI</v>
      </c>
      <c r="H619" s="41" t="s">
        <v>1339</v>
      </c>
      <c r="I619" s="9">
        <v>4</v>
      </c>
      <c r="J619" s="51">
        <v>9</v>
      </c>
      <c r="K619" s="7">
        <f>tabPontoPed[[#This Row],[QTDMÊS]] * tabPontoPed[[#This Row],[MENSAL]]</f>
        <v>36</v>
      </c>
      <c r="L619" s="13" t="s">
        <v>1012</v>
      </c>
      <c r="M619" s="44"/>
      <c r="N619" s="45" t="str">
        <f>_xlfn.IFNA(IF(VLOOKUP(tabPontoPed[[#This Row],[CÓDIGO]],Excluir_do_Estoque!$A$4:$A$4004,1,FALSE),"sim",""),"")</f>
        <v/>
      </c>
      <c r="O619" s="10" t="str">
        <f t="shared" si="9"/>
        <v>*</v>
      </c>
    </row>
    <row r="620" spans="1:15" x14ac:dyDescent="0.25">
      <c r="A620" s="2">
        <v>102277</v>
      </c>
      <c r="B620" s="4" t="s">
        <v>727</v>
      </c>
      <c r="C620" s="41" t="s">
        <v>1345</v>
      </c>
      <c r="D620" s="42">
        <v>61</v>
      </c>
      <c r="E620" s="43">
        <v>3</v>
      </c>
      <c r="F620" s="50" t="str">
        <f>VLOOKUP(tabPontoPed[[#This Row],[GRUPO]],tabGrupos[#Data],2,FALSE)</f>
        <v>MATERIAL HIDRAULICO, CANOS, TUBOS, MANGUEIRAS, CONEXOES E ACESS.</v>
      </c>
      <c r="G620" s="42" t="str">
        <f>VLOOKUP(tabPontoPed[[#This Row],[GRUPO]],tabGrupos[#Data],3,FALSE)</f>
        <v>MHI</v>
      </c>
      <c r="H620" s="41" t="s">
        <v>1339</v>
      </c>
      <c r="I620" s="9">
        <v>4</v>
      </c>
      <c r="J620" s="51">
        <v>11</v>
      </c>
      <c r="K620" s="7">
        <f>tabPontoPed[[#This Row],[QTDMÊS]] * tabPontoPed[[#This Row],[MENSAL]]</f>
        <v>44</v>
      </c>
      <c r="L620" s="13" t="s">
        <v>1012</v>
      </c>
      <c r="M620" s="44"/>
      <c r="N620" s="45" t="str">
        <f>_xlfn.IFNA(IF(VLOOKUP(tabPontoPed[[#This Row],[CÓDIGO]],Excluir_do_Estoque!$A$4:$A$4004,1,FALSE),"sim",""),"")</f>
        <v/>
      </c>
      <c r="O620" s="10" t="str">
        <f t="shared" si="9"/>
        <v>*</v>
      </c>
    </row>
    <row r="621" spans="1:15" x14ac:dyDescent="0.25">
      <c r="A621" s="2">
        <v>102278</v>
      </c>
      <c r="B621" s="4" t="s">
        <v>728</v>
      </c>
      <c r="C621" s="41" t="s">
        <v>1345</v>
      </c>
      <c r="D621" s="42">
        <v>61</v>
      </c>
      <c r="E621" s="43">
        <v>3</v>
      </c>
      <c r="F621" s="50" t="str">
        <f>VLOOKUP(tabPontoPed[[#This Row],[GRUPO]],tabGrupos[#Data],2,FALSE)</f>
        <v>MATERIAL HIDRAULICO, CANOS, TUBOS, MANGUEIRAS, CONEXOES E ACESS.</v>
      </c>
      <c r="G621" s="42" t="str">
        <f>VLOOKUP(tabPontoPed[[#This Row],[GRUPO]],tabGrupos[#Data],3,FALSE)</f>
        <v>MHI</v>
      </c>
      <c r="H621" s="41" t="s">
        <v>1339</v>
      </c>
      <c r="I621" s="9">
        <v>4</v>
      </c>
      <c r="J621" s="51">
        <v>1</v>
      </c>
      <c r="K621" s="7">
        <f>tabPontoPed[[#This Row],[QTDMÊS]] * tabPontoPed[[#This Row],[MENSAL]]</f>
        <v>4</v>
      </c>
      <c r="L621" s="13" t="s">
        <v>1012</v>
      </c>
      <c r="M621" s="44"/>
      <c r="N621" s="45" t="str">
        <f>_xlfn.IFNA(IF(VLOOKUP(tabPontoPed[[#This Row],[CÓDIGO]],Excluir_do_Estoque!$A$4:$A$4004,1,FALSE),"sim",""),"")</f>
        <v/>
      </c>
      <c r="O621" s="10" t="str">
        <f t="shared" si="9"/>
        <v>*</v>
      </c>
    </row>
    <row r="622" spans="1:15" x14ac:dyDescent="0.25">
      <c r="A622" s="2">
        <v>102279</v>
      </c>
      <c r="B622" s="4" t="s">
        <v>341</v>
      </c>
      <c r="C622" s="41" t="s">
        <v>1345</v>
      </c>
      <c r="D622" s="42">
        <v>61</v>
      </c>
      <c r="E622" s="43">
        <v>3</v>
      </c>
      <c r="F622" s="50" t="str">
        <f>VLOOKUP(tabPontoPed[[#This Row],[GRUPO]],tabGrupos[#Data],2,FALSE)</f>
        <v>MATERIAL HIDRAULICO, CANOS, TUBOS, MANGUEIRAS, CONEXOES E ACESS.</v>
      </c>
      <c r="G622" s="42" t="str">
        <f>VLOOKUP(tabPontoPed[[#This Row],[GRUPO]],tabGrupos[#Data],3,FALSE)</f>
        <v>MHI</v>
      </c>
      <c r="H622" s="41" t="s">
        <v>1339</v>
      </c>
      <c r="I622" s="9">
        <v>4</v>
      </c>
      <c r="J622" s="51">
        <v>10</v>
      </c>
      <c r="K622" s="7">
        <f>tabPontoPed[[#This Row],[QTDMÊS]] * tabPontoPed[[#This Row],[MENSAL]]</f>
        <v>40</v>
      </c>
      <c r="L622" s="13" t="s">
        <v>1012</v>
      </c>
      <c r="M622" s="44"/>
      <c r="N622" s="45" t="str">
        <f>_xlfn.IFNA(IF(VLOOKUP(tabPontoPed[[#This Row],[CÓDIGO]],Excluir_do_Estoque!$A$4:$A$4004,1,FALSE),"sim",""),"")</f>
        <v/>
      </c>
      <c r="O622" s="10" t="str">
        <f t="shared" si="9"/>
        <v>*</v>
      </c>
    </row>
    <row r="623" spans="1:15" x14ac:dyDescent="0.25">
      <c r="A623" s="2">
        <v>102588</v>
      </c>
      <c r="B623" s="4" t="s">
        <v>310</v>
      </c>
      <c r="C623" s="41" t="s">
        <v>1345</v>
      </c>
      <c r="D623" s="42">
        <v>61</v>
      </c>
      <c r="E623" s="43">
        <v>11</v>
      </c>
      <c r="F623" s="50" t="str">
        <f>VLOOKUP(tabPontoPed[[#This Row],[GRUPO]],tabGrupos[#Data],2,FALSE)</f>
        <v>MATERIAL HIDRAULICO, CANOS, TUBOS, MANGUEIRAS, CONEXOES E ACESS.</v>
      </c>
      <c r="G623" s="42" t="str">
        <f>VLOOKUP(tabPontoPed[[#This Row],[GRUPO]],tabGrupos[#Data],3,FALSE)</f>
        <v>MHI</v>
      </c>
      <c r="H623" s="41" t="s">
        <v>1339</v>
      </c>
      <c r="I623" s="9">
        <v>4</v>
      </c>
      <c r="J623" s="51">
        <v>1</v>
      </c>
      <c r="K623" s="7">
        <f>tabPontoPed[[#This Row],[QTDMÊS]] * tabPontoPed[[#This Row],[MENSAL]]</f>
        <v>4</v>
      </c>
      <c r="L623" s="13" t="s">
        <v>1012</v>
      </c>
      <c r="M623" s="44"/>
      <c r="N623" s="45" t="str">
        <f>_xlfn.IFNA(IF(VLOOKUP(tabPontoPed[[#This Row],[CÓDIGO]],Excluir_do_Estoque!$A$4:$A$4004,1,FALSE),"sim",""),"")</f>
        <v/>
      </c>
      <c r="O623" s="10" t="str">
        <f t="shared" si="9"/>
        <v>*</v>
      </c>
    </row>
    <row r="624" spans="1:15" x14ac:dyDescent="0.25">
      <c r="A624" s="2">
        <v>102690</v>
      </c>
      <c r="B624" s="4" t="s">
        <v>890</v>
      </c>
      <c r="C624" s="41" t="s">
        <v>1345</v>
      </c>
      <c r="D624" s="42">
        <v>69</v>
      </c>
      <c r="E624" s="43">
        <v>5</v>
      </c>
      <c r="F624" s="50" t="str">
        <f>VLOOKUP(tabPontoPed[[#This Row],[GRUPO]],tabGrupos[#Data],2,FALSE)</f>
        <v>METAIS,LAMINAD.,PERFILADOS E ARTEFATOS METALICOS</v>
      </c>
      <c r="G624" s="42" t="str">
        <f>VLOOKUP(tabPontoPed[[#This Row],[GRUPO]],tabGrupos[#Data],3,FALSE)</f>
        <v>MSE</v>
      </c>
      <c r="H624" s="41" t="s">
        <v>1339</v>
      </c>
      <c r="I624" s="9">
        <v>4</v>
      </c>
      <c r="J624" s="51">
        <v>1</v>
      </c>
      <c r="K624" s="7">
        <f>tabPontoPed[[#This Row],[QTDMÊS]] * tabPontoPed[[#This Row],[MENSAL]]</f>
        <v>4</v>
      </c>
      <c r="L624" s="13" t="s">
        <v>1012</v>
      </c>
      <c r="M624" s="44"/>
      <c r="N624" s="45" t="str">
        <f>_xlfn.IFNA(IF(VLOOKUP(tabPontoPed[[#This Row],[CÓDIGO]],Excluir_do_Estoque!$A$4:$A$4004,1,FALSE),"sim",""),"")</f>
        <v/>
      </c>
      <c r="O624" s="10" t="str">
        <f t="shared" si="9"/>
        <v>*</v>
      </c>
    </row>
    <row r="625" spans="1:15" x14ac:dyDescent="0.25">
      <c r="A625" s="2">
        <v>102691</v>
      </c>
      <c r="B625" s="4" t="s">
        <v>891</v>
      </c>
      <c r="C625" s="41" t="s">
        <v>1345</v>
      </c>
      <c r="D625" s="42">
        <v>69</v>
      </c>
      <c r="E625" s="43">
        <v>5</v>
      </c>
      <c r="F625" s="50" t="str">
        <f>VLOOKUP(tabPontoPed[[#This Row],[GRUPO]],tabGrupos[#Data],2,FALSE)</f>
        <v>METAIS,LAMINAD.,PERFILADOS E ARTEFATOS METALICOS</v>
      </c>
      <c r="G625" s="42" t="str">
        <f>VLOOKUP(tabPontoPed[[#This Row],[GRUPO]],tabGrupos[#Data],3,FALSE)</f>
        <v>MSE</v>
      </c>
      <c r="H625" s="41" t="s">
        <v>1339</v>
      </c>
      <c r="I625" s="9">
        <v>4</v>
      </c>
      <c r="J625" s="51">
        <v>0</v>
      </c>
      <c r="K625" s="7">
        <f>tabPontoPed[[#This Row],[QTDMÊS]] * tabPontoPed[[#This Row],[MENSAL]]</f>
        <v>0</v>
      </c>
      <c r="L625" s="13" t="s">
        <v>1012</v>
      </c>
      <c r="M625" s="44"/>
      <c r="N625" s="45" t="str">
        <f>_xlfn.IFNA(IF(VLOOKUP(tabPontoPed[[#This Row],[CÓDIGO]],Excluir_do_Estoque!$A$4:$A$4004,1,FALSE),"sim",""),"")</f>
        <v/>
      </c>
      <c r="O625" s="10" t="str">
        <f t="shared" si="9"/>
        <v>*</v>
      </c>
    </row>
    <row r="626" spans="1:15" x14ac:dyDescent="0.25">
      <c r="A626" s="2">
        <v>102694</v>
      </c>
      <c r="B626" s="4" t="s">
        <v>892</v>
      </c>
      <c r="C626" s="41" t="s">
        <v>1345</v>
      </c>
      <c r="D626" s="42">
        <v>69</v>
      </c>
      <c r="E626" s="43">
        <v>5</v>
      </c>
      <c r="F626" s="50" t="str">
        <f>VLOOKUP(tabPontoPed[[#This Row],[GRUPO]],tabGrupos[#Data],2,FALSE)</f>
        <v>METAIS,LAMINAD.,PERFILADOS E ARTEFATOS METALICOS</v>
      </c>
      <c r="G626" s="42" t="str">
        <f>VLOOKUP(tabPontoPed[[#This Row],[GRUPO]],tabGrupos[#Data],3,FALSE)</f>
        <v>MSE</v>
      </c>
      <c r="H626" s="41" t="s">
        <v>1339</v>
      </c>
      <c r="I626" s="9">
        <v>4</v>
      </c>
      <c r="J626" s="51">
        <v>1</v>
      </c>
      <c r="K626" s="7">
        <f>tabPontoPed[[#This Row],[QTDMÊS]] * tabPontoPed[[#This Row],[MENSAL]]</f>
        <v>4</v>
      </c>
      <c r="L626" s="13" t="s">
        <v>1012</v>
      </c>
      <c r="M626" s="44"/>
      <c r="N626" s="45" t="str">
        <f>_xlfn.IFNA(IF(VLOOKUP(tabPontoPed[[#This Row],[CÓDIGO]],Excluir_do_Estoque!$A$4:$A$4004,1,FALSE),"sim",""),"")</f>
        <v/>
      </c>
      <c r="O626" s="10" t="str">
        <f t="shared" si="9"/>
        <v>*</v>
      </c>
    </row>
    <row r="627" spans="1:15" x14ac:dyDescent="0.25">
      <c r="A627" s="2">
        <v>102702</v>
      </c>
      <c r="B627" s="4" t="s">
        <v>720</v>
      </c>
      <c r="C627" s="41" t="s">
        <v>1345</v>
      </c>
      <c r="D627" s="42">
        <v>60</v>
      </c>
      <c r="E627" s="43">
        <v>21</v>
      </c>
      <c r="F627" s="50" t="str">
        <f>VLOOKUP(tabPontoPed[[#This Row],[GRUPO]],tabGrupos[#Data],2,FALSE)</f>
        <v>COMPUT.SOFT. PROCES. EQUIP. SUPRI. COMP. ACESS. INFORMAT</v>
      </c>
      <c r="G627" s="42" t="str">
        <f>VLOOKUP(tabPontoPed[[#This Row],[GRUPO]],tabGrupos[#Data],3,FALSE)</f>
        <v>INF</v>
      </c>
      <c r="H627" s="41" t="s">
        <v>1339</v>
      </c>
      <c r="I627" s="9">
        <v>4</v>
      </c>
      <c r="J627" s="51">
        <v>640</v>
      </c>
      <c r="K627" s="7">
        <f>tabPontoPed[[#This Row],[QTDMÊS]] * tabPontoPed[[#This Row],[MENSAL]]</f>
        <v>2560</v>
      </c>
      <c r="L627" s="13" t="s">
        <v>1012</v>
      </c>
      <c r="M627" s="44"/>
      <c r="N627" s="45" t="str">
        <f>_xlfn.IFNA(IF(VLOOKUP(tabPontoPed[[#This Row],[CÓDIGO]],Excluir_do_Estoque!$A$4:$A$4004,1,FALSE),"sim",""),"")</f>
        <v/>
      </c>
      <c r="O627" s="10" t="str">
        <f t="shared" si="9"/>
        <v>*</v>
      </c>
    </row>
    <row r="628" spans="1:15" x14ac:dyDescent="0.25">
      <c r="A628" s="2">
        <v>102723</v>
      </c>
      <c r="B628" s="4" t="s">
        <v>893</v>
      </c>
      <c r="C628" s="41" t="s">
        <v>1345</v>
      </c>
      <c r="D628" s="42">
        <v>69</v>
      </c>
      <c r="E628" s="43">
        <v>5</v>
      </c>
      <c r="F628" s="50" t="str">
        <f>VLOOKUP(tabPontoPed[[#This Row],[GRUPO]],tabGrupos[#Data],2,FALSE)</f>
        <v>METAIS,LAMINAD.,PERFILADOS E ARTEFATOS METALICOS</v>
      </c>
      <c r="G628" s="42" t="str">
        <f>VLOOKUP(tabPontoPed[[#This Row],[GRUPO]],tabGrupos[#Data],3,FALSE)</f>
        <v>MSE</v>
      </c>
      <c r="H628" s="41" t="s">
        <v>1339</v>
      </c>
      <c r="I628" s="9">
        <v>4</v>
      </c>
      <c r="J628" s="51">
        <v>1</v>
      </c>
      <c r="K628" s="7">
        <f>tabPontoPed[[#This Row],[QTDMÊS]] * tabPontoPed[[#This Row],[MENSAL]]</f>
        <v>4</v>
      </c>
      <c r="L628" s="13" t="s">
        <v>1012</v>
      </c>
      <c r="M628" s="44"/>
      <c r="N628" s="45" t="str">
        <f>_xlfn.IFNA(IF(VLOOKUP(tabPontoPed[[#This Row],[CÓDIGO]],Excluir_do_Estoque!$A$4:$A$4004,1,FALSE),"sim",""),"")</f>
        <v/>
      </c>
      <c r="O628" s="10" t="str">
        <f t="shared" si="9"/>
        <v>*</v>
      </c>
    </row>
    <row r="629" spans="1:15" x14ac:dyDescent="0.25">
      <c r="A629" s="2">
        <v>102728</v>
      </c>
      <c r="B629" s="4" t="s">
        <v>897</v>
      </c>
      <c r="C629" s="41" t="s">
        <v>1345</v>
      </c>
      <c r="D629" s="42">
        <v>69</v>
      </c>
      <c r="E629" s="43">
        <v>8</v>
      </c>
      <c r="F629" s="50" t="str">
        <f>VLOOKUP(tabPontoPed[[#This Row],[GRUPO]],tabGrupos[#Data],2,FALSE)</f>
        <v>METAIS,LAMINAD.,PERFILADOS E ARTEFATOS METALICOS</v>
      </c>
      <c r="G629" s="42" t="str">
        <f>VLOOKUP(tabPontoPed[[#This Row],[GRUPO]],tabGrupos[#Data],3,FALSE)</f>
        <v>MSE</v>
      </c>
      <c r="H629" s="41" t="s">
        <v>1339</v>
      </c>
      <c r="I629" s="9">
        <v>4</v>
      </c>
      <c r="J629" s="51">
        <v>3</v>
      </c>
      <c r="K629" s="7">
        <f>tabPontoPed[[#This Row],[QTDMÊS]] * tabPontoPed[[#This Row],[MENSAL]]</f>
        <v>12</v>
      </c>
      <c r="L629" s="13" t="s">
        <v>1012</v>
      </c>
      <c r="M629" s="44"/>
      <c r="N629" s="45" t="str">
        <f>_xlfn.IFNA(IF(VLOOKUP(tabPontoPed[[#This Row],[CÓDIGO]],Excluir_do_Estoque!$A$4:$A$4004,1,FALSE),"sim",""),"")</f>
        <v/>
      </c>
      <c r="O629" s="10" t="str">
        <f t="shared" si="9"/>
        <v>*</v>
      </c>
    </row>
    <row r="630" spans="1:15" x14ac:dyDescent="0.25">
      <c r="A630" s="2">
        <v>102775</v>
      </c>
      <c r="B630" s="4" t="s">
        <v>898</v>
      </c>
      <c r="C630" s="41" t="s">
        <v>1345</v>
      </c>
      <c r="D630" s="42">
        <v>69</v>
      </c>
      <c r="E630" s="43">
        <v>8</v>
      </c>
      <c r="F630" s="50" t="str">
        <f>VLOOKUP(tabPontoPed[[#This Row],[GRUPO]],tabGrupos[#Data],2,FALSE)</f>
        <v>METAIS,LAMINAD.,PERFILADOS E ARTEFATOS METALICOS</v>
      </c>
      <c r="G630" s="42" t="str">
        <f>VLOOKUP(tabPontoPed[[#This Row],[GRUPO]],tabGrupos[#Data],3,FALSE)</f>
        <v>MSE</v>
      </c>
      <c r="H630" s="41" t="s">
        <v>1339</v>
      </c>
      <c r="I630" s="9">
        <v>4</v>
      </c>
      <c r="J630" s="51">
        <v>0</v>
      </c>
      <c r="K630" s="7">
        <f>tabPontoPed[[#This Row],[QTDMÊS]] * tabPontoPed[[#This Row],[MENSAL]]</f>
        <v>0</v>
      </c>
      <c r="L630" s="13" t="s">
        <v>1012</v>
      </c>
      <c r="M630" s="44"/>
      <c r="N630" s="45" t="str">
        <f>_xlfn.IFNA(IF(VLOOKUP(tabPontoPed[[#This Row],[CÓDIGO]],Excluir_do_Estoque!$A$4:$A$4004,1,FALSE),"sim",""),"")</f>
        <v/>
      </c>
      <c r="O630" s="10" t="str">
        <f t="shared" si="9"/>
        <v>*</v>
      </c>
    </row>
    <row r="631" spans="1:15" x14ac:dyDescent="0.25">
      <c r="A631" s="2">
        <v>102776</v>
      </c>
      <c r="B631" s="4" t="s">
        <v>772</v>
      </c>
      <c r="C631" s="41" t="s">
        <v>1345</v>
      </c>
      <c r="D631" s="42">
        <v>61</v>
      </c>
      <c r="E631" s="43">
        <v>8</v>
      </c>
      <c r="F631" s="50" t="str">
        <f>VLOOKUP(tabPontoPed[[#This Row],[GRUPO]],tabGrupos[#Data],2,FALSE)</f>
        <v>MATERIAL HIDRAULICO, CANOS, TUBOS, MANGUEIRAS, CONEXOES E ACESS.</v>
      </c>
      <c r="G631" s="42" t="str">
        <f>VLOOKUP(tabPontoPed[[#This Row],[GRUPO]],tabGrupos[#Data],3,FALSE)</f>
        <v>MHI</v>
      </c>
      <c r="H631" s="41" t="s">
        <v>1339</v>
      </c>
      <c r="I631" s="9">
        <v>4</v>
      </c>
      <c r="J631" s="51">
        <v>0</v>
      </c>
      <c r="K631" s="7">
        <f>tabPontoPed[[#This Row],[QTDMÊS]] * tabPontoPed[[#This Row],[MENSAL]]</f>
        <v>0</v>
      </c>
      <c r="L631" s="13" t="s">
        <v>1012</v>
      </c>
      <c r="M631" s="44"/>
      <c r="N631" s="45" t="str">
        <f>_xlfn.IFNA(IF(VLOOKUP(tabPontoPed[[#This Row],[CÓDIGO]],Excluir_do_Estoque!$A$4:$A$4004,1,FALSE),"sim",""),"")</f>
        <v/>
      </c>
      <c r="O631" s="10" t="str">
        <f t="shared" si="9"/>
        <v>*</v>
      </c>
    </row>
    <row r="632" spans="1:15" x14ac:dyDescent="0.25">
      <c r="A632" s="2">
        <v>102791</v>
      </c>
      <c r="B632" s="4" t="s">
        <v>130</v>
      </c>
      <c r="C632" s="41" t="s">
        <v>1345</v>
      </c>
      <c r="D632" s="42">
        <v>55</v>
      </c>
      <c r="E632" s="43">
        <v>19</v>
      </c>
      <c r="F632" s="50" t="str">
        <f>VLOOKUP(tabPontoPed[[#This Row],[GRUPO]],tabGrupos[#Data],2,FALSE)</f>
        <v>EQUIP. MAT. P/ GERACAO, TRANSM. DISTR. RETIF...</v>
      </c>
      <c r="G632" s="42" t="str">
        <f>VLOOKUP(tabPontoPed[[#This Row],[GRUPO]],tabGrupos[#Data],3,FALSE)</f>
        <v>MEL</v>
      </c>
      <c r="H632" s="41" t="s">
        <v>1339</v>
      </c>
      <c r="I632" s="9">
        <v>4</v>
      </c>
      <c r="J632" s="51">
        <v>0</v>
      </c>
      <c r="K632" s="7">
        <f>tabPontoPed[[#This Row],[QTDMÊS]] * tabPontoPed[[#This Row],[MENSAL]]</f>
        <v>0</v>
      </c>
      <c r="L632" s="13" t="s">
        <v>1012</v>
      </c>
      <c r="M632" s="44"/>
      <c r="N632" s="45" t="str">
        <f>_xlfn.IFNA(IF(VLOOKUP(tabPontoPed[[#This Row],[CÓDIGO]],Excluir_do_Estoque!$A$4:$A$4004,1,FALSE),"sim",""),"")</f>
        <v/>
      </c>
      <c r="O632" s="10" t="str">
        <f t="shared" si="9"/>
        <v>*</v>
      </c>
    </row>
    <row r="633" spans="1:15" x14ac:dyDescent="0.25">
      <c r="A633" s="2">
        <v>102814</v>
      </c>
      <c r="B633" s="4" t="s">
        <v>608</v>
      </c>
      <c r="C633" s="41" t="s">
        <v>1345</v>
      </c>
      <c r="D633" s="42">
        <v>54</v>
      </c>
      <c r="E633" s="43">
        <v>19</v>
      </c>
      <c r="F633" s="50" t="str">
        <f>VLOOKUP(tabPontoPed[[#This Row],[GRUPO]],tabGrupos[#Data],2,FALSE)</f>
        <v>EQUIP PROT IND, INST MAT P/ SINAL, CONTR, COMB ...</v>
      </c>
      <c r="G633" s="42" t="str">
        <f>VLOOKUP(tabPontoPed[[#This Row],[GRUPO]],tabGrupos[#Data],3,FALSE)</f>
        <v>MAN</v>
      </c>
      <c r="H633" s="41" t="s">
        <v>1339</v>
      </c>
      <c r="I633" s="9">
        <v>4</v>
      </c>
      <c r="J633" s="51">
        <v>4</v>
      </c>
      <c r="K633" s="7">
        <f>tabPontoPed[[#This Row],[QTDMÊS]] * tabPontoPed[[#This Row],[MENSAL]]</f>
        <v>16</v>
      </c>
      <c r="L633" s="13" t="s">
        <v>1012</v>
      </c>
      <c r="M633" s="44"/>
      <c r="N633" s="45" t="str">
        <f>_xlfn.IFNA(IF(VLOOKUP(tabPontoPed[[#This Row],[CÓDIGO]],Excluir_do_Estoque!$A$4:$A$4004,1,FALSE),"sim",""),"")</f>
        <v/>
      </c>
      <c r="O633" s="10" t="str">
        <f t="shared" si="9"/>
        <v>*</v>
      </c>
    </row>
    <row r="634" spans="1:15" x14ac:dyDescent="0.25">
      <c r="A634" s="2">
        <v>102819</v>
      </c>
      <c r="B634" s="4" t="s">
        <v>354</v>
      </c>
      <c r="C634" s="41" t="s">
        <v>1345</v>
      </c>
      <c r="D634" s="42">
        <v>55</v>
      </c>
      <c r="E634" s="43">
        <v>26</v>
      </c>
      <c r="F634" s="50" t="str">
        <f>VLOOKUP(tabPontoPed[[#This Row],[GRUPO]],tabGrupos[#Data],2,FALSE)</f>
        <v>EQUIP. MAT. P/ GERACAO, TRANSM. DISTR. RETIF...</v>
      </c>
      <c r="G634" s="42" t="str">
        <f>VLOOKUP(tabPontoPed[[#This Row],[GRUPO]],tabGrupos[#Data],3,FALSE)</f>
        <v>MEL</v>
      </c>
      <c r="H634" s="41" t="s">
        <v>1339</v>
      </c>
      <c r="I634" s="9">
        <v>4</v>
      </c>
      <c r="J634" s="51">
        <v>0</v>
      </c>
      <c r="K634" s="7">
        <f>tabPontoPed[[#This Row],[QTDMÊS]] * tabPontoPed[[#This Row],[MENSAL]]</f>
        <v>0</v>
      </c>
      <c r="L634" s="13" t="s">
        <v>1012</v>
      </c>
      <c r="M634" s="44"/>
      <c r="N634" s="45" t="str">
        <f>_xlfn.IFNA(IF(VLOOKUP(tabPontoPed[[#This Row],[CÓDIGO]],Excluir_do_Estoque!$A$4:$A$4004,1,FALSE),"sim",""),"")</f>
        <v/>
      </c>
      <c r="O634" s="10" t="str">
        <f t="shared" si="9"/>
        <v>*</v>
      </c>
    </row>
    <row r="635" spans="1:15" x14ac:dyDescent="0.25">
      <c r="A635" s="2">
        <v>102820</v>
      </c>
      <c r="B635" s="4" t="s">
        <v>355</v>
      </c>
      <c r="C635" s="41" t="s">
        <v>1345</v>
      </c>
      <c r="D635" s="42">
        <v>55</v>
      </c>
      <c r="E635" s="43">
        <v>26</v>
      </c>
      <c r="F635" s="50" t="str">
        <f>VLOOKUP(tabPontoPed[[#This Row],[GRUPO]],tabGrupos[#Data],2,FALSE)</f>
        <v>EQUIP. MAT. P/ GERACAO, TRANSM. DISTR. RETIF...</v>
      </c>
      <c r="G635" s="42" t="str">
        <f>VLOOKUP(tabPontoPed[[#This Row],[GRUPO]],tabGrupos[#Data],3,FALSE)</f>
        <v>MEL</v>
      </c>
      <c r="H635" s="41" t="s">
        <v>1339</v>
      </c>
      <c r="I635" s="9">
        <v>4</v>
      </c>
      <c r="J635" s="51">
        <v>1</v>
      </c>
      <c r="K635" s="7">
        <f>tabPontoPed[[#This Row],[QTDMÊS]] * tabPontoPed[[#This Row],[MENSAL]]</f>
        <v>4</v>
      </c>
      <c r="L635" s="13" t="s">
        <v>1012</v>
      </c>
      <c r="M635" s="44"/>
      <c r="N635" s="45" t="str">
        <f>_xlfn.IFNA(IF(VLOOKUP(tabPontoPed[[#This Row],[CÓDIGO]],Excluir_do_Estoque!$A$4:$A$4004,1,FALSE),"sim",""),"")</f>
        <v/>
      </c>
      <c r="O635" s="10" t="str">
        <f t="shared" si="9"/>
        <v>*</v>
      </c>
    </row>
    <row r="636" spans="1:15" x14ac:dyDescent="0.25">
      <c r="A636" s="2">
        <v>102822</v>
      </c>
      <c r="B636" s="4" t="s">
        <v>634</v>
      </c>
      <c r="C636" s="41" t="s">
        <v>1345</v>
      </c>
      <c r="D636" s="42">
        <v>55</v>
      </c>
      <c r="E636" s="43">
        <v>26</v>
      </c>
      <c r="F636" s="50" t="str">
        <f>VLOOKUP(tabPontoPed[[#This Row],[GRUPO]],tabGrupos[#Data],2,FALSE)</f>
        <v>EQUIP. MAT. P/ GERACAO, TRANSM. DISTR. RETIF...</v>
      </c>
      <c r="G636" s="42" t="str">
        <f>VLOOKUP(tabPontoPed[[#This Row],[GRUPO]],tabGrupos[#Data],3,FALSE)</f>
        <v>MEL</v>
      </c>
      <c r="H636" s="41" t="s">
        <v>1339</v>
      </c>
      <c r="I636" s="9">
        <v>4</v>
      </c>
      <c r="J636" s="51">
        <v>2</v>
      </c>
      <c r="K636" s="7">
        <f>tabPontoPed[[#This Row],[QTDMÊS]] * tabPontoPed[[#This Row],[MENSAL]]</f>
        <v>8</v>
      </c>
      <c r="L636" s="13" t="s">
        <v>1012</v>
      </c>
      <c r="M636" s="44"/>
      <c r="N636" s="45" t="str">
        <f>_xlfn.IFNA(IF(VLOOKUP(tabPontoPed[[#This Row],[CÓDIGO]],Excluir_do_Estoque!$A$4:$A$4004,1,FALSE),"sim",""),"")</f>
        <v/>
      </c>
      <c r="O636" s="10" t="str">
        <f t="shared" si="9"/>
        <v>*</v>
      </c>
    </row>
    <row r="637" spans="1:15" x14ac:dyDescent="0.25">
      <c r="A637" s="2">
        <v>102922</v>
      </c>
      <c r="B637" s="4" t="s">
        <v>388</v>
      </c>
      <c r="C637" s="41" t="s">
        <v>1345</v>
      </c>
      <c r="D637" s="42">
        <v>72</v>
      </c>
      <c r="E637" s="43">
        <v>10</v>
      </c>
      <c r="F637" s="50" t="str">
        <f>VLOOKUP(tabPontoPed[[#This Row],[GRUPO]],tabGrupos[#Data],2,FALSE)</f>
        <v>MAQ.EQUIP.E MATERIAIS P/ HIGIEN.LIMP.POLIM.E LUBR.</v>
      </c>
      <c r="G637" s="42" t="str">
        <f>VLOOKUP(tabPontoPed[[#This Row],[GRUPO]],tabGrupos[#Data],3,FALSE)</f>
        <v>ADM</v>
      </c>
      <c r="H637" s="41" t="s">
        <v>1339</v>
      </c>
      <c r="I637" s="9">
        <v>4</v>
      </c>
      <c r="J637" s="51">
        <v>1823</v>
      </c>
      <c r="K637" s="7">
        <f>tabPontoPed[[#This Row],[QTDMÊS]] * tabPontoPed[[#This Row],[MENSAL]]</f>
        <v>7292</v>
      </c>
      <c r="L637" s="13" t="s">
        <v>1012</v>
      </c>
      <c r="M637" s="44"/>
      <c r="N637" s="45" t="str">
        <f>_xlfn.IFNA(IF(VLOOKUP(tabPontoPed[[#This Row],[CÓDIGO]],Excluir_do_Estoque!$A$4:$A$4004,1,FALSE),"sim",""),"")</f>
        <v/>
      </c>
      <c r="O637" s="10" t="str">
        <f t="shared" si="9"/>
        <v>*</v>
      </c>
    </row>
    <row r="638" spans="1:15" x14ac:dyDescent="0.25">
      <c r="A638" s="2">
        <v>103142</v>
      </c>
      <c r="B638" s="4" t="s">
        <v>313</v>
      </c>
      <c r="C638" s="41" t="s">
        <v>1345</v>
      </c>
      <c r="D638" s="42">
        <v>61</v>
      </c>
      <c r="E638" s="43">
        <v>13</v>
      </c>
      <c r="F638" s="50" t="str">
        <f>VLOOKUP(tabPontoPed[[#This Row],[GRUPO]],tabGrupos[#Data],2,FALSE)</f>
        <v>MATERIAL HIDRAULICO, CANOS, TUBOS, MANGUEIRAS, CONEXOES E ACESS.</v>
      </c>
      <c r="G638" s="42" t="str">
        <f>VLOOKUP(tabPontoPed[[#This Row],[GRUPO]],tabGrupos[#Data],3,FALSE)</f>
        <v>MHI</v>
      </c>
      <c r="H638" s="41" t="s">
        <v>1339</v>
      </c>
      <c r="I638" s="9">
        <v>4</v>
      </c>
      <c r="J638" s="51">
        <v>1</v>
      </c>
      <c r="K638" s="7">
        <f>tabPontoPed[[#This Row],[QTDMÊS]] * tabPontoPed[[#This Row],[MENSAL]]</f>
        <v>4</v>
      </c>
      <c r="L638" s="13" t="s">
        <v>1012</v>
      </c>
      <c r="M638" s="44"/>
      <c r="N638" s="45" t="str">
        <f>_xlfn.IFNA(IF(VLOOKUP(tabPontoPed[[#This Row],[CÓDIGO]],Excluir_do_Estoque!$A$4:$A$4004,1,FALSE),"sim",""),"")</f>
        <v/>
      </c>
      <c r="O638" s="10" t="str">
        <f t="shared" si="9"/>
        <v>*</v>
      </c>
    </row>
    <row r="639" spans="1:15" x14ac:dyDescent="0.25">
      <c r="A639" s="2">
        <v>103251</v>
      </c>
      <c r="B639" s="4" t="s">
        <v>111</v>
      </c>
      <c r="C639" s="41" t="s">
        <v>1345</v>
      </c>
      <c r="D639" s="42">
        <v>55</v>
      </c>
      <c r="E639" s="43">
        <v>19</v>
      </c>
      <c r="F639" s="50" t="str">
        <f>VLOOKUP(tabPontoPed[[#This Row],[GRUPO]],tabGrupos[#Data],2,FALSE)</f>
        <v>EQUIP. MAT. P/ GERACAO, TRANSM. DISTR. RETIF...</v>
      </c>
      <c r="G639" s="42" t="str">
        <f>VLOOKUP(tabPontoPed[[#This Row],[GRUPO]],tabGrupos[#Data],3,FALSE)</f>
        <v>MEL</v>
      </c>
      <c r="H639" s="41" t="s">
        <v>1339</v>
      </c>
      <c r="I639" s="9">
        <v>4</v>
      </c>
      <c r="J639" s="51">
        <v>27</v>
      </c>
      <c r="K639" s="7">
        <f>tabPontoPed[[#This Row],[QTDMÊS]] * tabPontoPed[[#This Row],[MENSAL]]</f>
        <v>108</v>
      </c>
      <c r="L639" s="13" t="s">
        <v>1012</v>
      </c>
      <c r="M639" s="44"/>
      <c r="N639" s="45" t="str">
        <f>_xlfn.IFNA(IF(VLOOKUP(tabPontoPed[[#This Row],[CÓDIGO]],Excluir_do_Estoque!$A$4:$A$4004,1,FALSE),"sim",""),"")</f>
        <v/>
      </c>
      <c r="O639" s="10" t="str">
        <f t="shared" si="9"/>
        <v>*</v>
      </c>
    </row>
    <row r="640" spans="1:15" x14ac:dyDescent="0.25">
      <c r="A640" s="2">
        <v>103344</v>
      </c>
      <c r="B640" s="4" t="s">
        <v>672</v>
      </c>
      <c r="C640" s="41" t="s">
        <v>1345</v>
      </c>
      <c r="D640" s="42">
        <v>55</v>
      </c>
      <c r="E640" s="43">
        <v>35</v>
      </c>
      <c r="F640" s="50" t="str">
        <f>VLOOKUP(tabPontoPed[[#This Row],[GRUPO]],tabGrupos[#Data],2,FALSE)</f>
        <v>EQUIP. MAT. P/ GERACAO, TRANSM. DISTR. RETIF...</v>
      </c>
      <c r="G640" s="42" t="str">
        <f>VLOOKUP(tabPontoPed[[#This Row],[GRUPO]],tabGrupos[#Data],3,FALSE)</f>
        <v>MEL</v>
      </c>
      <c r="H640" s="41" t="s">
        <v>1339</v>
      </c>
      <c r="I640" s="9">
        <v>4</v>
      </c>
      <c r="J640" s="51">
        <v>3</v>
      </c>
      <c r="K640" s="7">
        <f>tabPontoPed[[#This Row],[QTDMÊS]] * tabPontoPed[[#This Row],[MENSAL]]</f>
        <v>12</v>
      </c>
      <c r="L640" s="13" t="s">
        <v>1012</v>
      </c>
      <c r="M640" s="44"/>
      <c r="N640" s="45" t="str">
        <f>_xlfn.IFNA(IF(VLOOKUP(tabPontoPed[[#This Row],[CÓDIGO]],Excluir_do_Estoque!$A$4:$A$4004,1,FALSE),"sim",""),"")</f>
        <v/>
      </c>
      <c r="O640" s="10" t="str">
        <f t="shared" si="9"/>
        <v>*</v>
      </c>
    </row>
    <row r="641" spans="1:15" x14ac:dyDescent="0.25">
      <c r="A641" s="2">
        <v>103405</v>
      </c>
      <c r="B641" s="4" t="s">
        <v>938</v>
      </c>
      <c r="C641" s="41" t="s">
        <v>1345</v>
      </c>
      <c r="D641" s="42">
        <v>72</v>
      </c>
      <c r="E641" s="43">
        <v>8</v>
      </c>
      <c r="F641" s="50" t="str">
        <f>VLOOKUP(tabPontoPed[[#This Row],[GRUPO]],tabGrupos[#Data],2,FALSE)</f>
        <v>MAQ.EQUIP.E MATERIAIS P/ HIGIEN.LIMP.POLIM.E LUBR.</v>
      </c>
      <c r="G641" s="42" t="str">
        <f>VLOOKUP(tabPontoPed[[#This Row],[GRUPO]],tabGrupos[#Data],3,FALSE)</f>
        <v>ADM</v>
      </c>
      <c r="H641" s="41" t="s">
        <v>1339</v>
      </c>
      <c r="I641" s="9">
        <v>4</v>
      </c>
      <c r="J641" s="51">
        <v>10</v>
      </c>
      <c r="K641" s="7">
        <f>tabPontoPed[[#This Row],[QTDMÊS]] * tabPontoPed[[#This Row],[MENSAL]]</f>
        <v>40</v>
      </c>
      <c r="L641" s="13" t="s">
        <v>1012</v>
      </c>
      <c r="M641" s="44"/>
      <c r="N641" s="45" t="str">
        <f>_xlfn.IFNA(IF(VLOOKUP(tabPontoPed[[#This Row],[CÓDIGO]],Excluir_do_Estoque!$A$4:$A$4004,1,FALSE),"sim",""),"")</f>
        <v/>
      </c>
      <c r="O641" s="10" t="str">
        <f t="shared" si="9"/>
        <v>*</v>
      </c>
    </row>
    <row r="642" spans="1:15" x14ac:dyDescent="0.25">
      <c r="A642" s="2">
        <v>103490</v>
      </c>
      <c r="B642" s="4" t="s">
        <v>717</v>
      </c>
      <c r="C642" s="41" t="s">
        <v>1345</v>
      </c>
      <c r="D642" s="42">
        <v>59</v>
      </c>
      <c r="E642" s="43">
        <v>18</v>
      </c>
      <c r="F642" s="50" t="str">
        <f>VLOOKUP(tabPontoPed[[#This Row],[GRUPO]],tabGrupos[#Data],2,FALSE)</f>
        <v>EQUIP.MAT.E ACESS.COMUNIC.CINE FOTO OTICA SOM</v>
      </c>
      <c r="G642" s="42" t="str">
        <f>VLOOKUP(tabPontoPed[[#This Row],[GRUPO]],tabGrupos[#Data],3,FALSE)</f>
        <v>INF</v>
      </c>
      <c r="H642" s="41" t="s">
        <v>1339</v>
      </c>
      <c r="I642" s="9">
        <v>4</v>
      </c>
      <c r="J642" s="51">
        <v>1</v>
      </c>
      <c r="K642" s="7">
        <f>tabPontoPed[[#This Row],[QTDMÊS]] * tabPontoPed[[#This Row],[MENSAL]]</f>
        <v>4</v>
      </c>
      <c r="L642" s="13" t="s">
        <v>1012</v>
      </c>
      <c r="M642" s="44"/>
      <c r="N642" s="45" t="str">
        <f>_xlfn.IFNA(IF(VLOOKUP(tabPontoPed[[#This Row],[CÓDIGO]],Excluir_do_Estoque!$A$4:$A$4004,1,FALSE),"sim",""),"")</f>
        <v/>
      </c>
      <c r="O642" s="10" t="str">
        <f t="shared" si="9"/>
        <v>*</v>
      </c>
    </row>
    <row r="643" spans="1:15" x14ac:dyDescent="0.25">
      <c r="A643" s="2">
        <v>104625</v>
      </c>
      <c r="B643" s="4" t="s">
        <v>609</v>
      </c>
      <c r="C643" s="41" t="s">
        <v>1345</v>
      </c>
      <c r="D643" s="42">
        <v>54</v>
      </c>
      <c r="E643" s="43">
        <v>19</v>
      </c>
      <c r="F643" s="50" t="str">
        <f>VLOOKUP(tabPontoPed[[#This Row],[GRUPO]],tabGrupos[#Data],2,FALSE)</f>
        <v>EQUIP PROT IND, INST MAT P/ SINAL, CONTR, COMB ...</v>
      </c>
      <c r="G643" s="42" t="str">
        <f>VLOOKUP(tabPontoPed[[#This Row],[GRUPO]],tabGrupos[#Data],3,FALSE)</f>
        <v>MAN</v>
      </c>
      <c r="H643" s="41" t="s">
        <v>1339</v>
      </c>
      <c r="I643" s="9">
        <v>4</v>
      </c>
      <c r="J643" s="51">
        <v>1</v>
      </c>
      <c r="K643" s="7">
        <f>tabPontoPed[[#This Row],[QTDMÊS]] * tabPontoPed[[#This Row],[MENSAL]]</f>
        <v>4</v>
      </c>
      <c r="L643" s="13" t="s">
        <v>1012</v>
      </c>
      <c r="M643" s="44"/>
      <c r="N643" s="45" t="str">
        <f>_xlfn.IFNA(IF(VLOOKUP(tabPontoPed[[#This Row],[CÓDIGO]],Excluir_do_Estoque!$A$4:$A$4004,1,FALSE),"sim",""),"")</f>
        <v/>
      </c>
      <c r="O643" s="10" t="str">
        <f t="shared" si="9"/>
        <v>*</v>
      </c>
    </row>
    <row r="644" spans="1:15" x14ac:dyDescent="0.25">
      <c r="A644" s="2">
        <v>104639</v>
      </c>
      <c r="B644" s="4" t="s">
        <v>610</v>
      </c>
      <c r="C644" s="41" t="s">
        <v>1345</v>
      </c>
      <c r="D644" s="42">
        <v>54</v>
      </c>
      <c r="E644" s="43">
        <v>19</v>
      </c>
      <c r="F644" s="50" t="str">
        <f>VLOOKUP(tabPontoPed[[#This Row],[GRUPO]],tabGrupos[#Data],2,FALSE)</f>
        <v>EQUIP PROT IND, INST MAT P/ SINAL, CONTR, COMB ...</v>
      </c>
      <c r="G644" s="42" t="str">
        <f>VLOOKUP(tabPontoPed[[#This Row],[GRUPO]],tabGrupos[#Data],3,FALSE)</f>
        <v>MAN</v>
      </c>
      <c r="H644" s="41" t="s">
        <v>1339</v>
      </c>
      <c r="I644" s="9">
        <v>4</v>
      </c>
      <c r="J644" s="51">
        <v>1</v>
      </c>
      <c r="K644" s="7">
        <f>tabPontoPed[[#This Row],[QTDMÊS]] * tabPontoPed[[#This Row],[MENSAL]]</f>
        <v>4</v>
      </c>
      <c r="L644" s="13" t="s">
        <v>1012</v>
      </c>
      <c r="M644" s="44"/>
      <c r="N644" s="45" t="str">
        <f>_xlfn.IFNA(IF(VLOOKUP(tabPontoPed[[#This Row],[CÓDIGO]],Excluir_do_Estoque!$A$4:$A$4004,1,FALSE),"sim",""),"")</f>
        <v/>
      </c>
      <c r="O644" s="10" t="str">
        <f t="shared" ref="O644:O707" si="10">"*"</f>
        <v>*</v>
      </c>
    </row>
    <row r="645" spans="1:15" x14ac:dyDescent="0.25">
      <c r="A645" s="2">
        <v>104640</v>
      </c>
      <c r="B645" s="4" t="s">
        <v>611</v>
      </c>
      <c r="C645" s="41" t="s">
        <v>1345</v>
      </c>
      <c r="D645" s="42">
        <v>54</v>
      </c>
      <c r="E645" s="43">
        <v>19</v>
      </c>
      <c r="F645" s="50" t="str">
        <f>VLOOKUP(tabPontoPed[[#This Row],[GRUPO]],tabGrupos[#Data],2,FALSE)</f>
        <v>EQUIP PROT IND, INST MAT P/ SINAL, CONTR, COMB ...</v>
      </c>
      <c r="G645" s="42" t="str">
        <f>VLOOKUP(tabPontoPed[[#This Row],[GRUPO]],tabGrupos[#Data],3,FALSE)</f>
        <v>MAN</v>
      </c>
      <c r="H645" s="41" t="s">
        <v>1339</v>
      </c>
      <c r="I645" s="9">
        <v>4</v>
      </c>
      <c r="J645" s="51">
        <v>1</v>
      </c>
      <c r="K645" s="7">
        <f>tabPontoPed[[#This Row],[QTDMÊS]] * tabPontoPed[[#This Row],[MENSAL]]</f>
        <v>4</v>
      </c>
      <c r="L645" s="13" t="s">
        <v>1012</v>
      </c>
      <c r="M645" s="44"/>
      <c r="N645" s="45" t="str">
        <f>_xlfn.IFNA(IF(VLOOKUP(tabPontoPed[[#This Row],[CÓDIGO]],Excluir_do_Estoque!$A$4:$A$4004,1,FALSE),"sim",""),"")</f>
        <v/>
      </c>
      <c r="O645" s="10" t="str">
        <f t="shared" si="10"/>
        <v>*</v>
      </c>
    </row>
    <row r="646" spans="1:15" x14ac:dyDescent="0.25">
      <c r="A646" s="2">
        <v>104641</v>
      </c>
      <c r="B646" s="4" t="s">
        <v>612</v>
      </c>
      <c r="C646" s="41" t="s">
        <v>1345</v>
      </c>
      <c r="D646" s="42">
        <v>54</v>
      </c>
      <c r="E646" s="43">
        <v>19</v>
      </c>
      <c r="F646" s="50" t="str">
        <f>VLOOKUP(tabPontoPed[[#This Row],[GRUPO]],tabGrupos[#Data],2,FALSE)</f>
        <v>EQUIP PROT IND, INST MAT P/ SINAL, CONTR, COMB ...</v>
      </c>
      <c r="G646" s="42" t="str">
        <f>VLOOKUP(tabPontoPed[[#This Row],[GRUPO]],tabGrupos[#Data],3,FALSE)</f>
        <v>MAN</v>
      </c>
      <c r="H646" s="41" t="s">
        <v>1339</v>
      </c>
      <c r="I646" s="9">
        <v>4</v>
      </c>
      <c r="J646" s="51">
        <v>1</v>
      </c>
      <c r="K646" s="7">
        <f>tabPontoPed[[#This Row],[QTDMÊS]] * tabPontoPed[[#This Row],[MENSAL]]</f>
        <v>4</v>
      </c>
      <c r="L646" s="13" t="s">
        <v>1012</v>
      </c>
      <c r="M646" s="44"/>
      <c r="N646" s="45" t="str">
        <f>_xlfn.IFNA(IF(VLOOKUP(tabPontoPed[[#This Row],[CÓDIGO]],Excluir_do_Estoque!$A$4:$A$4004,1,FALSE),"sim",""),"")</f>
        <v/>
      </c>
      <c r="O646" s="10" t="str">
        <f t="shared" si="10"/>
        <v>*</v>
      </c>
    </row>
    <row r="647" spans="1:15" x14ac:dyDescent="0.25">
      <c r="A647" s="2">
        <v>104642</v>
      </c>
      <c r="B647" s="4" t="s">
        <v>613</v>
      </c>
      <c r="C647" s="41" t="s">
        <v>1345</v>
      </c>
      <c r="D647" s="42">
        <v>54</v>
      </c>
      <c r="E647" s="43">
        <v>19</v>
      </c>
      <c r="F647" s="50" t="str">
        <f>VLOOKUP(tabPontoPed[[#This Row],[GRUPO]],tabGrupos[#Data],2,FALSE)</f>
        <v>EQUIP PROT IND, INST MAT P/ SINAL, CONTR, COMB ...</v>
      </c>
      <c r="G647" s="42" t="str">
        <f>VLOOKUP(tabPontoPed[[#This Row],[GRUPO]],tabGrupos[#Data],3,FALSE)</f>
        <v>MAN</v>
      </c>
      <c r="H647" s="41" t="s">
        <v>1339</v>
      </c>
      <c r="I647" s="9">
        <v>4</v>
      </c>
      <c r="J647" s="51">
        <v>1</v>
      </c>
      <c r="K647" s="7">
        <f>tabPontoPed[[#This Row],[QTDMÊS]] * tabPontoPed[[#This Row],[MENSAL]]</f>
        <v>4</v>
      </c>
      <c r="L647" s="13" t="s">
        <v>1012</v>
      </c>
      <c r="M647" s="44"/>
      <c r="N647" s="45" t="str">
        <f>_xlfn.IFNA(IF(VLOOKUP(tabPontoPed[[#This Row],[CÓDIGO]],Excluir_do_Estoque!$A$4:$A$4004,1,FALSE),"sim",""),"")</f>
        <v/>
      </c>
      <c r="O647" s="10" t="str">
        <f t="shared" si="10"/>
        <v>*</v>
      </c>
    </row>
    <row r="648" spans="1:15" x14ac:dyDescent="0.25">
      <c r="A648" s="2">
        <v>104655</v>
      </c>
      <c r="B648" s="4" t="s">
        <v>868</v>
      </c>
      <c r="C648" s="41" t="s">
        <v>1345</v>
      </c>
      <c r="D648" s="42">
        <v>67</v>
      </c>
      <c r="E648" s="43">
        <v>17</v>
      </c>
      <c r="F648" s="50" t="str">
        <f>VLOOKUP(tabPontoPed[[#This Row],[GRUPO]],tabGrupos[#Data],2,FALSE)</f>
        <v>PARAFUSOS ELEM. VEDACAO UNIAO CONEX . FIXACAO</v>
      </c>
      <c r="G648" s="42" t="str">
        <f>VLOOKUP(tabPontoPed[[#This Row],[GRUPO]],tabGrupos[#Data],3,FALSE)</f>
        <v>MSE</v>
      </c>
      <c r="H648" s="41" t="s">
        <v>1339</v>
      </c>
      <c r="I648" s="9">
        <v>4</v>
      </c>
      <c r="J648" s="51">
        <v>34</v>
      </c>
      <c r="K648" s="7">
        <f>tabPontoPed[[#This Row],[QTDMÊS]] * tabPontoPed[[#This Row],[MENSAL]]</f>
        <v>136</v>
      </c>
      <c r="L648" s="13" t="s">
        <v>1012</v>
      </c>
      <c r="M648" s="44"/>
      <c r="N648" s="45" t="str">
        <f>_xlfn.IFNA(IF(VLOOKUP(tabPontoPed[[#This Row],[CÓDIGO]],Excluir_do_Estoque!$A$4:$A$4004,1,FALSE),"sim",""),"")</f>
        <v/>
      </c>
      <c r="O648" s="10" t="str">
        <f t="shared" si="10"/>
        <v>*</v>
      </c>
    </row>
    <row r="649" spans="1:15" x14ac:dyDescent="0.25">
      <c r="A649" s="2">
        <v>104665</v>
      </c>
      <c r="B649" s="4" t="s">
        <v>639</v>
      </c>
      <c r="C649" s="41" t="s">
        <v>1345</v>
      </c>
      <c r="D649" s="42">
        <v>55</v>
      </c>
      <c r="E649" s="43">
        <v>27</v>
      </c>
      <c r="F649" s="50" t="str">
        <f>VLOOKUP(tabPontoPed[[#This Row],[GRUPO]],tabGrupos[#Data],2,FALSE)</f>
        <v>EQUIP. MAT. P/ GERACAO, TRANSM. DISTR. RETIF...</v>
      </c>
      <c r="G649" s="42" t="str">
        <f>VLOOKUP(tabPontoPed[[#This Row],[GRUPO]],tabGrupos[#Data],3,FALSE)</f>
        <v>MEL</v>
      </c>
      <c r="H649" s="41" t="s">
        <v>1339</v>
      </c>
      <c r="I649" s="9">
        <v>4</v>
      </c>
      <c r="J649" s="51">
        <v>1</v>
      </c>
      <c r="K649" s="7">
        <f>tabPontoPed[[#This Row],[QTDMÊS]] * tabPontoPed[[#This Row],[MENSAL]]</f>
        <v>4</v>
      </c>
      <c r="L649" s="13" t="s">
        <v>1012</v>
      </c>
      <c r="M649" s="44"/>
      <c r="N649" s="45" t="str">
        <f>_xlfn.IFNA(IF(VLOOKUP(tabPontoPed[[#This Row],[CÓDIGO]],Excluir_do_Estoque!$A$4:$A$4004,1,FALSE),"sim",""),"")</f>
        <v/>
      </c>
      <c r="O649" s="10" t="str">
        <f t="shared" si="10"/>
        <v>*</v>
      </c>
    </row>
    <row r="650" spans="1:15" x14ac:dyDescent="0.25">
      <c r="A650" s="2">
        <v>104667</v>
      </c>
      <c r="B650" s="4" t="s">
        <v>798</v>
      </c>
      <c r="C650" s="41" t="s">
        <v>1345</v>
      </c>
      <c r="D650" s="42">
        <v>61</v>
      </c>
      <c r="E650" s="43">
        <v>15</v>
      </c>
      <c r="F650" s="50" t="str">
        <f>VLOOKUP(tabPontoPed[[#This Row],[GRUPO]],tabGrupos[#Data],2,FALSE)</f>
        <v>MATERIAL HIDRAULICO, CANOS, TUBOS, MANGUEIRAS, CONEXOES E ACESS.</v>
      </c>
      <c r="G650" s="42" t="str">
        <f>VLOOKUP(tabPontoPed[[#This Row],[GRUPO]],tabGrupos[#Data],3,FALSE)</f>
        <v>MHI</v>
      </c>
      <c r="H650" s="41" t="s">
        <v>1339</v>
      </c>
      <c r="I650" s="9">
        <v>4</v>
      </c>
      <c r="J650" s="51">
        <v>10</v>
      </c>
      <c r="K650" s="7">
        <f>tabPontoPed[[#This Row],[QTDMÊS]] * tabPontoPed[[#This Row],[MENSAL]]</f>
        <v>40</v>
      </c>
      <c r="L650" s="13" t="s">
        <v>1012</v>
      </c>
      <c r="M650" s="44"/>
      <c r="N650" s="45" t="str">
        <f>_xlfn.IFNA(IF(VLOOKUP(tabPontoPed[[#This Row],[CÓDIGO]],Excluir_do_Estoque!$A$4:$A$4004,1,FALSE),"sim",""),"")</f>
        <v/>
      </c>
      <c r="O650" s="10" t="str">
        <f t="shared" si="10"/>
        <v>*</v>
      </c>
    </row>
    <row r="651" spans="1:15" x14ac:dyDescent="0.25">
      <c r="A651" s="2">
        <v>104755</v>
      </c>
      <c r="B651" s="4" t="s">
        <v>976</v>
      </c>
      <c r="C651" s="41" t="s">
        <v>1345</v>
      </c>
      <c r="D651" s="42">
        <v>78</v>
      </c>
      <c r="E651" s="43">
        <v>6</v>
      </c>
      <c r="F651" s="50" t="str">
        <f>VLOOKUP(tabPontoPed[[#This Row],[GRUPO]],tabGrupos[#Data],2,FALSE)</f>
        <v>MOBILIARIO E COFRE</v>
      </c>
      <c r="G651" s="42" t="str">
        <f>VLOOKUP(tabPontoPed[[#This Row],[GRUPO]],tabGrupos[#Data],3,FALSE)</f>
        <v>ADM</v>
      </c>
      <c r="H651" s="41" t="s">
        <v>1339</v>
      </c>
      <c r="I651" s="9">
        <v>4</v>
      </c>
      <c r="J651" s="51">
        <v>109</v>
      </c>
      <c r="K651" s="7">
        <f>tabPontoPed[[#This Row],[QTDMÊS]] * tabPontoPed[[#This Row],[MENSAL]]</f>
        <v>436</v>
      </c>
      <c r="L651" s="13" t="s">
        <v>1012</v>
      </c>
      <c r="M651" s="44"/>
      <c r="N651" s="45" t="str">
        <f>_xlfn.IFNA(IF(VLOOKUP(tabPontoPed[[#This Row],[CÓDIGO]],Excluir_do_Estoque!$A$4:$A$4004,1,FALSE),"sim",""),"")</f>
        <v>sim</v>
      </c>
      <c r="O651" s="10" t="str">
        <f t="shared" si="10"/>
        <v>*</v>
      </c>
    </row>
    <row r="652" spans="1:15" x14ac:dyDescent="0.25">
      <c r="A652" s="2">
        <v>104832</v>
      </c>
      <c r="B652" s="4" t="s">
        <v>205</v>
      </c>
      <c r="C652" s="41" t="s">
        <v>1345</v>
      </c>
      <c r="D652" s="42">
        <v>51</v>
      </c>
      <c r="E652" s="43">
        <v>37</v>
      </c>
      <c r="F652" s="50" t="str">
        <f>VLOOKUP(tabPontoPed[[#This Row],[GRUPO]],tabGrupos[#Data],2,FALSE)</f>
        <v>MAT.E EQUIP. P/ CONSTR.CIVIL E CONSERV. DE VIAS PUBL.</v>
      </c>
      <c r="G652" s="42" t="str">
        <f>VLOOKUP(tabPontoPed[[#This Row],[GRUPO]],tabGrupos[#Data],3,FALSE)</f>
        <v>MCO</v>
      </c>
      <c r="H652" s="41" t="s">
        <v>1339</v>
      </c>
      <c r="I652" s="9">
        <v>4</v>
      </c>
      <c r="J652" s="51">
        <v>9</v>
      </c>
      <c r="K652" s="7">
        <f>tabPontoPed[[#This Row],[QTDMÊS]] * tabPontoPed[[#This Row],[MENSAL]]</f>
        <v>36</v>
      </c>
      <c r="L652" s="13" t="s">
        <v>1012</v>
      </c>
      <c r="M652" s="44"/>
      <c r="N652" s="45" t="str">
        <f>_xlfn.IFNA(IF(VLOOKUP(tabPontoPed[[#This Row],[CÓDIGO]],Excluir_do_Estoque!$A$4:$A$4004,1,FALSE),"sim",""),"")</f>
        <v/>
      </c>
      <c r="O652" s="10" t="str">
        <f t="shared" si="10"/>
        <v>*</v>
      </c>
    </row>
    <row r="653" spans="1:15" x14ac:dyDescent="0.25">
      <c r="A653" s="2">
        <v>104911</v>
      </c>
      <c r="B653" s="4" t="s">
        <v>922</v>
      </c>
      <c r="C653" s="41" t="s">
        <v>1345</v>
      </c>
      <c r="D653" s="42">
        <v>70</v>
      </c>
      <c r="E653" s="43">
        <v>45</v>
      </c>
      <c r="F653" s="50" t="str">
        <f>VLOOKUP(tabPontoPed[[#This Row],[GRUPO]],tabGrupos[#Data],2,FALSE)</f>
        <v>FERRAMENTAS MAQ.FERRAMENTAS,ELETR.PECAS E ACESSORI</v>
      </c>
      <c r="G653" s="42" t="str">
        <f>VLOOKUP(tabPontoPed[[#This Row],[GRUPO]],tabGrupos[#Data],3,FALSE)</f>
        <v>MAN</v>
      </c>
      <c r="H653" s="41" t="s">
        <v>1339</v>
      </c>
      <c r="I653" s="9">
        <v>4</v>
      </c>
      <c r="J653" s="51">
        <v>2</v>
      </c>
      <c r="K653" s="7">
        <f>tabPontoPed[[#This Row],[QTDMÊS]] * tabPontoPed[[#This Row],[MENSAL]]</f>
        <v>8</v>
      </c>
      <c r="L653" s="13" t="s">
        <v>1012</v>
      </c>
      <c r="M653" s="44"/>
      <c r="N653" s="45" t="str">
        <f>_xlfn.IFNA(IF(VLOOKUP(tabPontoPed[[#This Row],[CÓDIGO]],Excluir_do_Estoque!$A$4:$A$4004,1,FALSE),"sim",""),"")</f>
        <v/>
      </c>
      <c r="O653" s="10" t="str">
        <f t="shared" si="10"/>
        <v>*</v>
      </c>
    </row>
    <row r="654" spans="1:15" x14ac:dyDescent="0.25">
      <c r="A654" s="2">
        <v>105106</v>
      </c>
      <c r="B654" s="4" t="s">
        <v>808</v>
      </c>
      <c r="C654" s="41" t="s">
        <v>1345</v>
      </c>
      <c r="D654" s="42">
        <v>62</v>
      </c>
      <c r="E654" s="43">
        <v>4</v>
      </c>
      <c r="F654" s="50" t="str">
        <f>VLOOKUP(tabPontoPed[[#This Row],[GRUPO]],tabGrupos[#Data],2,FALSE)</f>
        <v>VEST., ART.P/ TOUC.E HIG. PES. MAQ., EQUIP., MAT.E ACES.</v>
      </c>
      <c r="G654" s="42" t="str">
        <f>VLOOKUP(tabPontoPed[[#This Row],[GRUPO]],tabGrupos[#Data],3,FALSE)</f>
        <v>ADM</v>
      </c>
      <c r="H654" s="41" t="s">
        <v>1339</v>
      </c>
      <c r="I654" s="9">
        <v>4</v>
      </c>
      <c r="J654" s="51">
        <v>1</v>
      </c>
      <c r="K654" s="7">
        <f>tabPontoPed[[#This Row],[QTDMÊS]] * tabPontoPed[[#This Row],[MENSAL]]</f>
        <v>4</v>
      </c>
      <c r="L654" s="13" t="s">
        <v>1012</v>
      </c>
      <c r="M654" s="44"/>
      <c r="N654" s="45" t="str">
        <f>_xlfn.IFNA(IF(VLOOKUP(tabPontoPed[[#This Row],[CÓDIGO]],Excluir_do_Estoque!$A$4:$A$4004,1,FALSE),"sim",""),"")</f>
        <v/>
      </c>
      <c r="O654" s="10" t="str">
        <f t="shared" si="10"/>
        <v>*</v>
      </c>
    </row>
    <row r="655" spans="1:15" x14ac:dyDescent="0.25">
      <c r="A655" s="2">
        <v>105107</v>
      </c>
      <c r="B655" s="4" t="s">
        <v>809</v>
      </c>
      <c r="C655" s="41" t="s">
        <v>1345</v>
      </c>
      <c r="D655" s="42">
        <v>62</v>
      </c>
      <c r="E655" s="43">
        <v>4</v>
      </c>
      <c r="F655" s="50" t="str">
        <f>VLOOKUP(tabPontoPed[[#This Row],[GRUPO]],tabGrupos[#Data],2,FALSE)</f>
        <v>VEST., ART.P/ TOUC.E HIG. PES. MAQ., EQUIP., MAT.E ACES.</v>
      </c>
      <c r="G655" s="42" t="str">
        <f>VLOOKUP(tabPontoPed[[#This Row],[GRUPO]],tabGrupos[#Data],3,FALSE)</f>
        <v>ADM</v>
      </c>
      <c r="H655" s="41" t="s">
        <v>1339</v>
      </c>
      <c r="I655" s="9">
        <v>4</v>
      </c>
      <c r="J655" s="51">
        <v>1</v>
      </c>
      <c r="K655" s="7">
        <f>tabPontoPed[[#This Row],[QTDMÊS]] * tabPontoPed[[#This Row],[MENSAL]]</f>
        <v>4</v>
      </c>
      <c r="L655" s="13" t="s">
        <v>1012</v>
      </c>
      <c r="M655" s="44"/>
      <c r="N655" s="45" t="str">
        <f>_xlfn.IFNA(IF(VLOOKUP(tabPontoPed[[#This Row],[CÓDIGO]],Excluir_do_Estoque!$A$4:$A$4004,1,FALSE),"sim",""),"")</f>
        <v/>
      </c>
      <c r="O655" s="10" t="str">
        <f t="shared" si="10"/>
        <v>*</v>
      </c>
    </row>
    <row r="656" spans="1:15" x14ac:dyDescent="0.25">
      <c r="A656" s="2">
        <v>105108</v>
      </c>
      <c r="B656" s="4" t="s">
        <v>810</v>
      </c>
      <c r="C656" s="41" t="s">
        <v>1345</v>
      </c>
      <c r="D656" s="42">
        <v>62</v>
      </c>
      <c r="E656" s="43">
        <v>4</v>
      </c>
      <c r="F656" s="50" t="str">
        <f>VLOOKUP(tabPontoPed[[#This Row],[GRUPO]],tabGrupos[#Data],2,FALSE)</f>
        <v>VEST., ART.P/ TOUC.E HIG. PES. MAQ., EQUIP., MAT.E ACES.</v>
      </c>
      <c r="G656" s="42" t="str">
        <f>VLOOKUP(tabPontoPed[[#This Row],[GRUPO]],tabGrupos[#Data],3,FALSE)</f>
        <v>ADM</v>
      </c>
      <c r="H656" s="41" t="s">
        <v>1339</v>
      </c>
      <c r="I656" s="9">
        <v>4</v>
      </c>
      <c r="J656" s="51">
        <v>0</v>
      </c>
      <c r="K656" s="7">
        <f>tabPontoPed[[#This Row],[QTDMÊS]] * tabPontoPed[[#This Row],[MENSAL]]</f>
        <v>0</v>
      </c>
      <c r="L656" s="13" t="s">
        <v>1012</v>
      </c>
      <c r="M656" s="44"/>
      <c r="N656" s="45" t="str">
        <f>_xlfn.IFNA(IF(VLOOKUP(tabPontoPed[[#This Row],[CÓDIGO]],Excluir_do_Estoque!$A$4:$A$4004,1,FALSE),"sim",""),"")</f>
        <v/>
      </c>
      <c r="O656" s="10" t="str">
        <f t="shared" si="10"/>
        <v>*</v>
      </c>
    </row>
    <row r="657" spans="1:15" x14ac:dyDescent="0.25">
      <c r="A657" s="2">
        <v>105109</v>
      </c>
      <c r="B657" s="4" t="s">
        <v>616</v>
      </c>
      <c r="C657" s="41" t="s">
        <v>1345</v>
      </c>
      <c r="D657" s="42">
        <v>62</v>
      </c>
      <c r="E657" s="43">
        <v>12</v>
      </c>
      <c r="F657" s="50" t="str">
        <f>VLOOKUP(tabPontoPed[[#This Row],[GRUPO]],tabGrupos[#Data],2,FALSE)</f>
        <v>VEST., ART.P/ TOUC.E HIG. PES. MAQ., EQUIP., MAT.E ACES.</v>
      </c>
      <c r="G657" s="42" t="str">
        <f>VLOOKUP(tabPontoPed[[#This Row],[GRUPO]],tabGrupos[#Data],3,FALSE)</f>
        <v>ADM</v>
      </c>
      <c r="H657" s="41" t="s">
        <v>1339</v>
      </c>
      <c r="I657" s="9">
        <v>4</v>
      </c>
      <c r="J657" s="51">
        <v>1</v>
      </c>
      <c r="K657" s="7">
        <f>tabPontoPed[[#This Row],[QTDMÊS]] * tabPontoPed[[#This Row],[MENSAL]]</f>
        <v>4</v>
      </c>
      <c r="L657" s="13" t="s">
        <v>1012</v>
      </c>
      <c r="M657" s="44"/>
      <c r="N657" s="45" t="str">
        <f>_xlfn.IFNA(IF(VLOOKUP(tabPontoPed[[#This Row],[CÓDIGO]],Excluir_do_Estoque!$A$4:$A$4004,1,FALSE),"sim",""),"")</f>
        <v/>
      </c>
      <c r="O657" s="10" t="str">
        <f t="shared" si="10"/>
        <v>*</v>
      </c>
    </row>
    <row r="658" spans="1:15" x14ac:dyDescent="0.25">
      <c r="A658" s="2">
        <v>105110</v>
      </c>
      <c r="B658" s="4" t="s">
        <v>811</v>
      </c>
      <c r="C658" s="41" t="s">
        <v>1345</v>
      </c>
      <c r="D658" s="42">
        <v>62</v>
      </c>
      <c r="E658" s="43">
        <v>4</v>
      </c>
      <c r="F658" s="50" t="str">
        <f>VLOOKUP(tabPontoPed[[#This Row],[GRUPO]],tabGrupos[#Data],2,FALSE)</f>
        <v>VEST., ART.P/ TOUC.E HIG. PES. MAQ., EQUIP., MAT.E ACES.</v>
      </c>
      <c r="G658" s="42" t="str">
        <f>VLOOKUP(tabPontoPed[[#This Row],[GRUPO]],tabGrupos[#Data],3,FALSE)</f>
        <v>ADM</v>
      </c>
      <c r="H658" s="41" t="s">
        <v>1339</v>
      </c>
      <c r="I658" s="9">
        <v>4</v>
      </c>
      <c r="J658" s="51">
        <v>1</v>
      </c>
      <c r="K658" s="7">
        <f>tabPontoPed[[#This Row],[QTDMÊS]] * tabPontoPed[[#This Row],[MENSAL]]</f>
        <v>4</v>
      </c>
      <c r="L658" s="13" t="s">
        <v>1012</v>
      </c>
      <c r="M658" s="44"/>
      <c r="N658" s="45" t="str">
        <f>_xlfn.IFNA(IF(VLOOKUP(tabPontoPed[[#This Row],[CÓDIGO]],Excluir_do_Estoque!$A$4:$A$4004,1,FALSE),"sim",""),"")</f>
        <v/>
      </c>
      <c r="O658" s="10" t="str">
        <f t="shared" si="10"/>
        <v>*</v>
      </c>
    </row>
    <row r="659" spans="1:15" x14ac:dyDescent="0.25">
      <c r="A659" s="2">
        <v>105112</v>
      </c>
      <c r="B659" s="4" t="s">
        <v>812</v>
      </c>
      <c r="C659" s="41" t="s">
        <v>1345</v>
      </c>
      <c r="D659" s="42">
        <v>62</v>
      </c>
      <c r="E659" s="43">
        <v>4</v>
      </c>
      <c r="F659" s="50" t="str">
        <f>VLOOKUP(tabPontoPed[[#This Row],[GRUPO]],tabGrupos[#Data],2,FALSE)</f>
        <v>VEST., ART.P/ TOUC.E HIG. PES. MAQ., EQUIP., MAT.E ACES.</v>
      </c>
      <c r="G659" s="42" t="str">
        <f>VLOOKUP(tabPontoPed[[#This Row],[GRUPO]],tabGrupos[#Data],3,FALSE)</f>
        <v>ADM</v>
      </c>
      <c r="H659" s="41" t="s">
        <v>1339</v>
      </c>
      <c r="I659" s="9">
        <v>4</v>
      </c>
      <c r="J659" s="51">
        <v>0</v>
      </c>
      <c r="K659" s="7">
        <f>tabPontoPed[[#This Row],[QTDMÊS]] * tabPontoPed[[#This Row],[MENSAL]]</f>
        <v>0</v>
      </c>
      <c r="L659" s="13" t="s">
        <v>1012</v>
      </c>
      <c r="M659" s="44"/>
      <c r="N659" s="45" t="str">
        <f>_xlfn.IFNA(IF(VLOOKUP(tabPontoPed[[#This Row],[CÓDIGO]],Excluir_do_Estoque!$A$4:$A$4004,1,FALSE),"sim",""),"")</f>
        <v/>
      </c>
      <c r="O659" s="10" t="str">
        <f t="shared" si="10"/>
        <v>*</v>
      </c>
    </row>
    <row r="660" spans="1:15" x14ac:dyDescent="0.25">
      <c r="A660" s="2">
        <v>105113</v>
      </c>
      <c r="B660" s="4" t="s">
        <v>614</v>
      </c>
      <c r="C660" s="41" t="s">
        <v>1345</v>
      </c>
      <c r="D660" s="42">
        <v>54</v>
      </c>
      <c r="E660" s="43">
        <v>19</v>
      </c>
      <c r="F660" s="50" t="str">
        <f>VLOOKUP(tabPontoPed[[#This Row],[GRUPO]],tabGrupos[#Data],2,FALSE)</f>
        <v>EQUIP PROT IND, INST MAT P/ SINAL, CONTR, COMB ...</v>
      </c>
      <c r="G660" s="42" t="str">
        <f>VLOOKUP(tabPontoPed[[#This Row],[GRUPO]],tabGrupos[#Data],3,FALSE)</f>
        <v>MAN</v>
      </c>
      <c r="H660" s="41" t="s">
        <v>1339</v>
      </c>
      <c r="I660" s="9">
        <v>4</v>
      </c>
      <c r="J660" s="51">
        <v>0</v>
      </c>
      <c r="K660" s="7">
        <f>tabPontoPed[[#This Row],[QTDMÊS]] * tabPontoPed[[#This Row],[MENSAL]]</f>
        <v>0</v>
      </c>
      <c r="L660" s="13" t="s">
        <v>1012</v>
      </c>
      <c r="M660" s="44"/>
      <c r="N660" s="45" t="str">
        <f>_xlfn.IFNA(IF(VLOOKUP(tabPontoPed[[#This Row],[CÓDIGO]],Excluir_do_Estoque!$A$4:$A$4004,1,FALSE),"sim",""),"")</f>
        <v/>
      </c>
      <c r="O660" s="10" t="str">
        <f t="shared" si="10"/>
        <v>*</v>
      </c>
    </row>
    <row r="661" spans="1:15" x14ac:dyDescent="0.25">
      <c r="A661" s="2">
        <v>105114</v>
      </c>
      <c r="B661" s="4" t="s">
        <v>799</v>
      </c>
      <c r="C661" s="41" t="s">
        <v>1345</v>
      </c>
      <c r="D661" s="42">
        <v>62</v>
      </c>
      <c r="E661" s="43">
        <v>1</v>
      </c>
      <c r="F661" s="50" t="str">
        <f>VLOOKUP(tabPontoPed[[#This Row],[GRUPO]],tabGrupos[#Data],2,FALSE)</f>
        <v>VEST., ART.P/ TOUC.E HIG. PES. MAQ., EQUIP., MAT.E ACES.</v>
      </c>
      <c r="G661" s="42" t="str">
        <f>VLOOKUP(tabPontoPed[[#This Row],[GRUPO]],tabGrupos[#Data],3,FALSE)</f>
        <v>ADM</v>
      </c>
      <c r="H661" s="41" t="s">
        <v>1339</v>
      </c>
      <c r="I661" s="9">
        <v>4</v>
      </c>
      <c r="J661" s="51">
        <v>1</v>
      </c>
      <c r="K661" s="7">
        <f>tabPontoPed[[#This Row],[QTDMÊS]] * tabPontoPed[[#This Row],[MENSAL]]</f>
        <v>4</v>
      </c>
      <c r="L661" s="13" t="s">
        <v>1012</v>
      </c>
      <c r="M661" s="44"/>
      <c r="N661" s="45" t="str">
        <f>_xlfn.IFNA(IF(VLOOKUP(tabPontoPed[[#This Row],[CÓDIGO]],Excluir_do_Estoque!$A$4:$A$4004,1,FALSE),"sim",""),"")</f>
        <v/>
      </c>
      <c r="O661" s="10" t="str">
        <f t="shared" si="10"/>
        <v>*</v>
      </c>
    </row>
    <row r="662" spans="1:15" x14ac:dyDescent="0.25">
      <c r="A662" s="2">
        <v>105115</v>
      </c>
      <c r="B662" s="4" t="s">
        <v>800</v>
      </c>
      <c r="C662" s="41" t="s">
        <v>1345</v>
      </c>
      <c r="D662" s="42">
        <v>62</v>
      </c>
      <c r="E662" s="43">
        <v>1</v>
      </c>
      <c r="F662" s="50" t="str">
        <f>VLOOKUP(tabPontoPed[[#This Row],[GRUPO]],tabGrupos[#Data],2,FALSE)</f>
        <v>VEST., ART.P/ TOUC.E HIG. PES. MAQ., EQUIP., MAT.E ACES.</v>
      </c>
      <c r="G662" s="42" t="str">
        <f>VLOOKUP(tabPontoPed[[#This Row],[GRUPO]],tabGrupos[#Data],3,FALSE)</f>
        <v>ADM</v>
      </c>
      <c r="H662" s="41" t="s">
        <v>1339</v>
      </c>
      <c r="I662" s="9">
        <v>4</v>
      </c>
      <c r="J662" s="51">
        <v>1</v>
      </c>
      <c r="K662" s="7">
        <f>tabPontoPed[[#This Row],[QTDMÊS]] * tabPontoPed[[#This Row],[MENSAL]]</f>
        <v>4</v>
      </c>
      <c r="L662" s="13" t="s">
        <v>1012</v>
      </c>
      <c r="M662" s="44"/>
      <c r="N662" s="45" t="str">
        <f>_xlfn.IFNA(IF(VLOOKUP(tabPontoPed[[#This Row],[CÓDIGO]],Excluir_do_Estoque!$A$4:$A$4004,1,FALSE),"sim",""),"")</f>
        <v/>
      </c>
      <c r="O662" s="10" t="str">
        <f t="shared" si="10"/>
        <v>*</v>
      </c>
    </row>
    <row r="663" spans="1:15" x14ac:dyDescent="0.25">
      <c r="A663" s="2">
        <v>105116</v>
      </c>
      <c r="B663" s="4" t="s">
        <v>801</v>
      </c>
      <c r="C663" s="41" t="s">
        <v>1345</v>
      </c>
      <c r="D663" s="42">
        <v>62</v>
      </c>
      <c r="E663" s="43">
        <v>1</v>
      </c>
      <c r="F663" s="50" t="str">
        <f>VLOOKUP(tabPontoPed[[#This Row],[GRUPO]],tabGrupos[#Data],2,FALSE)</f>
        <v>VEST., ART.P/ TOUC.E HIG. PES. MAQ., EQUIP., MAT.E ACES.</v>
      </c>
      <c r="G663" s="42" t="str">
        <f>VLOOKUP(tabPontoPed[[#This Row],[GRUPO]],tabGrupos[#Data],3,FALSE)</f>
        <v>ADM</v>
      </c>
      <c r="H663" s="41" t="s">
        <v>1339</v>
      </c>
      <c r="I663" s="9">
        <v>4</v>
      </c>
      <c r="J663" s="51">
        <v>1</v>
      </c>
      <c r="K663" s="7">
        <f>tabPontoPed[[#This Row],[QTDMÊS]] * tabPontoPed[[#This Row],[MENSAL]]</f>
        <v>4</v>
      </c>
      <c r="L663" s="13" t="s">
        <v>1012</v>
      </c>
      <c r="M663" s="44"/>
      <c r="N663" s="45" t="str">
        <f>_xlfn.IFNA(IF(VLOOKUP(tabPontoPed[[#This Row],[CÓDIGO]],Excluir_do_Estoque!$A$4:$A$4004,1,FALSE),"sim",""),"")</f>
        <v/>
      </c>
      <c r="O663" s="10" t="str">
        <f t="shared" si="10"/>
        <v>*</v>
      </c>
    </row>
    <row r="664" spans="1:15" x14ac:dyDescent="0.25">
      <c r="A664" s="2">
        <v>105117</v>
      </c>
      <c r="B664" s="4" t="s">
        <v>802</v>
      </c>
      <c r="C664" s="41" t="s">
        <v>1345</v>
      </c>
      <c r="D664" s="42">
        <v>62</v>
      </c>
      <c r="E664" s="43">
        <v>1</v>
      </c>
      <c r="F664" s="50" t="str">
        <f>VLOOKUP(tabPontoPed[[#This Row],[GRUPO]],tabGrupos[#Data],2,FALSE)</f>
        <v>VEST., ART.P/ TOUC.E HIG. PES. MAQ., EQUIP., MAT.E ACES.</v>
      </c>
      <c r="G664" s="42" t="str">
        <f>VLOOKUP(tabPontoPed[[#This Row],[GRUPO]],tabGrupos[#Data],3,FALSE)</f>
        <v>ADM</v>
      </c>
      <c r="H664" s="41" t="s">
        <v>1339</v>
      </c>
      <c r="I664" s="9">
        <v>4</v>
      </c>
      <c r="J664" s="51">
        <v>1</v>
      </c>
      <c r="K664" s="7">
        <f>tabPontoPed[[#This Row],[QTDMÊS]] * tabPontoPed[[#This Row],[MENSAL]]</f>
        <v>4</v>
      </c>
      <c r="L664" s="13" t="s">
        <v>1012</v>
      </c>
      <c r="M664" s="44"/>
      <c r="N664" s="45" t="str">
        <f>_xlfn.IFNA(IF(VLOOKUP(tabPontoPed[[#This Row],[CÓDIGO]],Excluir_do_Estoque!$A$4:$A$4004,1,FALSE),"sim",""),"")</f>
        <v/>
      </c>
      <c r="O664" s="10" t="str">
        <f t="shared" si="10"/>
        <v>*</v>
      </c>
    </row>
    <row r="665" spans="1:15" x14ac:dyDescent="0.25">
      <c r="A665" s="2">
        <v>105118</v>
      </c>
      <c r="B665" s="4" t="s">
        <v>803</v>
      </c>
      <c r="C665" s="41" t="s">
        <v>1345</v>
      </c>
      <c r="D665" s="42">
        <v>62</v>
      </c>
      <c r="E665" s="43">
        <v>1</v>
      </c>
      <c r="F665" s="50" t="str">
        <f>VLOOKUP(tabPontoPed[[#This Row],[GRUPO]],tabGrupos[#Data],2,FALSE)</f>
        <v>VEST., ART.P/ TOUC.E HIG. PES. MAQ., EQUIP., MAT.E ACES.</v>
      </c>
      <c r="G665" s="42" t="str">
        <f>VLOOKUP(tabPontoPed[[#This Row],[GRUPO]],tabGrupos[#Data],3,FALSE)</f>
        <v>ADM</v>
      </c>
      <c r="H665" s="41" t="s">
        <v>1339</v>
      </c>
      <c r="I665" s="9">
        <v>4</v>
      </c>
      <c r="J665" s="51">
        <v>1</v>
      </c>
      <c r="K665" s="7">
        <f>tabPontoPed[[#This Row],[QTDMÊS]] * tabPontoPed[[#This Row],[MENSAL]]</f>
        <v>4</v>
      </c>
      <c r="L665" s="13" t="s">
        <v>1012</v>
      </c>
      <c r="M665" s="44"/>
      <c r="N665" s="45" t="str">
        <f>_xlfn.IFNA(IF(VLOOKUP(tabPontoPed[[#This Row],[CÓDIGO]],Excluir_do_Estoque!$A$4:$A$4004,1,FALSE),"sim",""),"")</f>
        <v/>
      </c>
      <c r="O665" s="10" t="str">
        <f t="shared" si="10"/>
        <v>*</v>
      </c>
    </row>
    <row r="666" spans="1:15" x14ac:dyDescent="0.25">
      <c r="A666" s="2">
        <v>105259</v>
      </c>
      <c r="B666" s="4" t="s">
        <v>703</v>
      </c>
      <c r="C666" s="41" t="s">
        <v>1345</v>
      </c>
      <c r="D666" s="42">
        <v>57</v>
      </c>
      <c r="E666" s="43">
        <v>3</v>
      </c>
      <c r="F666" s="50" t="str">
        <f>VLOOKUP(tabPontoPed[[#This Row],[GRUPO]],tabGrupos[#Data],2,FALSE)</f>
        <v>MAQ. E EQUIP. P/ IND. GRAFICA COMP. ACESS. E PAPEI</v>
      </c>
      <c r="G666" s="42" t="str">
        <f>VLOOKUP(tabPontoPed[[#This Row],[GRUPO]],tabGrupos[#Data],3,FALSE)</f>
        <v>EDU</v>
      </c>
      <c r="H666" s="41" t="s">
        <v>1339</v>
      </c>
      <c r="I666" s="9">
        <v>4</v>
      </c>
      <c r="J666" s="51">
        <v>176</v>
      </c>
      <c r="K666" s="7">
        <f>tabPontoPed[[#This Row],[QTDMÊS]] * tabPontoPed[[#This Row],[MENSAL]]</f>
        <v>704</v>
      </c>
      <c r="L666" s="13" t="s">
        <v>1012</v>
      </c>
      <c r="M666" s="44"/>
      <c r="N666" s="45" t="str">
        <f>_xlfn.IFNA(IF(VLOOKUP(tabPontoPed[[#This Row],[CÓDIGO]],Excluir_do_Estoque!$A$4:$A$4004,1,FALSE),"sim",""),"")</f>
        <v/>
      </c>
      <c r="O666" s="10" t="str">
        <f t="shared" si="10"/>
        <v>*</v>
      </c>
    </row>
    <row r="667" spans="1:15" x14ac:dyDescent="0.25">
      <c r="A667" s="2">
        <v>105293</v>
      </c>
      <c r="B667" s="4" t="s">
        <v>510</v>
      </c>
      <c r="C667" s="41" t="s">
        <v>1345</v>
      </c>
      <c r="D667" s="42">
        <v>51</v>
      </c>
      <c r="E667" s="43">
        <v>11</v>
      </c>
      <c r="F667" s="50" t="str">
        <f>VLOOKUP(tabPontoPed[[#This Row],[GRUPO]],tabGrupos[#Data],2,FALSE)</f>
        <v>MAT.E EQUIP. P/ CONSTR.CIVIL E CONSERV. DE VIAS PUBL.</v>
      </c>
      <c r="G667" s="42" t="str">
        <f>VLOOKUP(tabPontoPed[[#This Row],[GRUPO]],tabGrupos[#Data],3,FALSE)</f>
        <v>MCO</v>
      </c>
      <c r="H667" s="41" t="s">
        <v>1339</v>
      </c>
      <c r="I667" s="9">
        <v>4</v>
      </c>
      <c r="J667" s="51">
        <v>92</v>
      </c>
      <c r="K667" s="7">
        <f>tabPontoPed[[#This Row],[QTDMÊS]] * tabPontoPed[[#This Row],[MENSAL]]</f>
        <v>368</v>
      </c>
      <c r="L667" s="13" t="s">
        <v>1012</v>
      </c>
      <c r="M667" s="44"/>
      <c r="N667" s="45" t="str">
        <f>_xlfn.IFNA(IF(VLOOKUP(tabPontoPed[[#This Row],[CÓDIGO]],Excluir_do_Estoque!$A$4:$A$4004,1,FALSE),"sim",""),"")</f>
        <v/>
      </c>
      <c r="O667" s="10" t="str">
        <f t="shared" si="10"/>
        <v>*</v>
      </c>
    </row>
    <row r="668" spans="1:15" x14ac:dyDescent="0.25">
      <c r="A668" s="2">
        <v>105294</v>
      </c>
      <c r="B668" s="4" t="s">
        <v>568</v>
      </c>
      <c r="C668" s="41" t="s">
        <v>1345</v>
      </c>
      <c r="D668" s="42">
        <v>51</v>
      </c>
      <c r="E668" s="43">
        <v>42</v>
      </c>
      <c r="F668" s="50" t="str">
        <f>VLOOKUP(tabPontoPed[[#This Row],[GRUPO]],tabGrupos[#Data],2,FALSE)</f>
        <v>MAT.E EQUIP. P/ CONSTR.CIVIL E CONSERV. DE VIAS PUBL.</v>
      </c>
      <c r="G668" s="42" t="str">
        <f>VLOOKUP(tabPontoPed[[#This Row],[GRUPO]],tabGrupos[#Data],3,FALSE)</f>
        <v>MCO</v>
      </c>
      <c r="H668" s="41" t="s">
        <v>1339</v>
      </c>
      <c r="I668" s="9">
        <v>4</v>
      </c>
      <c r="J668" s="51">
        <v>2</v>
      </c>
      <c r="K668" s="7">
        <f>tabPontoPed[[#This Row],[QTDMÊS]] * tabPontoPed[[#This Row],[MENSAL]]</f>
        <v>8</v>
      </c>
      <c r="L668" s="13" t="s">
        <v>1012</v>
      </c>
      <c r="M668" s="44"/>
      <c r="N668" s="45" t="str">
        <f>_xlfn.IFNA(IF(VLOOKUP(tabPontoPed[[#This Row],[CÓDIGO]],Excluir_do_Estoque!$A$4:$A$4004,1,FALSE),"sim",""),"")</f>
        <v/>
      </c>
      <c r="O668" s="10" t="str">
        <f t="shared" si="10"/>
        <v>*</v>
      </c>
    </row>
    <row r="669" spans="1:15" x14ac:dyDescent="0.25">
      <c r="A669" s="2">
        <v>105348</v>
      </c>
      <c r="B669" s="4" t="s">
        <v>585</v>
      </c>
      <c r="C669" s="41" t="s">
        <v>1345</v>
      </c>
      <c r="D669" s="42">
        <v>54</v>
      </c>
      <c r="E669" s="43">
        <v>4</v>
      </c>
      <c r="F669" s="50" t="str">
        <f>VLOOKUP(tabPontoPed[[#This Row],[GRUPO]],tabGrupos[#Data],2,FALSE)</f>
        <v>EQUIP PROT IND, INST MAT P/ SINAL, CONTR, COMB ...</v>
      </c>
      <c r="G669" s="42" t="str">
        <f>VLOOKUP(tabPontoPed[[#This Row],[GRUPO]],tabGrupos[#Data],3,FALSE)</f>
        <v>MAN</v>
      </c>
      <c r="H669" s="41" t="s">
        <v>1339</v>
      </c>
      <c r="I669" s="9">
        <v>4</v>
      </c>
      <c r="J669" s="51">
        <v>1</v>
      </c>
      <c r="K669" s="7">
        <f>tabPontoPed[[#This Row],[QTDMÊS]] * tabPontoPed[[#This Row],[MENSAL]]</f>
        <v>4</v>
      </c>
      <c r="L669" s="13" t="s">
        <v>1012</v>
      </c>
      <c r="M669" s="44"/>
      <c r="N669" s="45" t="str">
        <f>_xlfn.IFNA(IF(VLOOKUP(tabPontoPed[[#This Row],[CÓDIGO]],Excluir_do_Estoque!$A$4:$A$4004,1,FALSE),"sim",""),"")</f>
        <v/>
      </c>
      <c r="O669" s="10" t="str">
        <f t="shared" si="10"/>
        <v>*</v>
      </c>
    </row>
    <row r="670" spans="1:15" x14ac:dyDescent="0.25">
      <c r="A670" s="2">
        <v>105489</v>
      </c>
      <c r="B670" s="4" t="s">
        <v>175</v>
      </c>
      <c r="C670" s="41" t="s">
        <v>1345</v>
      </c>
      <c r="D670" s="42">
        <v>76</v>
      </c>
      <c r="E670" s="43">
        <v>9</v>
      </c>
      <c r="F670" s="50" t="str">
        <f>VLOOKUP(tabPontoPed[[#This Row],[GRUPO]],tabGrupos[#Data],2,FALSE)</f>
        <v>EQUIP. E MATERIAIS P/PINTURAS E IMPERMEABILIZACAO</v>
      </c>
      <c r="G670" s="42" t="str">
        <f>VLOOKUP(tabPontoPed[[#This Row],[GRUPO]],tabGrupos[#Data],3,FALSE)</f>
        <v>MPI</v>
      </c>
      <c r="H670" s="41" t="s">
        <v>1339</v>
      </c>
      <c r="I670" s="9">
        <v>4</v>
      </c>
      <c r="J670" s="51">
        <v>12</v>
      </c>
      <c r="K670" s="7">
        <f>tabPontoPed[[#This Row],[QTDMÊS]] * tabPontoPed[[#This Row],[MENSAL]]</f>
        <v>48</v>
      </c>
      <c r="L670" s="13" t="s">
        <v>1012</v>
      </c>
      <c r="M670" s="44"/>
      <c r="N670" s="45" t="str">
        <f>_xlfn.IFNA(IF(VLOOKUP(tabPontoPed[[#This Row],[CÓDIGO]],Excluir_do_Estoque!$A$4:$A$4004,1,FALSE),"sim",""),"")</f>
        <v/>
      </c>
      <c r="O670" s="10" t="str">
        <f t="shared" si="10"/>
        <v>*</v>
      </c>
    </row>
    <row r="671" spans="1:15" x14ac:dyDescent="0.25">
      <c r="A671" s="2">
        <v>105491</v>
      </c>
      <c r="B671" s="4" t="s">
        <v>233</v>
      </c>
      <c r="C671" s="41" t="s">
        <v>1345</v>
      </c>
      <c r="D671" s="42">
        <v>76</v>
      </c>
      <c r="E671" s="43">
        <v>9</v>
      </c>
      <c r="F671" s="50" t="str">
        <f>VLOOKUP(tabPontoPed[[#This Row],[GRUPO]],tabGrupos[#Data],2,FALSE)</f>
        <v>EQUIP. E MATERIAIS P/PINTURAS E IMPERMEABILIZACAO</v>
      </c>
      <c r="G671" s="42" t="str">
        <f>VLOOKUP(tabPontoPed[[#This Row],[GRUPO]],tabGrupos[#Data],3,FALSE)</f>
        <v>MPI</v>
      </c>
      <c r="H671" s="41" t="s">
        <v>1339</v>
      </c>
      <c r="I671" s="9">
        <v>4</v>
      </c>
      <c r="J671" s="51">
        <v>3</v>
      </c>
      <c r="K671" s="7">
        <f>tabPontoPed[[#This Row],[QTDMÊS]] * tabPontoPed[[#This Row],[MENSAL]]</f>
        <v>12</v>
      </c>
      <c r="L671" s="13" t="s">
        <v>1012</v>
      </c>
      <c r="M671" s="44"/>
      <c r="N671" s="45" t="str">
        <f>_xlfn.IFNA(IF(VLOOKUP(tabPontoPed[[#This Row],[CÓDIGO]],Excluir_do_Estoque!$A$4:$A$4004,1,FALSE),"sim",""),"")</f>
        <v/>
      </c>
      <c r="O671" s="10" t="str">
        <f t="shared" si="10"/>
        <v>*</v>
      </c>
    </row>
    <row r="672" spans="1:15" x14ac:dyDescent="0.25">
      <c r="A672" s="2">
        <v>105704</v>
      </c>
      <c r="B672" s="4" t="s">
        <v>813</v>
      </c>
      <c r="C672" s="41" t="s">
        <v>1345</v>
      </c>
      <c r="D672" s="42">
        <v>62</v>
      </c>
      <c r="E672" s="43">
        <v>4</v>
      </c>
      <c r="F672" s="50" t="str">
        <f>VLOOKUP(tabPontoPed[[#This Row],[GRUPO]],tabGrupos[#Data],2,FALSE)</f>
        <v>VEST., ART.P/ TOUC.E HIG. PES. MAQ., EQUIP., MAT.E ACES.</v>
      </c>
      <c r="G672" s="42" t="str">
        <f>VLOOKUP(tabPontoPed[[#This Row],[GRUPO]],tabGrupos[#Data],3,FALSE)</f>
        <v>ADM</v>
      </c>
      <c r="H672" s="41" t="s">
        <v>1339</v>
      </c>
      <c r="I672" s="9">
        <v>4</v>
      </c>
      <c r="J672" s="51">
        <v>1</v>
      </c>
      <c r="K672" s="7">
        <f>tabPontoPed[[#This Row],[QTDMÊS]] * tabPontoPed[[#This Row],[MENSAL]]</f>
        <v>4</v>
      </c>
      <c r="L672" s="13" t="s">
        <v>1012</v>
      </c>
      <c r="M672" s="44"/>
      <c r="N672" s="45" t="str">
        <f>_xlfn.IFNA(IF(VLOOKUP(tabPontoPed[[#This Row],[CÓDIGO]],Excluir_do_Estoque!$A$4:$A$4004,1,FALSE),"sim",""),"")</f>
        <v/>
      </c>
      <c r="O672" s="10" t="str">
        <f t="shared" si="10"/>
        <v>*</v>
      </c>
    </row>
    <row r="673" spans="1:15" x14ac:dyDescent="0.25">
      <c r="A673" s="2">
        <v>105709</v>
      </c>
      <c r="B673" s="4" t="s">
        <v>615</v>
      </c>
      <c r="C673" s="41" t="s">
        <v>1345</v>
      </c>
      <c r="D673" s="42">
        <v>54</v>
      </c>
      <c r="E673" s="43">
        <v>19</v>
      </c>
      <c r="F673" s="50" t="str">
        <f>VLOOKUP(tabPontoPed[[#This Row],[GRUPO]],tabGrupos[#Data],2,FALSE)</f>
        <v>EQUIP PROT IND, INST MAT P/ SINAL, CONTR, COMB ...</v>
      </c>
      <c r="G673" s="42" t="str">
        <f>VLOOKUP(tabPontoPed[[#This Row],[GRUPO]],tabGrupos[#Data],3,FALSE)</f>
        <v>MAN</v>
      </c>
      <c r="H673" s="41" t="s">
        <v>1339</v>
      </c>
      <c r="I673" s="9">
        <v>4</v>
      </c>
      <c r="J673" s="51">
        <v>1</v>
      </c>
      <c r="K673" s="7">
        <f>tabPontoPed[[#This Row],[QTDMÊS]] * tabPontoPed[[#This Row],[MENSAL]]</f>
        <v>4</v>
      </c>
      <c r="L673" s="13" t="s">
        <v>1012</v>
      </c>
      <c r="M673" s="44"/>
      <c r="N673" s="45" t="str">
        <f>_xlfn.IFNA(IF(VLOOKUP(tabPontoPed[[#This Row],[CÓDIGO]],Excluir_do_Estoque!$A$4:$A$4004,1,FALSE),"sim",""),"")</f>
        <v/>
      </c>
      <c r="O673" s="10" t="str">
        <f t="shared" si="10"/>
        <v>*</v>
      </c>
    </row>
    <row r="674" spans="1:15" x14ac:dyDescent="0.25">
      <c r="A674" s="2">
        <v>105889</v>
      </c>
      <c r="B674" s="4" t="s">
        <v>883</v>
      </c>
      <c r="C674" s="41" t="s">
        <v>1345</v>
      </c>
      <c r="D674" s="42">
        <v>69</v>
      </c>
      <c r="E674" s="43">
        <v>2</v>
      </c>
      <c r="F674" s="50" t="str">
        <f>VLOOKUP(tabPontoPed[[#This Row],[GRUPO]],tabGrupos[#Data],2,FALSE)</f>
        <v>METAIS,LAMINAD.,PERFILADOS E ARTEFATOS METALICOS</v>
      </c>
      <c r="G674" s="42" t="str">
        <f>VLOOKUP(tabPontoPed[[#This Row],[GRUPO]],tabGrupos[#Data],3,FALSE)</f>
        <v>MSE</v>
      </c>
      <c r="H674" s="41" t="s">
        <v>1339</v>
      </c>
      <c r="I674" s="9">
        <v>4</v>
      </c>
      <c r="J674" s="51">
        <v>29</v>
      </c>
      <c r="K674" s="7">
        <f>tabPontoPed[[#This Row],[QTDMÊS]] * tabPontoPed[[#This Row],[MENSAL]]</f>
        <v>116</v>
      </c>
      <c r="L674" s="13" t="s">
        <v>1012</v>
      </c>
      <c r="M674" s="44"/>
      <c r="N674" s="45" t="str">
        <f>_xlfn.IFNA(IF(VLOOKUP(tabPontoPed[[#This Row],[CÓDIGO]],Excluir_do_Estoque!$A$4:$A$4004,1,FALSE),"sim",""),"")</f>
        <v/>
      </c>
      <c r="O674" s="10" t="str">
        <f t="shared" si="10"/>
        <v>*</v>
      </c>
    </row>
    <row r="675" spans="1:15" x14ac:dyDescent="0.25">
      <c r="A675" s="2">
        <v>105993</v>
      </c>
      <c r="B675" s="4" t="s">
        <v>586</v>
      </c>
      <c r="C675" s="41" t="s">
        <v>1345</v>
      </c>
      <c r="D675" s="42">
        <v>54</v>
      </c>
      <c r="E675" s="43">
        <v>4</v>
      </c>
      <c r="F675" s="50" t="str">
        <f>VLOOKUP(tabPontoPed[[#This Row],[GRUPO]],tabGrupos[#Data],2,FALSE)</f>
        <v>EQUIP PROT IND, INST MAT P/ SINAL, CONTR, COMB ...</v>
      </c>
      <c r="G675" s="42" t="str">
        <f>VLOOKUP(tabPontoPed[[#This Row],[GRUPO]],tabGrupos[#Data],3,FALSE)</f>
        <v>MAN</v>
      </c>
      <c r="H675" s="41" t="s">
        <v>1339</v>
      </c>
      <c r="I675" s="9">
        <v>4</v>
      </c>
      <c r="J675" s="51">
        <v>3</v>
      </c>
      <c r="K675" s="7">
        <f>tabPontoPed[[#This Row],[QTDMÊS]] * tabPontoPed[[#This Row],[MENSAL]]</f>
        <v>12</v>
      </c>
      <c r="L675" s="13" t="s">
        <v>1012</v>
      </c>
      <c r="M675" s="44"/>
      <c r="N675" s="45" t="str">
        <f>_xlfn.IFNA(IF(VLOOKUP(tabPontoPed[[#This Row],[CÓDIGO]],Excluir_do_Estoque!$A$4:$A$4004,1,FALSE),"sim",""),"")</f>
        <v/>
      </c>
      <c r="O675" s="10" t="str">
        <f t="shared" si="10"/>
        <v>*</v>
      </c>
    </row>
    <row r="676" spans="1:15" x14ac:dyDescent="0.25">
      <c r="A676" s="2">
        <v>105994</v>
      </c>
      <c r="B676" s="4" t="s">
        <v>587</v>
      </c>
      <c r="C676" s="41" t="s">
        <v>1345</v>
      </c>
      <c r="D676" s="42">
        <v>54</v>
      </c>
      <c r="E676" s="43">
        <v>4</v>
      </c>
      <c r="F676" s="50" t="str">
        <f>VLOOKUP(tabPontoPed[[#This Row],[GRUPO]],tabGrupos[#Data],2,FALSE)</f>
        <v>EQUIP PROT IND, INST MAT P/ SINAL, CONTR, COMB ...</v>
      </c>
      <c r="G676" s="42" t="str">
        <f>VLOOKUP(tabPontoPed[[#This Row],[GRUPO]],tabGrupos[#Data],3,FALSE)</f>
        <v>MAN</v>
      </c>
      <c r="H676" s="41" t="s">
        <v>1339</v>
      </c>
      <c r="I676" s="9">
        <v>4</v>
      </c>
      <c r="J676" s="51">
        <v>5</v>
      </c>
      <c r="K676" s="7">
        <f>tabPontoPed[[#This Row],[QTDMÊS]] * tabPontoPed[[#This Row],[MENSAL]]</f>
        <v>20</v>
      </c>
      <c r="L676" s="13" t="s">
        <v>1012</v>
      </c>
      <c r="M676" s="44"/>
      <c r="N676" s="45" t="str">
        <f>_xlfn.IFNA(IF(VLOOKUP(tabPontoPed[[#This Row],[CÓDIGO]],Excluir_do_Estoque!$A$4:$A$4004,1,FALSE),"sim",""),"")</f>
        <v/>
      </c>
      <c r="O676" s="10" t="str">
        <f t="shared" si="10"/>
        <v>*</v>
      </c>
    </row>
    <row r="677" spans="1:15" x14ac:dyDescent="0.25">
      <c r="A677" s="2">
        <v>106027</v>
      </c>
      <c r="B677" s="4" t="s">
        <v>588</v>
      </c>
      <c r="C677" s="41" t="s">
        <v>1345</v>
      </c>
      <c r="D677" s="42">
        <v>54</v>
      </c>
      <c r="E677" s="43">
        <v>4</v>
      </c>
      <c r="F677" s="50" t="str">
        <f>VLOOKUP(tabPontoPed[[#This Row],[GRUPO]],tabGrupos[#Data],2,FALSE)</f>
        <v>EQUIP PROT IND, INST MAT P/ SINAL, CONTR, COMB ...</v>
      </c>
      <c r="G677" s="42" t="str">
        <f>VLOOKUP(tabPontoPed[[#This Row],[GRUPO]],tabGrupos[#Data],3,FALSE)</f>
        <v>MAN</v>
      </c>
      <c r="H677" s="41" t="s">
        <v>1339</v>
      </c>
      <c r="I677" s="9">
        <v>4</v>
      </c>
      <c r="J677" s="51">
        <v>1</v>
      </c>
      <c r="K677" s="7">
        <f>tabPontoPed[[#This Row],[QTDMÊS]] * tabPontoPed[[#This Row],[MENSAL]]</f>
        <v>4</v>
      </c>
      <c r="L677" s="13" t="s">
        <v>1012</v>
      </c>
      <c r="M677" s="44"/>
      <c r="N677" s="45" t="str">
        <f>_xlfn.IFNA(IF(VLOOKUP(tabPontoPed[[#This Row],[CÓDIGO]],Excluir_do_Estoque!$A$4:$A$4004,1,FALSE),"sim",""),"")</f>
        <v/>
      </c>
      <c r="O677" s="10" t="str">
        <f t="shared" si="10"/>
        <v>*</v>
      </c>
    </row>
    <row r="678" spans="1:15" x14ac:dyDescent="0.25">
      <c r="A678" s="2">
        <v>106038</v>
      </c>
      <c r="B678" s="4" t="s">
        <v>721</v>
      </c>
      <c r="C678" s="41" t="s">
        <v>1345</v>
      </c>
      <c r="D678" s="42">
        <v>60</v>
      </c>
      <c r="E678" s="43">
        <v>21</v>
      </c>
      <c r="F678" s="50" t="str">
        <f>VLOOKUP(tabPontoPed[[#This Row],[GRUPO]],tabGrupos[#Data],2,FALSE)</f>
        <v>COMPUT.SOFT. PROCES. EQUIP. SUPRI. COMP. ACESS. INFORMAT</v>
      </c>
      <c r="G678" s="42" t="str">
        <f>VLOOKUP(tabPontoPed[[#This Row],[GRUPO]],tabGrupos[#Data],3,FALSE)</f>
        <v>INF</v>
      </c>
      <c r="H678" s="41" t="s">
        <v>1339</v>
      </c>
      <c r="I678" s="9">
        <v>4</v>
      </c>
      <c r="J678" s="51">
        <v>0</v>
      </c>
      <c r="K678" s="7">
        <f>tabPontoPed[[#This Row],[QTDMÊS]] * tabPontoPed[[#This Row],[MENSAL]]</f>
        <v>0</v>
      </c>
      <c r="L678" s="13" t="s">
        <v>1012</v>
      </c>
      <c r="M678" s="44"/>
      <c r="N678" s="45" t="str">
        <f>_xlfn.IFNA(IF(VLOOKUP(tabPontoPed[[#This Row],[CÓDIGO]],Excluir_do_Estoque!$A$4:$A$4004,1,FALSE),"sim",""),"")</f>
        <v/>
      </c>
      <c r="O678" s="10" t="str">
        <f t="shared" si="10"/>
        <v>*</v>
      </c>
    </row>
    <row r="679" spans="1:15" x14ac:dyDescent="0.25">
      <c r="A679" s="2">
        <v>106128</v>
      </c>
      <c r="B679" s="4" t="s">
        <v>343</v>
      </c>
      <c r="C679" s="41" t="s">
        <v>1345</v>
      </c>
      <c r="D679" s="42">
        <v>50</v>
      </c>
      <c r="E679" s="43">
        <v>2</v>
      </c>
      <c r="F679" s="50" t="str">
        <f>VLOOKUP(tabPontoPed[[#This Row],[GRUPO]],tabGrupos[#Data],2,FALSE)</f>
        <v>EQUIP. P/ COND. VENT. PURIF. DE AR, COMPONENTES E ACES.</v>
      </c>
      <c r="G679" s="42" t="str">
        <f>VLOOKUP(tabPontoPed[[#This Row],[GRUPO]],tabGrupos[#Data],3,FALSE)</f>
        <v>MAN</v>
      </c>
      <c r="H679" s="41" t="s">
        <v>1339</v>
      </c>
      <c r="I679" s="9">
        <v>4</v>
      </c>
      <c r="J679" s="51">
        <v>5</v>
      </c>
      <c r="K679" s="7">
        <f>tabPontoPed[[#This Row],[QTDMÊS]] * tabPontoPed[[#This Row],[MENSAL]]</f>
        <v>20</v>
      </c>
      <c r="L679" s="13" t="s">
        <v>1012</v>
      </c>
      <c r="M679" s="44"/>
      <c r="N679" s="45" t="str">
        <f>_xlfn.IFNA(IF(VLOOKUP(tabPontoPed[[#This Row],[CÓDIGO]],Excluir_do_Estoque!$A$4:$A$4004,1,FALSE),"sim",""),"")</f>
        <v/>
      </c>
      <c r="O679" s="10" t="str">
        <f t="shared" si="10"/>
        <v>*</v>
      </c>
    </row>
    <row r="680" spans="1:15" x14ac:dyDescent="0.25">
      <c r="A680" s="2">
        <v>106129</v>
      </c>
      <c r="B680" s="4" t="s">
        <v>492</v>
      </c>
      <c r="C680" s="41" t="s">
        <v>1345</v>
      </c>
      <c r="D680" s="42">
        <v>50</v>
      </c>
      <c r="E680" s="43">
        <v>2</v>
      </c>
      <c r="F680" s="50" t="str">
        <f>VLOOKUP(tabPontoPed[[#This Row],[GRUPO]],tabGrupos[#Data],2,FALSE)</f>
        <v>EQUIP. P/ COND. VENT. PURIF. DE AR, COMPONENTES E ACES.</v>
      </c>
      <c r="G680" s="42" t="str">
        <f>VLOOKUP(tabPontoPed[[#This Row],[GRUPO]],tabGrupos[#Data],3,FALSE)</f>
        <v>MAN</v>
      </c>
      <c r="H680" s="41" t="s">
        <v>1339</v>
      </c>
      <c r="I680" s="9">
        <v>4</v>
      </c>
      <c r="J680" s="51">
        <v>2</v>
      </c>
      <c r="K680" s="7">
        <f>tabPontoPed[[#This Row],[QTDMÊS]] * tabPontoPed[[#This Row],[MENSAL]]</f>
        <v>8</v>
      </c>
      <c r="L680" s="13" t="s">
        <v>1012</v>
      </c>
      <c r="M680" s="44"/>
      <c r="N680" s="45" t="str">
        <f>_xlfn.IFNA(IF(VLOOKUP(tabPontoPed[[#This Row],[CÓDIGO]],Excluir_do_Estoque!$A$4:$A$4004,1,FALSE),"sim",""),"")</f>
        <v/>
      </c>
      <c r="O680" s="10" t="str">
        <f t="shared" si="10"/>
        <v>*</v>
      </c>
    </row>
    <row r="681" spans="1:15" x14ac:dyDescent="0.25">
      <c r="A681" s="2">
        <v>106130</v>
      </c>
      <c r="B681" s="4" t="s">
        <v>493</v>
      </c>
      <c r="C681" s="41" t="s">
        <v>1345</v>
      </c>
      <c r="D681" s="42">
        <v>50</v>
      </c>
      <c r="E681" s="43">
        <v>2</v>
      </c>
      <c r="F681" s="50" t="str">
        <f>VLOOKUP(tabPontoPed[[#This Row],[GRUPO]],tabGrupos[#Data],2,FALSE)</f>
        <v>EQUIP. P/ COND. VENT. PURIF. DE AR, COMPONENTES E ACES.</v>
      </c>
      <c r="G681" s="42" t="str">
        <f>VLOOKUP(tabPontoPed[[#This Row],[GRUPO]],tabGrupos[#Data],3,FALSE)</f>
        <v>MAN</v>
      </c>
      <c r="H681" s="41" t="s">
        <v>1339</v>
      </c>
      <c r="I681" s="9">
        <v>4</v>
      </c>
      <c r="J681" s="51">
        <v>1</v>
      </c>
      <c r="K681" s="7">
        <f>tabPontoPed[[#This Row],[QTDMÊS]] * tabPontoPed[[#This Row],[MENSAL]]</f>
        <v>4</v>
      </c>
      <c r="L681" s="13" t="s">
        <v>1012</v>
      </c>
      <c r="M681" s="44"/>
      <c r="N681" s="45" t="str">
        <f>_xlfn.IFNA(IF(VLOOKUP(tabPontoPed[[#This Row],[CÓDIGO]],Excluir_do_Estoque!$A$4:$A$4004,1,FALSE),"sim",""),"")</f>
        <v/>
      </c>
      <c r="O681" s="10" t="str">
        <f t="shared" si="10"/>
        <v>*</v>
      </c>
    </row>
    <row r="682" spans="1:15" x14ac:dyDescent="0.25">
      <c r="A682" s="2">
        <v>106131</v>
      </c>
      <c r="B682" s="4" t="s">
        <v>494</v>
      </c>
      <c r="C682" s="41" t="s">
        <v>1345</v>
      </c>
      <c r="D682" s="42">
        <v>50</v>
      </c>
      <c r="E682" s="43">
        <v>2</v>
      </c>
      <c r="F682" s="50" t="str">
        <f>VLOOKUP(tabPontoPed[[#This Row],[GRUPO]],tabGrupos[#Data],2,FALSE)</f>
        <v>EQUIP. P/ COND. VENT. PURIF. DE AR, COMPONENTES E ACES.</v>
      </c>
      <c r="G682" s="42" t="str">
        <f>VLOOKUP(tabPontoPed[[#This Row],[GRUPO]],tabGrupos[#Data],3,FALSE)</f>
        <v>MAN</v>
      </c>
      <c r="H682" s="41" t="s">
        <v>1339</v>
      </c>
      <c r="I682" s="9">
        <v>4</v>
      </c>
      <c r="J682" s="51">
        <v>2</v>
      </c>
      <c r="K682" s="7">
        <f>tabPontoPed[[#This Row],[QTDMÊS]] * tabPontoPed[[#This Row],[MENSAL]]</f>
        <v>8</v>
      </c>
      <c r="L682" s="13" t="s">
        <v>1012</v>
      </c>
      <c r="M682" s="44"/>
      <c r="N682" s="45" t="str">
        <f>_xlfn.IFNA(IF(VLOOKUP(tabPontoPed[[#This Row],[CÓDIGO]],Excluir_do_Estoque!$A$4:$A$4004,1,FALSE),"sim",""),"")</f>
        <v/>
      </c>
      <c r="O682" s="10" t="str">
        <f t="shared" si="10"/>
        <v>*</v>
      </c>
    </row>
    <row r="683" spans="1:15" x14ac:dyDescent="0.25">
      <c r="A683" s="2">
        <v>106375</v>
      </c>
      <c r="B683" s="4" t="s">
        <v>527</v>
      </c>
      <c r="C683" s="41" t="s">
        <v>1345</v>
      </c>
      <c r="D683" s="42">
        <v>51</v>
      </c>
      <c r="E683" s="43">
        <v>17</v>
      </c>
      <c r="F683" s="50" t="str">
        <f>VLOOKUP(tabPontoPed[[#This Row],[GRUPO]],tabGrupos[#Data],2,FALSE)</f>
        <v>MAT.E EQUIP. P/ CONSTR.CIVIL E CONSERV. DE VIAS PUBL.</v>
      </c>
      <c r="G683" s="42" t="str">
        <f>VLOOKUP(tabPontoPed[[#This Row],[GRUPO]],tabGrupos[#Data],3,FALSE)</f>
        <v>MCO</v>
      </c>
      <c r="H683" s="41" t="s">
        <v>1339</v>
      </c>
      <c r="I683" s="9">
        <v>4</v>
      </c>
      <c r="J683" s="51">
        <v>43</v>
      </c>
      <c r="K683" s="7">
        <f>tabPontoPed[[#This Row],[QTDMÊS]] * tabPontoPed[[#This Row],[MENSAL]]</f>
        <v>172</v>
      </c>
      <c r="L683" s="13" t="s">
        <v>1012</v>
      </c>
      <c r="M683" s="44"/>
      <c r="N683" s="45" t="str">
        <f>_xlfn.IFNA(IF(VLOOKUP(tabPontoPed[[#This Row],[CÓDIGO]],Excluir_do_Estoque!$A$4:$A$4004,1,FALSE),"sim",""),"")</f>
        <v/>
      </c>
      <c r="O683" s="10" t="str">
        <f t="shared" si="10"/>
        <v>*</v>
      </c>
    </row>
    <row r="684" spans="1:15" x14ac:dyDescent="0.25">
      <c r="A684" s="2">
        <v>106376</v>
      </c>
      <c r="B684" s="4" t="s">
        <v>528</v>
      </c>
      <c r="C684" s="41" t="s">
        <v>1345</v>
      </c>
      <c r="D684" s="42">
        <v>51</v>
      </c>
      <c r="E684" s="43">
        <v>17</v>
      </c>
      <c r="F684" s="50" t="str">
        <f>VLOOKUP(tabPontoPed[[#This Row],[GRUPO]],tabGrupos[#Data],2,FALSE)</f>
        <v>MAT.E EQUIP. P/ CONSTR.CIVIL E CONSERV. DE VIAS PUBL.</v>
      </c>
      <c r="G684" s="42" t="str">
        <f>VLOOKUP(tabPontoPed[[#This Row],[GRUPO]],tabGrupos[#Data],3,FALSE)</f>
        <v>MCO</v>
      </c>
      <c r="H684" s="41" t="s">
        <v>1339</v>
      </c>
      <c r="I684" s="9">
        <v>4</v>
      </c>
      <c r="J684" s="51">
        <v>65</v>
      </c>
      <c r="K684" s="7">
        <f>tabPontoPed[[#This Row],[QTDMÊS]] * tabPontoPed[[#This Row],[MENSAL]]</f>
        <v>260</v>
      </c>
      <c r="L684" s="13" t="s">
        <v>1012</v>
      </c>
      <c r="M684" s="44"/>
      <c r="N684" s="45" t="str">
        <f>_xlfn.IFNA(IF(VLOOKUP(tabPontoPed[[#This Row],[CÓDIGO]],Excluir_do_Estoque!$A$4:$A$4004,1,FALSE),"sim",""),"")</f>
        <v/>
      </c>
      <c r="O684" s="10" t="str">
        <f t="shared" si="10"/>
        <v>*</v>
      </c>
    </row>
    <row r="685" spans="1:15" x14ac:dyDescent="0.25">
      <c r="A685" s="2">
        <v>106408</v>
      </c>
      <c r="B685" s="4" t="s">
        <v>26</v>
      </c>
      <c r="C685" s="41" t="s">
        <v>1345</v>
      </c>
      <c r="D685" s="42">
        <v>55</v>
      </c>
      <c r="E685" s="43">
        <v>32</v>
      </c>
      <c r="F685" s="50" t="str">
        <f>VLOOKUP(tabPontoPed[[#This Row],[GRUPO]],tabGrupos[#Data],2,FALSE)</f>
        <v>EQUIP. MAT. P/ GERACAO, TRANSM. DISTR. RETIF...</v>
      </c>
      <c r="G685" s="42" t="str">
        <f>VLOOKUP(tabPontoPed[[#This Row],[GRUPO]],tabGrupos[#Data],3,FALSE)</f>
        <v>MEL</v>
      </c>
      <c r="H685" s="41" t="s">
        <v>1339</v>
      </c>
      <c r="I685" s="9">
        <v>4</v>
      </c>
      <c r="J685" s="51">
        <v>2</v>
      </c>
      <c r="K685" s="7">
        <f>tabPontoPed[[#This Row],[QTDMÊS]] * tabPontoPed[[#This Row],[MENSAL]]</f>
        <v>8</v>
      </c>
      <c r="L685" s="13" t="s">
        <v>1012</v>
      </c>
      <c r="M685" s="44"/>
      <c r="N685" s="45" t="str">
        <f>_xlfn.IFNA(IF(VLOOKUP(tabPontoPed[[#This Row],[CÓDIGO]],Excluir_do_Estoque!$A$4:$A$4004,1,FALSE),"sim",""),"")</f>
        <v/>
      </c>
      <c r="O685" s="10" t="str">
        <f t="shared" si="10"/>
        <v>*</v>
      </c>
    </row>
    <row r="686" spans="1:15" x14ac:dyDescent="0.25">
      <c r="A686" s="2">
        <v>106414</v>
      </c>
      <c r="B686" s="4" t="s">
        <v>27</v>
      </c>
      <c r="C686" s="41" t="s">
        <v>1345</v>
      </c>
      <c r="D686" s="42">
        <v>55</v>
      </c>
      <c r="E686" s="43">
        <v>32</v>
      </c>
      <c r="F686" s="50" t="str">
        <f>VLOOKUP(tabPontoPed[[#This Row],[GRUPO]],tabGrupos[#Data],2,FALSE)</f>
        <v>EQUIP. MAT. P/ GERACAO, TRANSM. DISTR. RETIF...</v>
      </c>
      <c r="G686" s="42" t="str">
        <f>VLOOKUP(tabPontoPed[[#This Row],[GRUPO]],tabGrupos[#Data],3,FALSE)</f>
        <v>MEL</v>
      </c>
      <c r="H686" s="41" t="s">
        <v>1339</v>
      </c>
      <c r="I686" s="9">
        <v>4</v>
      </c>
      <c r="J686" s="51">
        <v>80</v>
      </c>
      <c r="K686" s="7">
        <f>tabPontoPed[[#This Row],[QTDMÊS]] * tabPontoPed[[#This Row],[MENSAL]]</f>
        <v>320</v>
      </c>
      <c r="L686" s="13" t="s">
        <v>1012</v>
      </c>
      <c r="M686" s="44"/>
      <c r="N686" s="45" t="str">
        <f>_xlfn.IFNA(IF(VLOOKUP(tabPontoPed[[#This Row],[CÓDIGO]],Excluir_do_Estoque!$A$4:$A$4004,1,FALSE),"sim",""),"")</f>
        <v/>
      </c>
      <c r="O686" s="10" t="str">
        <f t="shared" si="10"/>
        <v>*</v>
      </c>
    </row>
    <row r="687" spans="1:15" x14ac:dyDescent="0.25">
      <c r="A687" s="2">
        <v>106544</v>
      </c>
      <c r="B687" s="4" t="s">
        <v>856</v>
      </c>
      <c r="C687" s="41" t="s">
        <v>1345</v>
      </c>
      <c r="D687" s="42">
        <v>67</v>
      </c>
      <c r="E687" s="43">
        <v>9</v>
      </c>
      <c r="F687" s="50" t="str">
        <f>VLOOKUP(tabPontoPed[[#This Row],[GRUPO]],tabGrupos[#Data],2,FALSE)</f>
        <v>PARAFUSOS ELEM. VEDACAO UNIAO CONEX . FIXACAO</v>
      </c>
      <c r="G687" s="42" t="str">
        <f>VLOOKUP(tabPontoPed[[#This Row],[GRUPO]],tabGrupos[#Data],3,FALSE)</f>
        <v>MSE</v>
      </c>
      <c r="H687" s="41" t="s">
        <v>1339</v>
      </c>
      <c r="I687" s="9">
        <v>4</v>
      </c>
      <c r="J687" s="51">
        <v>75</v>
      </c>
      <c r="K687" s="7">
        <f>tabPontoPed[[#This Row],[QTDMÊS]] * tabPontoPed[[#This Row],[MENSAL]]</f>
        <v>300</v>
      </c>
      <c r="L687" s="13" t="s">
        <v>1012</v>
      </c>
      <c r="M687" s="44"/>
      <c r="N687" s="45" t="str">
        <f>_xlfn.IFNA(IF(VLOOKUP(tabPontoPed[[#This Row],[CÓDIGO]],Excluir_do_Estoque!$A$4:$A$4004,1,FALSE),"sim",""),"")</f>
        <v/>
      </c>
      <c r="O687" s="10" t="str">
        <f t="shared" si="10"/>
        <v>*</v>
      </c>
    </row>
    <row r="688" spans="1:15" x14ac:dyDescent="0.25">
      <c r="A688" s="2">
        <v>106546</v>
      </c>
      <c r="B688" s="4" t="s">
        <v>857</v>
      </c>
      <c r="C688" s="41" t="s">
        <v>1345</v>
      </c>
      <c r="D688" s="42">
        <v>67</v>
      </c>
      <c r="E688" s="43">
        <v>9</v>
      </c>
      <c r="F688" s="50" t="str">
        <f>VLOOKUP(tabPontoPed[[#This Row],[GRUPO]],tabGrupos[#Data],2,FALSE)</f>
        <v>PARAFUSOS ELEM. VEDACAO UNIAO CONEX . FIXACAO</v>
      </c>
      <c r="G688" s="42" t="str">
        <f>VLOOKUP(tabPontoPed[[#This Row],[GRUPO]],tabGrupos[#Data],3,FALSE)</f>
        <v>MSE</v>
      </c>
      <c r="H688" s="41" t="s">
        <v>1339</v>
      </c>
      <c r="I688" s="9">
        <v>4</v>
      </c>
      <c r="J688" s="51">
        <v>61</v>
      </c>
      <c r="K688" s="7">
        <f>tabPontoPed[[#This Row],[QTDMÊS]] * tabPontoPed[[#This Row],[MENSAL]]</f>
        <v>244</v>
      </c>
      <c r="L688" s="13" t="s">
        <v>1012</v>
      </c>
      <c r="M688" s="44"/>
      <c r="N688" s="45" t="str">
        <f>_xlfn.IFNA(IF(VLOOKUP(tabPontoPed[[#This Row],[CÓDIGO]],Excluir_do_Estoque!$A$4:$A$4004,1,FALSE),"sim",""),"")</f>
        <v/>
      </c>
      <c r="O688" s="10" t="str">
        <f t="shared" si="10"/>
        <v>*</v>
      </c>
    </row>
    <row r="689" spans="1:15" x14ac:dyDescent="0.25">
      <c r="A689" s="2">
        <v>106631</v>
      </c>
      <c r="B689" s="4" t="s">
        <v>564</v>
      </c>
      <c r="C689" s="41" t="s">
        <v>1345</v>
      </c>
      <c r="D689" s="42">
        <v>51</v>
      </c>
      <c r="E689" s="43">
        <v>37</v>
      </c>
      <c r="F689" s="50" t="str">
        <f>VLOOKUP(tabPontoPed[[#This Row],[GRUPO]],tabGrupos[#Data],2,FALSE)</f>
        <v>MAT.E EQUIP. P/ CONSTR.CIVIL E CONSERV. DE VIAS PUBL.</v>
      </c>
      <c r="G689" s="42" t="str">
        <f>VLOOKUP(tabPontoPed[[#This Row],[GRUPO]],tabGrupos[#Data],3,FALSE)</f>
        <v>MCO</v>
      </c>
      <c r="H689" s="41" t="s">
        <v>1339</v>
      </c>
      <c r="I689" s="9">
        <v>4</v>
      </c>
      <c r="J689" s="51">
        <v>10</v>
      </c>
      <c r="K689" s="7">
        <f>tabPontoPed[[#This Row],[QTDMÊS]] * tabPontoPed[[#This Row],[MENSAL]]</f>
        <v>40</v>
      </c>
      <c r="L689" s="13" t="s">
        <v>1012</v>
      </c>
      <c r="M689" s="44"/>
      <c r="N689" s="45" t="str">
        <f>_xlfn.IFNA(IF(VLOOKUP(tabPontoPed[[#This Row],[CÓDIGO]],Excluir_do_Estoque!$A$4:$A$4004,1,FALSE),"sim",""),"")</f>
        <v/>
      </c>
      <c r="O689" s="10" t="str">
        <f t="shared" si="10"/>
        <v>*</v>
      </c>
    </row>
    <row r="690" spans="1:15" x14ac:dyDescent="0.25">
      <c r="A690" s="2">
        <v>106697</v>
      </c>
      <c r="B690" s="4" t="s">
        <v>489</v>
      </c>
      <c r="C690" s="41" t="s">
        <v>1345</v>
      </c>
      <c r="D690" s="42">
        <v>45</v>
      </c>
      <c r="E690" s="43">
        <v>30</v>
      </c>
      <c r="F690" s="50" t="str">
        <f>VLOOKUP(tabPontoPed[[#This Row],[GRUPO]],tabGrupos[#Data],2,FALSE)</f>
        <v>MAQ., EQUIP., COMP., ACES., MAT. PARA ESCRIT.E ESCOLAR</v>
      </c>
      <c r="G690" s="42" t="str">
        <f>VLOOKUP(tabPontoPed[[#This Row],[GRUPO]],tabGrupos[#Data],3,FALSE)</f>
        <v>EDU</v>
      </c>
      <c r="H690" s="41" t="s">
        <v>1339</v>
      </c>
      <c r="I690" s="9">
        <v>4</v>
      </c>
      <c r="J690" s="51">
        <v>365</v>
      </c>
      <c r="K690" s="7">
        <f>tabPontoPed[[#This Row],[QTDMÊS]] * tabPontoPed[[#This Row],[MENSAL]]</f>
        <v>1460</v>
      </c>
      <c r="L690" s="13" t="s">
        <v>1012</v>
      </c>
      <c r="M690" s="44"/>
      <c r="N690" s="45" t="str">
        <f>_xlfn.IFNA(IF(VLOOKUP(tabPontoPed[[#This Row],[CÓDIGO]],Excluir_do_Estoque!$A$4:$A$4004,1,FALSE),"sim",""),"")</f>
        <v/>
      </c>
      <c r="O690" s="10" t="str">
        <f t="shared" si="10"/>
        <v>*</v>
      </c>
    </row>
    <row r="691" spans="1:15" x14ac:dyDescent="0.25">
      <c r="A691" s="2">
        <v>107401</v>
      </c>
      <c r="B691" s="4" t="s">
        <v>300</v>
      </c>
      <c r="C691" s="41" t="s">
        <v>1345</v>
      </c>
      <c r="D691" s="42">
        <v>61</v>
      </c>
      <c r="E691" s="43">
        <v>8</v>
      </c>
      <c r="F691" s="50" t="str">
        <f>VLOOKUP(tabPontoPed[[#This Row],[GRUPO]],tabGrupos[#Data],2,FALSE)</f>
        <v>MATERIAL HIDRAULICO, CANOS, TUBOS, MANGUEIRAS, CONEXOES E ACESS.</v>
      </c>
      <c r="G691" s="42" t="str">
        <f>VLOOKUP(tabPontoPed[[#This Row],[GRUPO]],tabGrupos[#Data],3,FALSE)</f>
        <v>MHI</v>
      </c>
      <c r="H691" s="41" t="s">
        <v>1339</v>
      </c>
      <c r="I691" s="9">
        <v>4</v>
      </c>
      <c r="J691" s="51">
        <v>4</v>
      </c>
      <c r="K691" s="7">
        <f>tabPontoPed[[#This Row],[QTDMÊS]] * tabPontoPed[[#This Row],[MENSAL]]</f>
        <v>16</v>
      </c>
      <c r="L691" s="13" t="s">
        <v>1012</v>
      </c>
      <c r="M691" s="44"/>
      <c r="N691" s="45" t="str">
        <f>_xlfn.IFNA(IF(VLOOKUP(tabPontoPed[[#This Row],[CÓDIGO]],Excluir_do_Estoque!$A$4:$A$4004,1,FALSE),"sim",""),"")</f>
        <v/>
      </c>
      <c r="O691" s="10" t="str">
        <f t="shared" si="10"/>
        <v>*</v>
      </c>
    </row>
    <row r="692" spans="1:15" x14ac:dyDescent="0.25">
      <c r="A692" s="2">
        <v>107483</v>
      </c>
      <c r="B692" s="4" t="s">
        <v>15</v>
      </c>
      <c r="C692" s="41" t="s">
        <v>1345</v>
      </c>
      <c r="D692" s="42">
        <v>55</v>
      </c>
      <c r="E692" s="43">
        <v>4</v>
      </c>
      <c r="F692" s="50" t="str">
        <f>VLOOKUP(tabPontoPed[[#This Row],[GRUPO]],tabGrupos[#Data],2,FALSE)</f>
        <v>EQUIP. MAT. P/ GERACAO, TRANSM. DISTR. RETIF...</v>
      </c>
      <c r="G692" s="42" t="str">
        <f>VLOOKUP(tabPontoPed[[#This Row],[GRUPO]],tabGrupos[#Data],3,FALSE)</f>
        <v>MEL</v>
      </c>
      <c r="H692" s="41" t="s">
        <v>1339</v>
      </c>
      <c r="I692" s="9">
        <v>4</v>
      </c>
      <c r="J692" s="51">
        <v>16</v>
      </c>
      <c r="K692" s="7">
        <f>tabPontoPed[[#This Row],[QTDMÊS]] * tabPontoPed[[#This Row],[MENSAL]]</f>
        <v>64</v>
      </c>
      <c r="L692" s="13" t="s">
        <v>1012</v>
      </c>
      <c r="M692" s="44"/>
      <c r="N692" s="45" t="str">
        <f>_xlfn.IFNA(IF(VLOOKUP(tabPontoPed[[#This Row],[CÓDIGO]],Excluir_do_Estoque!$A$4:$A$4004,1,FALSE),"sim",""),"")</f>
        <v/>
      </c>
      <c r="O692" s="10" t="str">
        <f t="shared" si="10"/>
        <v>*</v>
      </c>
    </row>
    <row r="693" spans="1:15" x14ac:dyDescent="0.25">
      <c r="A693" s="2">
        <v>107790</v>
      </c>
      <c r="B693" s="4" t="s">
        <v>495</v>
      </c>
      <c r="C693" s="41" t="s">
        <v>1345</v>
      </c>
      <c r="D693" s="42">
        <v>50</v>
      </c>
      <c r="E693" s="43">
        <v>3</v>
      </c>
      <c r="F693" s="50" t="str">
        <f>VLOOKUP(tabPontoPed[[#This Row],[GRUPO]],tabGrupos[#Data],2,FALSE)</f>
        <v>EQUIP. P/ COND. VENT. PURIF. DE AR, COMPONENTES E ACES.</v>
      </c>
      <c r="G693" s="42" t="str">
        <f>VLOOKUP(tabPontoPed[[#This Row],[GRUPO]],tabGrupos[#Data],3,FALSE)</f>
        <v>MAN</v>
      </c>
      <c r="H693" s="41" t="s">
        <v>1339</v>
      </c>
      <c r="I693" s="9">
        <v>4</v>
      </c>
      <c r="J693" s="51">
        <v>15</v>
      </c>
      <c r="K693" s="7">
        <f>tabPontoPed[[#This Row],[QTDMÊS]] * tabPontoPed[[#This Row],[MENSAL]]</f>
        <v>60</v>
      </c>
      <c r="L693" s="13" t="s">
        <v>1012</v>
      </c>
      <c r="M693" s="44"/>
      <c r="N693" s="45" t="str">
        <f>_xlfn.IFNA(IF(VLOOKUP(tabPontoPed[[#This Row],[CÓDIGO]],Excluir_do_Estoque!$A$4:$A$4004,1,FALSE),"sim",""),"")</f>
        <v/>
      </c>
      <c r="O693" s="10" t="str">
        <f t="shared" si="10"/>
        <v>*</v>
      </c>
    </row>
    <row r="694" spans="1:15" x14ac:dyDescent="0.25">
      <c r="A694" s="2">
        <v>107889</v>
      </c>
      <c r="B694" s="4" t="s">
        <v>19</v>
      </c>
      <c r="C694" s="41" t="s">
        <v>1345</v>
      </c>
      <c r="D694" s="42">
        <v>55</v>
      </c>
      <c r="E694" s="43">
        <v>9</v>
      </c>
      <c r="F694" s="50" t="str">
        <f>VLOOKUP(tabPontoPed[[#This Row],[GRUPO]],tabGrupos[#Data],2,FALSE)</f>
        <v>EQUIP. MAT. P/ GERACAO, TRANSM. DISTR. RETIF...</v>
      </c>
      <c r="G694" s="42" t="str">
        <f>VLOOKUP(tabPontoPed[[#This Row],[GRUPO]],tabGrupos[#Data],3,FALSE)</f>
        <v>MEL</v>
      </c>
      <c r="H694" s="41" t="s">
        <v>1339</v>
      </c>
      <c r="I694" s="9">
        <v>4</v>
      </c>
      <c r="J694" s="51">
        <v>14</v>
      </c>
      <c r="K694" s="7">
        <f>tabPontoPed[[#This Row],[QTDMÊS]] * tabPontoPed[[#This Row],[MENSAL]]</f>
        <v>56</v>
      </c>
      <c r="L694" s="13" t="s">
        <v>1012</v>
      </c>
      <c r="M694" s="44"/>
      <c r="N694" s="45" t="str">
        <f>_xlfn.IFNA(IF(VLOOKUP(tabPontoPed[[#This Row],[CÓDIGO]],Excluir_do_Estoque!$A$4:$A$4004,1,FALSE),"sim",""),"")</f>
        <v/>
      </c>
      <c r="O694" s="10" t="str">
        <f t="shared" si="10"/>
        <v>*</v>
      </c>
    </row>
    <row r="695" spans="1:15" x14ac:dyDescent="0.25">
      <c r="A695" s="2">
        <v>107926</v>
      </c>
      <c r="B695" s="4" t="s">
        <v>971</v>
      </c>
      <c r="C695" s="41" t="s">
        <v>1345</v>
      </c>
      <c r="D695" s="42">
        <v>78</v>
      </c>
      <c r="E695" s="43">
        <v>2</v>
      </c>
      <c r="F695" s="50" t="str">
        <f>VLOOKUP(tabPontoPed[[#This Row],[GRUPO]],tabGrupos[#Data],2,FALSE)</f>
        <v>MOBILIARIO E COFRE</v>
      </c>
      <c r="G695" s="42" t="str">
        <f>VLOOKUP(tabPontoPed[[#This Row],[GRUPO]],tabGrupos[#Data],3,FALSE)</f>
        <v>ADM</v>
      </c>
      <c r="H695" s="41" t="s">
        <v>1339</v>
      </c>
      <c r="I695" s="9">
        <v>4</v>
      </c>
      <c r="J695" s="51">
        <v>225</v>
      </c>
      <c r="K695" s="7">
        <f>tabPontoPed[[#This Row],[QTDMÊS]] * tabPontoPed[[#This Row],[MENSAL]]</f>
        <v>900</v>
      </c>
      <c r="L695" s="13" t="s">
        <v>1012</v>
      </c>
      <c r="M695" s="44"/>
      <c r="N695" s="45" t="str">
        <f>_xlfn.IFNA(IF(VLOOKUP(tabPontoPed[[#This Row],[CÓDIGO]],Excluir_do_Estoque!$A$4:$A$4004,1,FALSE),"sim",""),"")</f>
        <v/>
      </c>
      <c r="O695" s="10" t="str">
        <f t="shared" si="10"/>
        <v>*</v>
      </c>
    </row>
    <row r="696" spans="1:15" x14ac:dyDescent="0.25">
      <c r="A696" s="2">
        <v>108393</v>
      </c>
      <c r="B696" s="4" t="s">
        <v>635</v>
      </c>
      <c r="C696" s="41" t="s">
        <v>1345</v>
      </c>
      <c r="D696" s="42">
        <v>55</v>
      </c>
      <c r="E696" s="43">
        <v>26</v>
      </c>
      <c r="F696" s="50" t="str">
        <f>VLOOKUP(tabPontoPed[[#This Row],[GRUPO]],tabGrupos[#Data],2,FALSE)</f>
        <v>EQUIP. MAT. P/ GERACAO, TRANSM. DISTR. RETIF...</v>
      </c>
      <c r="G696" s="42" t="str">
        <f>VLOOKUP(tabPontoPed[[#This Row],[GRUPO]],tabGrupos[#Data],3,FALSE)</f>
        <v>MEL</v>
      </c>
      <c r="H696" s="41" t="s">
        <v>1339</v>
      </c>
      <c r="I696" s="9">
        <v>4</v>
      </c>
      <c r="J696" s="51">
        <v>5</v>
      </c>
      <c r="K696" s="7">
        <f>tabPontoPed[[#This Row],[QTDMÊS]] * tabPontoPed[[#This Row],[MENSAL]]</f>
        <v>20</v>
      </c>
      <c r="L696" s="13" t="s">
        <v>1012</v>
      </c>
      <c r="M696" s="44"/>
      <c r="N696" s="45" t="str">
        <f>_xlfn.IFNA(IF(VLOOKUP(tabPontoPed[[#This Row],[CÓDIGO]],Excluir_do_Estoque!$A$4:$A$4004,1,FALSE),"sim",""),"")</f>
        <v/>
      </c>
      <c r="O696" s="10" t="str">
        <f t="shared" si="10"/>
        <v>*</v>
      </c>
    </row>
    <row r="697" spans="1:15" x14ac:dyDescent="0.25">
      <c r="A697" s="2">
        <v>108398</v>
      </c>
      <c r="B697" s="4" t="s">
        <v>642</v>
      </c>
      <c r="C697" s="41" t="s">
        <v>1345</v>
      </c>
      <c r="D697" s="42">
        <v>55</v>
      </c>
      <c r="E697" s="43">
        <v>30</v>
      </c>
      <c r="F697" s="50" t="str">
        <f>VLOOKUP(tabPontoPed[[#This Row],[GRUPO]],tabGrupos[#Data],2,FALSE)</f>
        <v>EQUIP. MAT. P/ GERACAO, TRANSM. DISTR. RETIF...</v>
      </c>
      <c r="G697" s="42" t="str">
        <f>VLOOKUP(tabPontoPed[[#This Row],[GRUPO]],tabGrupos[#Data],3,FALSE)</f>
        <v>MEL</v>
      </c>
      <c r="H697" s="41" t="s">
        <v>1339</v>
      </c>
      <c r="I697" s="9">
        <v>4</v>
      </c>
      <c r="J697" s="51">
        <v>0</v>
      </c>
      <c r="K697" s="7">
        <f>tabPontoPed[[#This Row],[QTDMÊS]] * tabPontoPed[[#This Row],[MENSAL]]</f>
        <v>0</v>
      </c>
      <c r="L697" s="13" t="s">
        <v>1012</v>
      </c>
      <c r="M697" s="44"/>
      <c r="N697" s="45" t="str">
        <f>_xlfn.IFNA(IF(VLOOKUP(tabPontoPed[[#This Row],[CÓDIGO]],Excluir_do_Estoque!$A$4:$A$4004,1,FALSE),"sim",""),"")</f>
        <v/>
      </c>
      <c r="O697" s="10" t="str">
        <f t="shared" si="10"/>
        <v>*</v>
      </c>
    </row>
    <row r="698" spans="1:15" x14ac:dyDescent="0.25">
      <c r="A698" s="2">
        <v>108440</v>
      </c>
      <c r="B698" s="4" t="s">
        <v>691</v>
      </c>
      <c r="C698" s="41" t="s">
        <v>1345</v>
      </c>
      <c r="D698" s="42">
        <v>55</v>
      </c>
      <c r="E698" s="43">
        <v>49</v>
      </c>
      <c r="F698" s="50" t="str">
        <f>VLOOKUP(tabPontoPed[[#This Row],[GRUPO]],tabGrupos[#Data],2,FALSE)</f>
        <v>EQUIP. MAT. P/ GERACAO, TRANSM. DISTR. RETIF...</v>
      </c>
      <c r="G698" s="42" t="str">
        <f>VLOOKUP(tabPontoPed[[#This Row],[GRUPO]],tabGrupos[#Data],3,FALSE)</f>
        <v>MEL</v>
      </c>
      <c r="H698" s="41" t="s">
        <v>1339</v>
      </c>
      <c r="I698" s="9">
        <v>4</v>
      </c>
      <c r="J698" s="51">
        <v>10</v>
      </c>
      <c r="K698" s="7">
        <f>tabPontoPed[[#This Row],[QTDMÊS]] * tabPontoPed[[#This Row],[MENSAL]]</f>
        <v>40</v>
      </c>
      <c r="L698" s="13" t="s">
        <v>1012</v>
      </c>
      <c r="M698" s="44"/>
      <c r="N698" s="45" t="str">
        <f>_xlfn.IFNA(IF(VLOOKUP(tabPontoPed[[#This Row],[CÓDIGO]],Excluir_do_Estoque!$A$4:$A$4004,1,FALSE),"sim",""),"")</f>
        <v/>
      </c>
      <c r="O698" s="10" t="str">
        <f t="shared" si="10"/>
        <v>*</v>
      </c>
    </row>
    <row r="699" spans="1:15" x14ac:dyDescent="0.25">
      <c r="A699" s="2">
        <v>108441</v>
      </c>
      <c r="B699" s="4" t="s">
        <v>379</v>
      </c>
      <c r="C699" s="41" t="s">
        <v>1345</v>
      </c>
      <c r="D699" s="42">
        <v>55</v>
      </c>
      <c r="E699" s="43">
        <v>65</v>
      </c>
      <c r="F699" s="50" t="str">
        <f>VLOOKUP(tabPontoPed[[#This Row],[GRUPO]],tabGrupos[#Data],2,FALSE)</f>
        <v>EQUIP. MAT. P/ GERACAO, TRANSM. DISTR. RETIF...</v>
      </c>
      <c r="G699" s="42" t="str">
        <f>VLOOKUP(tabPontoPed[[#This Row],[GRUPO]],tabGrupos[#Data],3,FALSE)</f>
        <v>MEL</v>
      </c>
      <c r="H699" s="41" t="s">
        <v>1339</v>
      </c>
      <c r="I699" s="9">
        <v>4</v>
      </c>
      <c r="J699" s="51">
        <v>7</v>
      </c>
      <c r="K699" s="7">
        <f>tabPontoPed[[#This Row],[QTDMÊS]] * tabPontoPed[[#This Row],[MENSAL]]</f>
        <v>28</v>
      </c>
      <c r="L699" s="13" t="s">
        <v>1012</v>
      </c>
      <c r="M699" s="44"/>
      <c r="N699" s="45" t="str">
        <f>_xlfn.IFNA(IF(VLOOKUP(tabPontoPed[[#This Row],[CÓDIGO]],Excluir_do_Estoque!$A$4:$A$4004,1,FALSE),"sim",""),"")</f>
        <v/>
      </c>
      <c r="O699" s="10" t="str">
        <f t="shared" si="10"/>
        <v>*</v>
      </c>
    </row>
    <row r="700" spans="1:15" x14ac:dyDescent="0.25">
      <c r="A700" s="2">
        <v>108463</v>
      </c>
      <c r="B700" s="4" t="s">
        <v>112</v>
      </c>
      <c r="C700" s="41" t="s">
        <v>1345</v>
      </c>
      <c r="D700" s="42">
        <v>55</v>
      </c>
      <c r="E700" s="43">
        <v>19</v>
      </c>
      <c r="F700" s="50" t="str">
        <f>VLOOKUP(tabPontoPed[[#This Row],[GRUPO]],tabGrupos[#Data],2,FALSE)</f>
        <v>EQUIP. MAT. P/ GERACAO, TRANSM. DISTR. RETIF...</v>
      </c>
      <c r="G700" s="42" t="str">
        <f>VLOOKUP(tabPontoPed[[#This Row],[GRUPO]],tabGrupos[#Data],3,FALSE)</f>
        <v>MEL</v>
      </c>
      <c r="H700" s="41" t="s">
        <v>1339</v>
      </c>
      <c r="I700" s="9">
        <v>4</v>
      </c>
      <c r="J700" s="51">
        <v>51</v>
      </c>
      <c r="K700" s="7">
        <f>tabPontoPed[[#This Row],[QTDMÊS]] * tabPontoPed[[#This Row],[MENSAL]]</f>
        <v>204</v>
      </c>
      <c r="L700" s="13" t="s">
        <v>1012</v>
      </c>
      <c r="M700" s="44"/>
      <c r="N700" s="45" t="str">
        <f>_xlfn.IFNA(IF(VLOOKUP(tabPontoPed[[#This Row],[CÓDIGO]],Excluir_do_Estoque!$A$4:$A$4004,1,FALSE),"sim",""),"")</f>
        <v/>
      </c>
      <c r="O700" s="10" t="str">
        <f t="shared" si="10"/>
        <v>*</v>
      </c>
    </row>
    <row r="701" spans="1:15" x14ac:dyDescent="0.25">
      <c r="A701" s="2">
        <v>108697</v>
      </c>
      <c r="B701" s="4" t="s">
        <v>688</v>
      </c>
      <c r="C701" s="41" t="s">
        <v>1345</v>
      </c>
      <c r="D701" s="42">
        <v>55</v>
      </c>
      <c r="E701" s="43">
        <v>48</v>
      </c>
      <c r="F701" s="50" t="str">
        <f>VLOOKUP(tabPontoPed[[#This Row],[GRUPO]],tabGrupos[#Data],2,FALSE)</f>
        <v>EQUIP. MAT. P/ GERACAO, TRANSM. DISTR. RETIF...</v>
      </c>
      <c r="G701" s="42" t="str">
        <f>VLOOKUP(tabPontoPed[[#This Row],[GRUPO]],tabGrupos[#Data],3,FALSE)</f>
        <v>MEL</v>
      </c>
      <c r="H701" s="41" t="s">
        <v>1339</v>
      </c>
      <c r="I701" s="9">
        <v>4</v>
      </c>
      <c r="J701" s="51">
        <v>1</v>
      </c>
      <c r="K701" s="7">
        <f>tabPontoPed[[#This Row],[QTDMÊS]] * tabPontoPed[[#This Row],[MENSAL]]</f>
        <v>4</v>
      </c>
      <c r="L701" s="13" t="s">
        <v>1012</v>
      </c>
      <c r="M701" s="44"/>
      <c r="N701" s="45" t="str">
        <f>_xlfn.IFNA(IF(VLOOKUP(tabPontoPed[[#This Row],[CÓDIGO]],Excluir_do_Estoque!$A$4:$A$4004,1,FALSE),"sim",""),"")</f>
        <v/>
      </c>
      <c r="O701" s="10" t="str">
        <f t="shared" si="10"/>
        <v>*</v>
      </c>
    </row>
    <row r="702" spans="1:15" x14ac:dyDescent="0.25">
      <c r="A702" s="2">
        <v>108711</v>
      </c>
      <c r="B702" s="4" t="s">
        <v>305</v>
      </c>
      <c r="C702" s="41" t="s">
        <v>1345</v>
      </c>
      <c r="D702" s="42">
        <v>61</v>
      </c>
      <c r="E702" s="43">
        <v>10</v>
      </c>
      <c r="F702" s="50" t="str">
        <f>VLOOKUP(tabPontoPed[[#This Row],[GRUPO]],tabGrupos[#Data],2,FALSE)</f>
        <v>MATERIAL HIDRAULICO, CANOS, TUBOS, MANGUEIRAS, CONEXOES E ACESS.</v>
      </c>
      <c r="G702" s="42" t="str">
        <f>VLOOKUP(tabPontoPed[[#This Row],[GRUPO]],tabGrupos[#Data],3,FALSE)</f>
        <v>MHI</v>
      </c>
      <c r="H702" s="41" t="s">
        <v>1339</v>
      </c>
      <c r="I702" s="9">
        <v>4</v>
      </c>
      <c r="J702" s="51">
        <v>1</v>
      </c>
      <c r="K702" s="7">
        <f>tabPontoPed[[#This Row],[QTDMÊS]] * tabPontoPed[[#This Row],[MENSAL]]</f>
        <v>4</v>
      </c>
      <c r="L702" s="13" t="s">
        <v>1012</v>
      </c>
      <c r="M702" s="44"/>
      <c r="N702" s="45" t="str">
        <f>_xlfn.IFNA(IF(VLOOKUP(tabPontoPed[[#This Row],[CÓDIGO]],Excluir_do_Estoque!$A$4:$A$4004,1,FALSE),"sim",""),"")</f>
        <v/>
      </c>
      <c r="O702" s="10" t="str">
        <f t="shared" si="10"/>
        <v>*</v>
      </c>
    </row>
    <row r="703" spans="1:15" x14ac:dyDescent="0.25">
      <c r="A703" s="2">
        <v>108732</v>
      </c>
      <c r="B703" s="4" t="s">
        <v>589</v>
      </c>
      <c r="C703" s="41" t="s">
        <v>1345</v>
      </c>
      <c r="D703" s="42">
        <v>54</v>
      </c>
      <c r="E703" s="43">
        <v>4</v>
      </c>
      <c r="F703" s="50" t="str">
        <f>VLOOKUP(tabPontoPed[[#This Row],[GRUPO]],tabGrupos[#Data],2,FALSE)</f>
        <v>EQUIP PROT IND, INST MAT P/ SINAL, CONTR, COMB ...</v>
      </c>
      <c r="G703" s="42" t="str">
        <f>VLOOKUP(tabPontoPed[[#This Row],[GRUPO]],tabGrupos[#Data],3,FALSE)</f>
        <v>MAN</v>
      </c>
      <c r="H703" s="41" t="s">
        <v>1339</v>
      </c>
      <c r="I703" s="9">
        <v>4</v>
      </c>
      <c r="J703" s="51">
        <v>1</v>
      </c>
      <c r="K703" s="7">
        <f>tabPontoPed[[#This Row],[QTDMÊS]] * tabPontoPed[[#This Row],[MENSAL]]</f>
        <v>4</v>
      </c>
      <c r="L703" s="13" t="s">
        <v>1012</v>
      </c>
      <c r="M703" s="44"/>
      <c r="N703" s="45" t="str">
        <f>_xlfn.IFNA(IF(VLOOKUP(tabPontoPed[[#This Row],[CÓDIGO]],Excluir_do_Estoque!$A$4:$A$4004,1,FALSE),"sim",""),"")</f>
        <v>sim</v>
      </c>
      <c r="O703" s="10" t="str">
        <f t="shared" si="10"/>
        <v>*</v>
      </c>
    </row>
    <row r="704" spans="1:15" x14ac:dyDescent="0.25">
      <c r="A704" s="2">
        <v>108734</v>
      </c>
      <c r="B704" s="4" t="s">
        <v>590</v>
      </c>
      <c r="C704" s="41" t="s">
        <v>1345</v>
      </c>
      <c r="D704" s="42">
        <v>54</v>
      </c>
      <c r="E704" s="43">
        <v>4</v>
      </c>
      <c r="F704" s="50" t="str">
        <f>VLOOKUP(tabPontoPed[[#This Row],[GRUPO]],tabGrupos[#Data],2,FALSE)</f>
        <v>EQUIP PROT IND, INST MAT P/ SINAL, CONTR, COMB ...</v>
      </c>
      <c r="G704" s="42" t="str">
        <f>VLOOKUP(tabPontoPed[[#This Row],[GRUPO]],tabGrupos[#Data],3,FALSE)</f>
        <v>MAN</v>
      </c>
      <c r="H704" s="41" t="s">
        <v>1339</v>
      </c>
      <c r="I704" s="9">
        <v>4</v>
      </c>
      <c r="J704" s="51">
        <v>1</v>
      </c>
      <c r="K704" s="7">
        <f>tabPontoPed[[#This Row],[QTDMÊS]] * tabPontoPed[[#This Row],[MENSAL]]</f>
        <v>4</v>
      </c>
      <c r="L704" s="13" t="s">
        <v>1012</v>
      </c>
      <c r="M704" s="44"/>
      <c r="N704" s="45" t="str">
        <f>_xlfn.IFNA(IF(VLOOKUP(tabPontoPed[[#This Row],[CÓDIGO]],Excluir_do_Estoque!$A$4:$A$4004,1,FALSE),"sim",""),"")</f>
        <v>sim</v>
      </c>
      <c r="O704" s="10" t="str">
        <f t="shared" si="10"/>
        <v>*</v>
      </c>
    </row>
    <row r="705" spans="1:15" x14ac:dyDescent="0.25">
      <c r="A705" s="2">
        <v>108735</v>
      </c>
      <c r="B705" s="4" t="s">
        <v>591</v>
      </c>
      <c r="C705" s="41" t="s">
        <v>1345</v>
      </c>
      <c r="D705" s="42">
        <v>54</v>
      </c>
      <c r="E705" s="43">
        <v>4</v>
      </c>
      <c r="F705" s="50" t="str">
        <f>VLOOKUP(tabPontoPed[[#This Row],[GRUPO]],tabGrupos[#Data],2,FALSE)</f>
        <v>EQUIP PROT IND, INST MAT P/ SINAL, CONTR, COMB ...</v>
      </c>
      <c r="G705" s="42" t="str">
        <f>VLOOKUP(tabPontoPed[[#This Row],[GRUPO]],tabGrupos[#Data],3,FALSE)</f>
        <v>MAN</v>
      </c>
      <c r="H705" s="41" t="s">
        <v>1339</v>
      </c>
      <c r="I705" s="9">
        <v>4</v>
      </c>
      <c r="J705" s="51">
        <v>1</v>
      </c>
      <c r="K705" s="7">
        <f>tabPontoPed[[#This Row],[QTDMÊS]] * tabPontoPed[[#This Row],[MENSAL]]</f>
        <v>4</v>
      </c>
      <c r="L705" s="13" t="s">
        <v>1012</v>
      </c>
      <c r="M705" s="44"/>
      <c r="N705" s="45" t="str">
        <f>_xlfn.IFNA(IF(VLOOKUP(tabPontoPed[[#This Row],[CÓDIGO]],Excluir_do_Estoque!$A$4:$A$4004,1,FALSE),"sim",""),"")</f>
        <v>sim</v>
      </c>
      <c r="O705" s="10" t="str">
        <f t="shared" si="10"/>
        <v>*</v>
      </c>
    </row>
    <row r="706" spans="1:15" x14ac:dyDescent="0.25">
      <c r="A706" s="2">
        <v>108736</v>
      </c>
      <c r="B706" s="4" t="s">
        <v>592</v>
      </c>
      <c r="C706" s="41" t="s">
        <v>1345</v>
      </c>
      <c r="D706" s="42">
        <v>54</v>
      </c>
      <c r="E706" s="43">
        <v>4</v>
      </c>
      <c r="F706" s="50" t="str">
        <f>VLOOKUP(tabPontoPed[[#This Row],[GRUPO]],tabGrupos[#Data],2,FALSE)</f>
        <v>EQUIP PROT IND, INST MAT P/ SINAL, CONTR, COMB ...</v>
      </c>
      <c r="G706" s="42" t="str">
        <f>VLOOKUP(tabPontoPed[[#This Row],[GRUPO]],tabGrupos[#Data],3,FALSE)</f>
        <v>MAN</v>
      </c>
      <c r="H706" s="41" t="s">
        <v>1339</v>
      </c>
      <c r="I706" s="9">
        <v>4</v>
      </c>
      <c r="J706" s="51">
        <v>1</v>
      </c>
      <c r="K706" s="7">
        <f>tabPontoPed[[#This Row],[QTDMÊS]] * tabPontoPed[[#This Row],[MENSAL]]</f>
        <v>4</v>
      </c>
      <c r="L706" s="13" t="s">
        <v>1012</v>
      </c>
      <c r="M706" s="44"/>
      <c r="N706" s="45" t="str">
        <f>_xlfn.IFNA(IF(VLOOKUP(tabPontoPed[[#This Row],[CÓDIGO]],Excluir_do_Estoque!$A$4:$A$4004,1,FALSE),"sim",""),"")</f>
        <v>sim</v>
      </c>
      <c r="O706" s="10" t="str">
        <f t="shared" si="10"/>
        <v>*</v>
      </c>
    </row>
    <row r="707" spans="1:15" x14ac:dyDescent="0.25">
      <c r="A707" s="2">
        <v>109163</v>
      </c>
      <c r="B707" s="4" t="s">
        <v>450</v>
      </c>
      <c r="C707" s="41" t="s">
        <v>1345</v>
      </c>
      <c r="D707" s="42">
        <v>45</v>
      </c>
      <c r="E707" s="43">
        <v>11</v>
      </c>
      <c r="F707" s="50" t="str">
        <f>VLOOKUP(tabPontoPed[[#This Row],[GRUPO]],tabGrupos[#Data],2,FALSE)</f>
        <v>MAQ., EQUIP., COMP., ACES., MAT. PARA ESCRIT.E ESCOLAR</v>
      </c>
      <c r="G707" s="42" t="str">
        <f>VLOOKUP(tabPontoPed[[#This Row],[GRUPO]],tabGrupos[#Data],3,FALSE)</f>
        <v>EDU</v>
      </c>
      <c r="H707" s="41" t="s">
        <v>1339</v>
      </c>
      <c r="I707" s="9">
        <v>4</v>
      </c>
      <c r="J707" s="51">
        <v>128</v>
      </c>
      <c r="K707" s="7">
        <f>tabPontoPed[[#This Row],[QTDMÊS]] * tabPontoPed[[#This Row],[MENSAL]]</f>
        <v>512</v>
      </c>
      <c r="L707" s="13" t="s">
        <v>1012</v>
      </c>
      <c r="M707" s="44"/>
      <c r="N707" s="45" t="str">
        <f>_xlfn.IFNA(IF(VLOOKUP(tabPontoPed[[#This Row],[CÓDIGO]],Excluir_do_Estoque!$A$4:$A$4004,1,FALSE),"sim",""),"")</f>
        <v/>
      </c>
      <c r="O707" s="10" t="str">
        <f t="shared" si="10"/>
        <v>*</v>
      </c>
    </row>
    <row r="708" spans="1:15" x14ac:dyDescent="0.25">
      <c r="A708" s="2">
        <v>109848</v>
      </c>
      <c r="B708" s="4" t="s">
        <v>963</v>
      </c>
      <c r="C708" s="41" t="s">
        <v>1345</v>
      </c>
      <c r="D708" s="42">
        <v>76</v>
      </c>
      <c r="E708" s="43">
        <v>9</v>
      </c>
      <c r="F708" s="50" t="str">
        <f>VLOOKUP(tabPontoPed[[#This Row],[GRUPO]],tabGrupos[#Data],2,FALSE)</f>
        <v>EQUIP. E MATERIAIS P/PINTURAS E IMPERMEABILIZACAO</v>
      </c>
      <c r="G708" s="42" t="str">
        <f>VLOOKUP(tabPontoPed[[#This Row],[GRUPO]],tabGrupos[#Data],3,FALSE)</f>
        <v>MPI</v>
      </c>
      <c r="H708" s="41" t="s">
        <v>1339</v>
      </c>
      <c r="I708" s="9">
        <v>4</v>
      </c>
      <c r="J708" s="51">
        <v>5</v>
      </c>
      <c r="K708" s="7">
        <f>tabPontoPed[[#This Row],[QTDMÊS]] * tabPontoPed[[#This Row],[MENSAL]]</f>
        <v>20</v>
      </c>
      <c r="L708" s="13" t="s">
        <v>1012</v>
      </c>
      <c r="M708" s="44"/>
      <c r="N708" s="45" t="str">
        <f>_xlfn.IFNA(IF(VLOOKUP(tabPontoPed[[#This Row],[CÓDIGO]],Excluir_do_Estoque!$A$4:$A$4004,1,FALSE),"sim",""),"")</f>
        <v/>
      </c>
      <c r="O708" s="10" t="str">
        <f t="shared" ref="O708:O771" si="11">"*"</f>
        <v>*</v>
      </c>
    </row>
    <row r="709" spans="1:15" x14ac:dyDescent="0.25">
      <c r="A709" s="2">
        <v>109944</v>
      </c>
      <c r="B709" s="4" t="s">
        <v>400</v>
      </c>
      <c r="C709" s="41" t="s">
        <v>1345</v>
      </c>
      <c r="D709" s="42">
        <v>74</v>
      </c>
      <c r="E709" s="43">
        <v>8</v>
      </c>
      <c r="F709" s="50" t="str">
        <f>VLOOKUP(tabPontoPed[[#This Row],[GRUPO]],tabGrupos[#Data],2,FALSE)</f>
        <v>MADEIRAS,LAMINADOS,COMPENSADOS E AGLOMERADOS</v>
      </c>
      <c r="G709" s="42" t="str">
        <f>VLOOKUP(tabPontoPed[[#This Row],[GRUPO]],tabGrupos[#Data],3,FALSE)</f>
        <v>MCO</v>
      </c>
      <c r="H709" s="41" t="s">
        <v>1339</v>
      </c>
      <c r="I709" s="9">
        <v>4</v>
      </c>
      <c r="J709" s="51">
        <v>28</v>
      </c>
      <c r="K709" s="7">
        <f>tabPontoPed[[#This Row],[QTDMÊS]] * tabPontoPed[[#This Row],[MENSAL]]</f>
        <v>112</v>
      </c>
      <c r="L709" s="13" t="s">
        <v>1012</v>
      </c>
      <c r="M709" s="44"/>
      <c r="N709" s="45" t="str">
        <f>_xlfn.IFNA(IF(VLOOKUP(tabPontoPed[[#This Row],[CÓDIGO]],Excluir_do_Estoque!$A$4:$A$4004,1,FALSE),"sim",""),"")</f>
        <v/>
      </c>
      <c r="O709" s="10" t="str">
        <f t="shared" si="11"/>
        <v>*</v>
      </c>
    </row>
    <row r="710" spans="1:15" x14ac:dyDescent="0.25">
      <c r="A710" s="2">
        <v>110503</v>
      </c>
      <c r="B710" s="4" t="s">
        <v>217</v>
      </c>
      <c r="C710" s="41" t="s">
        <v>1345</v>
      </c>
      <c r="D710" s="42">
        <v>52</v>
      </c>
      <c r="E710" s="43">
        <v>6</v>
      </c>
      <c r="F710" s="50" t="str">
        <f>VLOOKUP(tabPontoPed[[#This Row],[GRUPO]],tabGrupos[#Data],2,FALSE)</f>
        <v>EQUIP.E MAT. P/REFEITORIO, COPA E COZINHA</v>
      </c>
      <c r="G710" s="42" t="str">
        <f>VLOOKUP(tabPontoPed[[#This Row],[GRUPO]],tabGrupos[#Data],3,FALSE)</f>
        <v>ADM</v>
      </c>
      <c r="H710" s="41" t="s">
        <v>1339</v>
      </c>
      <c r="I710" s="9">
        <v>4</v>
      </c>
      <c r="J710" s="51">
        <v>237</v>
      </c>
      <c r="K710" s="7">
        <f>tabPontoPed[[#This Row],[QTDMÊS]] * tabPontoPed[[#This Row],[MENSAL]]</f>
        <v>948</v>
      </c>
      <c r="L710" s="13" t="s">
        <v>1012</v>
      </c>
      <c r="M710" s="44"/>
      <c r="N710" s="45" t="str">
        <f>_xlfn.IFNA(IF(VLOOKUP(tabPontoPed[[#This Row],[CÓDIGO]],Excluir_do_Estoque!$A$4:$A$4004,1,FALSE),"sim",""),"")</f>
        <v/>
      </c>
      <c r="O710" s="10" t="str">
        <f t="shared" si="11"/>
        <v>*</v>
      </c>
    </row>
    <row r="711" spans="1:15" x14ac:dyDescent="0.25">
      <c r="A711" s="2">
        <v>110578</v>
      </c>
      <c r="B711" s="4" t="s">
        <v>939</v>
      </c>
      <c r="C711" s="41" t="s">
        <v>1345</v>
      </c>
      <c r="D711" s="42">
        <v>72</v>
      </c>
      <c r="E711" s="43">
        <v>9</v>
      </c>
      <c r="F711" s="50" t="str">
        <f>VLOOKUP(tabPontoPed[[#This Row],[GRUPO]],tabGrupos[#Data],2,FALSE)</f>
        <v>MAQ.EQUIP.E MATERIAIS P/ HIGIEN.LIMP.POLIM.E LUBR.</v>
      </c>
      <c r="G711" s="42" t="str">
        <f>VLOOKUP(tabPontoPed[[#This Row],[GRUPO]],tabGrupos[#Data],3,FALSE)</f>
        <v>ADM</v>
      </c>
      <c r="H711" s="41" t="s">
        <v>1339</v>
      </c>
      <c r="I711" s="9">
        <v>4</v>
      </c>
      <c r="J711" s="51">
        <v>197</v>
      </c>
      <c r="K711" s="7">
        <f>tabPontoPed[[#This Row],[QTDMÊS]] * tabPontoPed[[#This Row],[MENSAL]]</f>
        <v>788</v>
      </c>
      <c r="L711" s="13" t="s">
        <v>1012</v>
      </c>
      <c r="M711" s="44"/>
      <c r="N711" s="45" t="str">
        <f>_xlfn.IFNA(IF(VLOOKUP(tabPontoPed[[#This Row],[CÓDIGO]],Excluir_do_Estoque!$A$4:$A$4004,1,FALSE),"sim",""),"")</f>
        <v/>
      </c>
      <c r="O711" s="10" t="str">
        <f t="shared" si="11"/>
        <v>*</v>
      </c>
    </row>
    <row r="712" spans="1:15" x14ac:dyDescent="0.25">
      <c r="A712" s="2">
        <v>110702</v>
      </c>
      <c r="B712" s="4" t="s">
        <v>656</v>
      </c>
      <c r="C712" s="41" t="s">
        <v>1345</v>
      </c>
      <c r="D712" s="42">
        <v>55</v>
      </c>
      <c r="E712" s="43">
        <v>32</v>
      </c>
      <c r="F712" s="50" t="str">
        <f>VLOOKUP(tabPontoPed[[#This Row],[GRUPO]],tabGrupos[#Data],2,FALSE)</f>
        <v>EQUIP. MAT. P/ GERACAO, TRANSM. DISTR. RETIF...</v>
      </c>
      <c r="G712" s="42" t="str">
        <f>VLOOKUP(tabPontoPed[[#This Row],[GRUPO]],tabGrupos[#Data],3,FALSE)</f>
        <v>MEL</v>
      </c>
      <c r="H712" s="41" t="s">
        <v>1339</v>
      </c>
      <c r="I712" s="9">
        <v>4</v>
      </c>
      <c r="J712" s="51">
        <v>1</v>
      </c>
      <c r="K712" s="7">
        <f>tabPontoPed[[#This Row],[QTDMÊS]] * tabPontoPed[[#This Row],[MENSAL]]</f>
        <v>4</v>
      </c>
      <c r="L712" s="13" t="s">
        <v>1012</v>
      </c>
      <c r="M712" s="44"/>
      <c r="N712" s="45" t="str">
        <f>_xlfn.IFNA(IF(VLOOKUP(tabPontoPed[[#This Row],[CÓDIGO]],Excluir_do_Estoque!$A$4:$A$4004,1,FALSE),"sim",""),"")</f>
        <v/>
      </c>
      <c r="O712" s="10" t="str">
        <f t="shared" si="11"/>
        <v>*</v>
      </c>
    </row>
    <row r="713" spans="1:15" x14ac:dyDescent="0.25">
      <c r="A713" s="2">
        <v>110771</v>
      </c>
      <c r="B713" s="4" t="s">
        <v>364</v>
      </c>
      <c r="C713" s="41" t="s">
        <v>1345</v>
      </c>
      <c r="D713" s="42">
        <v>55</v>
      </c>
      <c r="E713" s="43">
        <v>26</v>
      </c>
      <c r="F713" s="50" t="str">
        <f>VLOOKUP(tabPontoPed[[#This Row],[GRUPO]],tabGrupos[#Data],2,FALSE)</f>
        <v>EQUIP. MAT. P/ GERACAO, TRANSM. DISTR. RETIF...</v>
      </c>
      <c r="G713" s="42" t="str">
        <f>VLOOKUP(tabPontoPed[[#This Row],[GRUPO]],tabGrupos[#Data],3,FALSE)</f>
        <v>MEL</v>
      </c>
      <c r="H713" s="41" t="s">
        <v>1339</v>
      </c>
      <c r="I713" s="9">
        <v>4</v>
      </c>
      <c r="J713" s="51">
        <v>6</v>
      </c>
      <c r="K713" s="7">
        <f>tabPontoPed[[#This Row],[QTDMÊS]] * tabPontoPed[[#This Row],[MENSAL]]</f>
        <v>24</v>
      </c>
      <c r="L713" s="13" t="s">
        <v>1012</v>
      </c>
      <c r="M713" s="44"/>
      <c r="N713" s="45" t="str">
        <f>_xlfn.IFNA(IF(VLOOKUP(tabPontoPed[[#This Row],[CÓDIGO]],Excluir_do_Estoque!$A$4:$A$4004,1,FALSE),"sim",""),"")</f>
        <v/>
      </c>
      <c r="O713" s="10" t="str">
        <f t="shared" si="11"/>
        <v>*</v>
      </c>
    </row>
    <row r="714" spans="1:15" x14ac:dyDescent="0.25">
      <c r="A714" s="2">
        <v>110888</v>
      </c>
      <c r="B714" s="4" t="s">
        <v>356</v>
      </c>
      <c r="C714" s="41" t="s">
        <v>1345</v>
      </c>
      <c r="D714" s="42">
        <v>55</v>
      </c>
      <c r="E714" s="43">
        <v>26</v>
      </c>
      <c r="F714" s="50" t="str">
        <f>VLOOKUP(tabPontoPed[[#This Row],[GRUPO]],tabGrupos[#Data],2,FALSE)</f>
        <v>EQUIP. MAT. P/ GERACAO, TRANSM. DISTR. RETIF...</v>
      </c>
      <c r="G714" s="42" t="str">
        <f>VLOOKUP(tabPontoPed[[#This Row],[GRUPO]],tabGrupos[#Data],3,FALSE)</f>
        <v>MEL</v>
      </c>
      <c r="H714" s="41" t="s">
        <v>1339</v>
      </c>
      <c r="I714" s="9">
        <v>4</v>
      </c>
      <c r="J714" s="51">
        <v>1</v>
      </c>
      <c r="K714" s="7">
        <f>tabPontoPed[[#This Row],[QTDMÊS]] * tabPontoPed[[#This Row],[MENSAL]]</f>
        <v>4</v>
      </c>
      <c r="L714" s="13" t="s">
        <v>1012</v>
      </c>
      <c r="M714" s="44"/>
      <c r="N714" s="45" t="str">
        <f>_xlfn.IFNA(IF(VLOOKUP(tabPontoPed[[#This Row],[CÓDIGO]],Excluir_do_Estoque!$A$4:$A$4004,1,FALSE),"sim",""),"")</f>
        <v/>
      </c>
      <c r="O714" s="10" t="str">
        <f t="shared" si="11"/>
        <v>*</v>
      </c>
    </row>
    <row r="715" spans="1:15" x14ac:dyDescent="0.25">
      <c r="A715" s="2">
        <v>110889</v>
      </c>
      <c r="B715" s="4" t="s">
        <v>624</v>
      </c>
      <c r="C715" s="41" t="s">
        <v>1345</v>
      </c>
      <c r="D715" s="42">
        <v>55</v>
      </c>
      <c r="E715" s="43">
        <v>19</v>
      </c>
      <c r="F715" s="50" t="str">
        <f>VLOOKUP(tabPontoPed[[#This Row],[GRUPO]],tabGrupos[#Data],2,FALSE)</f>
        <v>EQUIP. MAT. P/ GERACAO, TRANSM. DISTR. RETIF...</v>
      </c>
      <c r="G715" s="42" t="str">
        <f>VLOOKUP(tabPontoPed[[#This Row],[GRUPO]],tabGrupos[#Data],3,FALSE)</f>
        <v>MEL</v>
      </c>
      <c r="H715" s="41" t="s">
        <v>1339</v>
      </c>
      <c r="I715" s="9">
        <v>4</v>
      </c>
      <c r="J715" s="51">
        <v>0</v>
      </c>
      <c r="K715" s="7">
        <f>tabPontoPed[[#This Row],[QTDMÊS]] * tabPontoPed[[#This Row],[MENSAL]]</f>
        <v>0</v>
      </c>
      <c r="L715" s="13" t="s">
        <v>1012</v>
      </c>
      <c r="M715" s="44"/>
      <c r="N715" s="45" t="str">
        <f>_xlfn.IFNA(IF(VLOOKUP(tabPontoPed[[#This Row],[CÓDIGO]],Excluir_do_Estoque!$A$4:$A$4004,1,FALSE),"sim",""),"")</f>
        <v/>
      </c>
      <c r="O715" s="10" t="str">
        <f t="shared" si="11"/>
        <v>*</v>
      </c>
    </row>
    <row r="716" spans="1:15" x14ac:dyDescent="0.25">
      <c r="A716" s="2">
        <v>110890</v>
      </c>
      <c r="B716" s="4" t="s">
        <v>625</v>
      </c>
      <c r="C716" s="41" t="s">
        <v>1345</v>
      </c>
      <c r="D716" s="42">
        <v>55</v>
      </c>
      <c r="E716" s="43">
        <v>19</v>
      </c>
      <c r="F716" s="50" t="str">
        <f>VLOOKUP(tabPontoPed[[#This Row],[GRUPO]],tabGrupos[#Data],2,FALSE)</f>
        <v>EQUIP. MAT. P/ GERACAO, TRANSM. DISTR. RETIF...</v>
      </c>
      <c r="G716" s="42" t="str">
        <f>VLOOKUP(tabPontoPed[[#This Row],[GRUPO]],tabGrupos[#Data],3,FALSE)</f>
        <v>MEL</v>
      </c>
      <c r="H716" s="41" t="s">
        <v>1339</v>
      </c>
      <c r="I716" s="9">
        <v>4</v>
      </c>
      <c r="J716" s="51">
        <v>0</v>
      </c>
      <c r="K716" s="7">
        <f>tabPontoPed[[#This Row],[QTDMÊS]] * tabPontoPed[[#This Row],[MENSAL]]</f>
        <v>0</v>
      </c>
      <c r="L716" s="13" t="s">
        <v>1012</v>
      </c>
      <c r="M716" s="44"/>
      <c r="N716" s="45" t="str">
        <f>_xlfn.IFNA(IF(VLOOKUP(tabPontoPed[[#This Row],[CÓDIGO]],Excluir_do_Estoque!$A$4:$A$4004,1,FALSE),"sim",""),"")</f>
        <v/>
      </c>
      <c r="O716" s="10" t="str">
        <f t="shared" si="11"/>
        <v>*</v>
      </c>
    </row>
    <row r="717" spans="1:15" x14ac:dyDescent="0.25">
      <c r="A717" s="2">
        <v>110891</v>
      </c>
      <c r="B717" s="4" t="s">
        <v>626</v>
      </c>
      <c r="C717" s="41" t="s">
        <v>1345</v>
      </c>
      <c r="D717" s="42">
        <v>55</v>
      </c>
      <c r="E717" s="43">
        <v>19</v>
      </c>
      <c r="F717" s="50" t="str">
        <f>VLOOKUP(tabPontoPed[[#This Row],[GRUPO]],tabGrupos[#Data],2,FALSE)</f>
        <v>EQUIP. MAT. P/ GERACAO, TRANSM. DISTR. RETIF...</v>
      </c>
      <c r="G717" s="42" t="str">
        <f>VLOOKUP(tabPontoPed[[#This Row],[GRUPO]],tabGrupos[#Data],3,FALSE)</f>
        <v>MEL</v>
      </c>
      <c r="H717" s="41" t="s">
        <v>1339</v>
      </c>
      <c r="I717" s="9">
        <v>4</v>
      </c>
      <c r="J717" s="51">
        <v>13</v>
      </c>
      <c r="K717" s="7">
        <f>tabPontoPed[[#This Row],[QTDMÊS]] * tabPontoPed[[#This Row],[MENSAL]]</f>
        <v>52</v>
      </c>
      <c r="L717" s="13" t="s">
        <v>1012</v>
      </c>
      <c r="M717" s="44"/>
      <c r="N717" s="45" t="str">
        <f>_xlfn.IFNA(IF(VLOOKUP(tabPontoPed[[#This Row],[CÓDIGO]],Excluir_do_Estoque!$A$4:$A$4004,1,FALSE),"sim",""),"")</f>
        <v/>
      </c>
      <c r="O717" s="10" t="str">
        <f t="shared" si="11"/>
        <v>*</v>
      </c>
    </row>
    <row r="718" spans="1:15" x14ac:dyDescent="0.25">
      <c r="A718" s="2">
        <v>110892</v>
      </c>
      <c r="B718" s="4" t="s">
        <v>673</v>
      </c>
      <c r="C718" s="41" t="s">
        <v>1345</v>
      </c>
      <c r="D718" s="42">
        <v>55</v>
      </c>
      <c r="E718" s="43">
        <v>35</v>
      </c>
      <c r="F718" s="50" t="str">
        <f>VLOOKUP(tabPontoPed[[#This Row],[GRUPO]],tabGrupos[#Data],2,FALSE)</f>
        <v>EQUIP. MAT. P/ GERACAO, TRANSM. DISTR. RETIF...</v>
      </c>
      <c r="G718" s="42" t="str">
        <f>VLOOKUP(tabPontoPed[[#This Row],[GRUPO]],tabGrupos[#Data],3,FALSE)</f>
        <v>MEL</v>
      </c>
      <c r="H718" s="41" t="s">
        <v>1339</v>
      </c>
      <c r="I718" s="9">
        <v>4</v>
      </c>
      <c r="J718" s="51">
        <v>0</v>
      </c>
      <c r="K718" s="7">
        <f>tabPontoPed[[#This Row],[QTDMÊS]] * tabPontoPed[[#This Row],[MENSAL]]</f>
        <v>0</v>
      </c>
      <c r="L718" s="13" t="s">
        <v>1012</v>
      </c>
      <c r="M718" s="44"/>
      <c r="N718" s="45" t="str">
        <f>_xlfn.IFNA(IF(VLOOKUP(tabPontoPed[[#This Row],[CÓDIGO]],Excluir_do_Estoque!$A$4:$A$4004,1,FALSE),"sim",""),"")</f>
        <v/>
      </c>
      <c r="O718" s="10" t="str">
        <f t="shared" si="11"/>
        <v>*</v>
      </c>
    </row>
    <row r="719" spans="1:15" x14ac:dyDescent="0.25">
      <c r="A719" s="2">
        <v>110893</v>
      </c>
      <c r="B719" s="4" t="s">
        <v>674</v>
      </c>
      <c r="C719" s="41" t="s">
        <v>1345</v>
      </c>
      <c r="D719" s="42">
        <v>55</v>
      </c>
      <c r="E719" s="43">
        <v>35</v>
      </c>
      <c r="F719" s="50" t="str">
        <f>VLOOKUP(tabPontoPed[[#This Row],[GRUPO]],tabGrupos[#Data],2,FALSE)</f>
        <v>EQUIP. MAT. P/ GERACAO, TRANSM. DISTR. RETIF...</v>
      </c>
      <c r="G719" s="42" t="str">
        <f>VLOOKUP(tabPontoPed[[#This Row],[GRUPO]],tabGrupos[#Data],3,FALSE)</f>
        <v>MEL</v>
      </c>
      <c r="H719" s="41" t="s">
        <v>1339</v>
      </c>
      <c r="I719" s="9">
        <v>4</v>
      </c>
      <c r="J719" s="51">
        <v>0</v>
      </c>
      <c r="K719" s="7">
        <f>tabPontoPed[[#This Row],[QTDMÊS]] * tabPontoPed[[#This Row],[MENSAL]]</f>
        <v>0</v>
      </c>
      <c r="L719" s="13" t="s">
        <v>1012</v>
      </c>
      <c r="M719" s="44"/>
      <c r="N719" s="45" t="str">
        <f>_xlfn.IFNA(IF(VLOOKUP(tabPontoPed[[#This Row],[CÓDIGO]],Excluir_do_Estoque!$A$4:$A$4004,1,FALSE),"sim",""),"")</f>
        <v/>
      </c>
      <c r="O719" s="10" t="str">
        <f t="shared" si="11"/>
        <v>*</v>
      </c>
    </row>
    <row r="720" spans="1:15" x14ac:dyDescent="0.25">
      <c r="A720" s="2">
        <v>110895</v>
      </c>
      <c r="B720" s="4" t="s">
        <v>104</v>
      </c>
      <c r="C720" s="41" t="s">
        <v>1345</v>
      </c>
      <c r="D720" s="42">
        <v>55</v>
      </c>
      <c r="E720" s="43">
        <v>7</v>
      </c>
      <c r="F720" s="50" t="str">
        <f>VLOOKUP(tabPontoPed[[#This Row],[GRUPO]],tabGrupos[#Data],2,FALSE)</f>
        <v>EQUIP. MAT. P/ GERACAO, TRANSM. DISTR. RETIF...</v>
      </c>
      <c r="G720" s="42" t="str">
        <f>VLOOKUP(tabPontoPed[[#This Row],[GRUPO]],tabGrupos[#Data],3,FALSE)</f>
        <v>MEL</v>
      </c>
      <c r="H720" s="41" t="s">
        <v>1339</v>
      </c>
      <c r="I720" s="9">
        <v>4</v>
      </c>
      <c r="J720" s="51">
        <v>21</v>
      </c>
      <c r="K720" s="7">
        <f>tabPontoPed[[#This Row],[QTDMÊS]] * tabPontoPed[[#This Row],[MENSAL]]</f>
        <v>84</v>
      </c>
      <c r="L720" s="13" t="s">
        <v>1012</v>
      </c>
      <c r="M720" s="44"/>
      <c r="N720" s="45" t="str">
        <f>_xlfn.IFNA(IF(VLOOKUP(tabPontoPed[[#This Row],[CÓDIGO]],Excluir_do_Estoque!$A$4:$A$4004,1,FALSE),"sim",""),"")</f>
        <v/>
      </c>
      <c r="O720" s="10" t="str">
        <f t="shared" si="11"/>
        <v>*</v>
      </c>
    </row>
    <row r="721" spans="1:15" x14ac:dyDescent="0.25">
      <c r="A721" s="2">
        <v>110896</v>
      </c>
      <c r="B721" s="4" t="s">
        <v>105</v>
      </c>
      <c r="C721" s="41" t="s">
        <v>1345</v>
      </c>
      <c r="D721" s="42">
        <v>55</v>
      </c>
      <c r="E721" s="43">
        <v>7</v>
      </c>
      <c r="F721" s="50" t="str">
        <f>VLOOKUP(tabPontoPed[[#This Row],[GRUPO]],tabGrupos[#Data],2,FALSE)</f>
        <v>EQUIP. MAT. P/ GERACAO, TRANSM. DISTR. RETIF...</v>
      </c>
      <c r="G721" s="42" t="str">
        <f>VLOOKUP(tabPontoPed[[#This Row],[GRUPO]],tabGrupos[#Data],3,FALSE)</f>
        <v>MEL</v>
      </c>
      <c r="H721" s="41" t="s">
        <v>1339</v>
      </c>
      <c r="I721" s="9">
        <v>4</v>
      </c>
      <c r="J721" s="51">
        <v>2</v>
      </c>
      <c r="K721" s="7">
        <f>tabPontoPed[[#This Row],[QTDMÊS]] * tabPontoPed[[#This Row],[MENSAL]]</f>
        <v>8</v>
      </c>
      <c r="L721" s="13" t="s">
        <v>1012</v>
      </c>
      <c r="M721" s="44"/>
      <c r="N721" s="45" t="str">
        <f>_xlfn.IFNA(IF(VLOOKUP(tabPontoPed[[#This Row],[CÓDIGO]],Excluir_do_Estoque!$A$4:$A$4004,1,FALSE),"sim",""),"")</f>
        <v/>
      </c>
      <c r="O721" s="10" t="str">
        <f t="shared" si="11"/>
        <v>*</v>
      </c>
    </row>
    <row r="722" spans="1:15" x14ac:dyDescent="0.25">
      <c r="A722" s="2">
        <v>111336</v>
      </c>
      <c r="B722" s="4" t="s">
        <v>729</v>
      </c>
      <c r="C722" s="41" t="s">
        <v>1345</v>
      </c>
      <c r="D722" s="42">
        <v>61</v>
      </c>
      <c r="E722" s="43">
        <v>3</v>
      </c>
      <c r="F722" s="50" t="str">
        <f>VLOOKUP(tabPontoPed[[#This Row],[GRUPO]],tabGrupos[#Data],2,FALSE)</f>
        <v>MATERIAL HIDRAULICO, CANOS, TUBOS, MANGUEIRAS, CONEXOES E ACESS.</v>
      </c>
      <c r="G722" s="42" t="str">
        <f>VLOOKUP(tabPontoPed[[#This Row],[GRUPO]],tabGrupos[#Data],3,FALSE)</f>
        <v>MHI</v>
      </c>
      <c r="H722" s="41" t="s">
        <v>1339</v>
      </c>
      <c r="I722" s="9">
        <v>4</v>
      </c>
      <c r="J722" s="51">
        <v>25</v>
      </c>
      <c r="K722" s="7">
        <f>tabPontoPed[[#This Row],[QTDMÊS]] * tabPontoPed[[#This Row],[MENSAL]]</f>
        <v>100</v>
      </c>
      <c r="L722" s="13" t="s">
        <v>1012</v>
      </c>
      <c r="M722" s="44"/>
      <c r="N722" s="45" t="str">
        <f>_xlfn.IFNA(IF(VLOOKUP(tabPontoPed[[#This Row],[CÓDIGO]],Excluir_do_Estoque!$A$4:$A$4004,1,FALSE),"sim",""),"")</f>
        <v/>
      </c>
      <c r="O722" s="10" t="str">
        <f t="shared" si="11"/>
        <v>*</v>
      </c>
    </row>
    <row r="723" spans="1:15" x14ac:dyDescent="0.25">
      <c r="A723" s="2">
        <v>111524</v>
      </c>
      <c r="B723" s="4" t="s">
        <v>784</v>
      </c>
      <c r="C723" s="41" t="s">
        <v>1345</v>
      </c>
      <c r="D723" s="42">
        <v>61</v>
      </c>
      <c r="E723" s="43">
        <v>14</v>
      </c>
      <c r="F723" s="50" t="str">
        <f>VLOOKUP(tabPontoPed[[#This Row],[GRUPO]],tabGrupos[#Data],2,FALSE)</f>
        <v>MATERIAL HIDRAULICO, CANOS, TUBOS, MANGUEIRAS, CONEXOES E ACESS.</v>
      </c>
      <c r="G723" s="42" t="str">
        <f>VLOOKUP(tabPontoPed[[#This Row],[GRUPO]],tabGrupos[#Data],3,FALSE)</f>
        <v>MHI</v>
      </c>
      <c r="H723" s="41" t="s">
        <v>1339</v>
      </c>
      <c r="I723" s="9">
        <v>4</v>
      </c>
      <c r="J723" s="51">
        <v>27</v>
      </c>
      <c r="K723" s="7">
        <f>tabPontoPed[[#This Row],[QTDMÊS]] * tabPontoPed[[#This Row],[MENSAL]]</f>
        <v>108</v>
      </c>
      <c r="L723" s="13" t="s">
        <v>1012</v>
      </c>
      <c r="M723" s="44"/>
      <c r="N723" s="45" t="str">
        <f>_xlfn.IFNA(IF(VLOOKUP(tabPontoPed[[#This Row],[CÓDIGO]],Excluir_do_Estoque!$A$4:$A$4004,1,FALSE),"sim",""),"")</f>
        <v/>
      </c>
      <c r="O723" s="10" t="str">
        <f t="shared" si="11"/>
        <v>*</v>
      </c>
    </row>
    <row r="724" spans="1:15" x14ac:dyDescent="0.25">
      <c r="A724" s="2">
        <v>111806</v>
      </c>
      <c r="B724" s="4" t="s">
        <v>23</v>
      </c>
      <c r="C724" s="41" t="s">
        <v>1345</v>
      </c>
      <c r="D724" s="42">
        <v>55</v>
      </c>
      <c r="E724" s="43">
        <v>32</v>
      </c>
      <c r="F724" s="50" t="str">
        <f>VLOOKUP(tabPontoPed[[#This Row],[GRUPO]],tabGrupos[#Data],2,FALSE)</f>
        <v>EQUIP. MAT. P/ GERACAO, TRANSM. DISTR. RETIF...</v>
      </c>
      <c r="G724" s="42" t="str">
        <f>VLOOKUP(tabPontoPed[[#This Row],[GRUPO]],tabGrupos[#Data],3,FALSE)</f>
        <v>MEL</v>
      </c>
      <c r="H724" s="41" t="s">
        <v>1339</v>
      </c>
      <c r="I724" s="9">
        <v>4</v>
      </c>
      <c r="J724" s="51">
        <v>9</v>
      </c>
      <c r="K724" s="7">
        <f>tabPontoPed[[#This Row],[QTDMÊS]] * tabPontoPed[[#This Row],[MENSAL]]</f>
        <v>36</v>
      </c>
      <c r="L724" s="13" t="s">
        <v>1012</v>
      </c>
      <c r="M724" s="44"/>
      <c r="N724" s="45" t="str">
        <f>_xlfn.IFNA(IF(VLOOKUP(tabPontoPed[[#This Row],[CÓDIGO]],Excluir_do_Estoque!$A$4:$A$4004,1,FALSE),"sim",""),"")</f>
        <v/>
      </c>
      <c r="O724" s="10" t="str">
        <f t="shared" si="11"/>
        <v>*</v>
      </c>
    </row>
    <row r="725" spans="1:15" x14ac:dyDescent="0.25">
      <c r="A725" s="2">
        <v>111841</v>
      </c>
      <c r="B725" s="4" t="s">
        <v>643</v>
      </c>
      <c r="C725" s="41" t="s">
        <v>1345</v>
      </c>
      <c r="D725" s="42">
        <v>55</v>
      </c>
      <c r="E725" s="43">
        <v>30</v>
      </c>
      <c r="F725" s="50" t="str">
        <f>VLOOKUP(tabPontoPed[[#This Row],[GRUPO]],tabGrupos[#Data],2,FALSE)</f>
        <v>EQUIP. MAT. P/ GERACAO, TRANSM. DISTR. RETIF...</v>
      </c>
      <c r="G725" s="42" t="str">
        <f>VLOOKUP(tabPontoPed[[#This Row],[GRUPO]],tabGrupos[#Data],3,FALSE)</f>
        <v>MEL</v>
      </c>
      <c r="H725" s="41" t="s">
        <v>1339</v>
      </c>
      <c r="I725" s="9">
        <v>4</v>
      </c>
      <c r="J725" s="51">
        <v>0</v>
      </c>
      <c r="K725" s="7">
        <f>tabPontoPed[[#This Row],[QTDMÊS]] * tabPontoPed[[#This Row],[MENSAL]]</f>
        <v>0</v>
      </c>
      <c r="L725" s="13" t="s">
        <v>1012</v>
      </c>
      <c r="M725" s="44"/>
      <c r="N725" s="45" t="str">
        <f>_xlfn.IFNA(IF(VLOOKUP(tabPontoPed[[#This Row],[CÓDIGO]],Excluir_do_Estoque!$A$4:$A$4004,1,FALSE),"sim",""),"")</f>
        <v/>
      </c>
      <c r="O725" s="10" t="str">
        <f t="shared" si="11"/>
        <v>*</v>
      </c>
    </row>
    <row r="726" spans="1:15" x14ac:dyDescent="0.25">
      <c r="A726" s="2">
        <v>112064</v>
      </c>
      <c r="B726" s="4" t="s">
        <v>921</v>
      </c>
      <c r="C726" s="41" t="s">
        <v>1345</v>
      </c>
      <c r="D726" s="42">
        <v>70</v>
      </c>
      <c r="E726" s="43">
        <v>38</v>
      </c>
      <c r="F726" s="50" t="str">
        <f>VLOOKUP(tabPontoPed[[#This Row],[GRUPO]],tabGrupos[#Data],2,FALSE)</f>
        <v>FERRAMENTAS MAQ.FERRAMENTAS,ELETR.PECAS E ACESSORI</v>
      </c>
      <c r="G726" s="42" t="str">
        <f>VLOOKUP(tabPontoPed[[#This Row],[GRUPO]],tabGrupos[#Data],3,FALSE)</f>
        <v>MAN</v>
      </c>
      <c r="H726" s="41" t="s">
        <v>1339</v>
      </c>
      <c r="I726" s="9">
        <v>4</v>
      </c>
      <c r="J726" s="51">
        <v>1</v>
      </c>
      <c r="K726" s="7">
        <f>tabPontoPed[[#This Row],[QTDMÊS]] * tabPontoPed[[#This Row],[MENSAL]]</f>
        <v>4</v>
      </c>
      <c r="L726" s="13" t="s">
        <v>1012</v>
      </c>
      <c r="M726" s="44"/>
      <c r="N726" s="45" t="str">
        <f>_xlfn.IFNA(IF(VLOOKUP(tabPontoPed[[#This Row],[CÓDIGO]],Excluir_do_Estoque!$A$4:$A$4004,1,FALSE),"sim",""),"")</f>
        <v/>
      </c>
      <c r="O726" s="10" t="str">
        <f t="shared" si="11"/>
        <v>*</v>
      </c>
    </row>
    <row r="727" spans="1:15" x14ac:dyDescent="0.25">
      <c r="A727" s="2">
        <v>112109</v>
      </c>
      <c r="B727" s="4" t="s">
        <v>102</v>
      </c>
      <c r="C727" s="41" t="s">
        <v>1345</v>
      </c>
      <c r="D727" s="42">
        <v>72</v>
      </c>
      <c r="E727" s="43">
        <v>8</v>
      </c>
      <c r="F727" s="50" t="str">
        <f>VLOOKUP(tabPontoPed[[#This Row],[GRUPO]],tabGrupos[#Data],2,FALSE)</f>
        <v>MAQ.EQUIP.E MATERIAIS P/ HIGIEN.LIMP.POLIM.E LUBR.</v>
      </c>
      <c r="G727" s="42" t="str">
        <f>VLOOKUP(tabPontoPed[[#This Row],[GRUPO]],tabGrupos[#Data],3,FALSE)</f>
        <v>ADM</v>
      </c>
      <c r="H727" s="41" t="s">
        <v>1339</v>
      </c>
      <c r="I727" s="9">
        <v>4</v>
      </c>
      <c r="J727" s="51">
        <v>1250</v>
      </c>
      <c r="K727" s="7">
        <f>tabPontoPed[[#This Row],[QTDMÊS]] * tabPontoPed[[#This Row],[MENSAL]]</f>
        <v>5000</v>
      </c>
      <c r="L727" s="13" t="s">
        <v>1012</v>
      </c>
      <c r="M727" s="44"/>
      <c r="N727" s="45" t="str">
        <f>_xlfn.IFNA(IF(VLOOKUP(tabPontoPed[[#This Row],[CÓDIGO]],Excluir_do_Estoque!$A$4:$A$4004,1,FALSE),"sim",""),"")</f>
        <v/>
      </c>
      <c r="O727" s="10" t="str">
        <f t="shared" si="11"/>
        <v>*</v>
      </c>
    </row>
    <row r="728" spans="1:15" x14ac:dyDescent="0.25">
      <c r="A728" s="2">
        <v>112154</v>
      </c>
      <c r="B728" s="4" t="s">
        <v>139</v>
      </c>
      <c r="C728" s="41" t="s">
        <v>1345</v>
      </c>
      <c r="D728" s="42">
        <v>55</v>
      </c>
      <c r="E728" s="43">
        <v>37</v>
      </c>
      <c r="F728" s="50" t="str">
        <f>VLOOKUP(tabPontoPed[[#This Row],[GRUPO]],tabGrupos[#Data],2,FALSE)</f>
        <v>EQUIP. MAT. P/ GERACAO, TRANSM. DISTR. RETIF...</v>
      </c>
      <c r="G728" s="42" t="str">
        <f>VLOOKUP(tabPontoPed[[#This Row],[GRUPO]],tabGrupos[#Data],3,FALSE)</f>
        <v>MEL</v>
      </c>
      <c r="H728" s="41" t="s">
        <v>1339</v>
      </c>
      <c r="I728" s="9">
        <v>4</v>
      </c>
      <c r="J728" s="51">
        <v>16</v>
      </c>
      <c r="K728" s="7">
        <f>tabPontoPed[[#This Row],[QTDMÊS]] * tabPontoPed[[#This Row],[MENSAL]]</f>
        <v>64</v>
      </c>
      <c r="L728" s="13" t="s">
        <v>1012</v>
      </c>
      <c r="M728" s="44"/>
      <c r="N728" s="45" t="str">
        <f>_xlfn.IFNA(IF(VLOOKUP(tabPontoPed[[#This Row],[CÓDIGO]],Excluir_do_Estoque!$A$4:$A$4004,1,FALSE),"sim",""),"")</f>
        <v/>
      </c>
      <c r="O728" s="10" t="str">
        <f t="shared" si="11"/>
        <v>*</v>
      </c>
    </row>
    <row r="729" spans="1:15" x14ac:dyDescent="0.25">
      <c r="A729" s="2">
        <v>112155</v>
      </c>
      <c r="B729" s="4" t="s">
        <v>140</v>
      </c>
      <c r="C729" s="41" t="s">
        <v>1345</v>
      </c>
      <c r="D729" s="42">
        <v>55</v>
      </c>
      <c r="E729" s="43">
        <v>37</v>
      </c>
      <c r="F729" s="50" t="str">
        <f>VLOOKUP(tabPontoPed[[#This Row],[GRUPO]],tabGrupos[#Data],2,FALSE)</f>
        <v>EQUIP. MAT. P/ GERACAO, TRANSM. DISTR. RETIF...</v>
      </c>
      <c r="G729" s="42" t="str">
        <f>VLOOKUP(tabPontoPed[[#This Row],[GRUPO]],tabGrupos[#Data],3,FALSE)</f>
        <v>MEL</v>
      </c>
      <c r="H729" s="41" t="s">
        <v>1339</v>
      </c>
      <c r="I729" s="9">
        <v>4</v>
      </c>
      <c r="J729" s="51">
        <v>7</v>
      </c>
      <c r="K729" s="7">
        <f>tabPontoPed[[#This Row],[QTDMÊS]] * tabPontoPed[[#This Row],[MENSAL]]</f>
        <v>28</v>
      </c>
      <c r="L729" s="13" t="s">
        <v>1012</v>
      </c>
      <c r="M729" s="44"/>
      <c r="N729" s="45" t="str">
        <f>_xlfn.IFNA(IF(VLOOKUP(tabPontoPed[[#This Row],[CÓDIGO]],Excluir_do_Estoque!$A$4:$A$4004,1,FALSE),"sim",""),"")</f>
        <v/>
      </c>
      <c r="O729" s="10" t="str">
        <f t="shared" si="11"/>
        <v>*</v>
      </c>
    </row>
    <row r="730" spans="1:15" x14ac:dyDescent="0.25">
      <c r="A730" s="2">
        <v>112156</v>
      </c>
      <c r="B730" s="4" t="s">
        <v>677</v>
      </c>
      <c r="C730" s="41" t="s">
        <v>1345</v>
      </c>
      <c r="D730" s="42">
        <v>55</v>
      </c>
      <c r="E730" s="43">
        <v>37</v>
      </c>
      <c r="F730" s="50" t="str">
        <f>VLOOKUP(tabPontoPed[[#This Row],[GRUPO]],tabGrupos[#Data],2,FALSE)</f>
        <v>EQUIP. MAT. P/ GERACAO, TRANSM. DISTR. RETIF...</v>
      </c>
      <c r="G730" s="42" t="str">
        <f>VLOOKUP(tabPontoPed[[#This Row],[GRUPO]],tabGrupos[#Data],3,FALSE)</f>
        <v>MEL</v>
      </c>
      <c r="H730" s="41" t="s">
        <v>1339</v>
      </c>
      <c r="I730" s="9">
        <v>4</v>
      </c>
      <c r="J730" s="51">
        <v>22</v>
      </c>
      <c r="K730" s="7">
        <f>tabPontoPed[[#This Row],[QTDMÊS]] * tabPontoPed[[#This Row],[MENSAL]]</f>
        <v>88</v>
      </c>
      <c r="L730" s="13" t="s">
        <v>1012</v>
      </c>
      <c r="M730" s="44"/>
      <c r="N730" s="45" t="str">
        <f>_xlfn.IFNA(IF(VLOOKUP(tabPontoPed[[#This Row],[CÓDIGO]],Excluir_do_Estoque!$A$4:$A$4004,1,FALSE),"sim",""),"")</f>
        <v/>
      </c>
      <c r="O730" s="10" t="str">
        <f t="shared" si="11"/>
        <v>*</v>
      </c>
    </row>
    <row r="731" spans="1:15" x14ac:dyDescent="0.25">
      <c r="A731" s="2">
        <v>112157</v>
      </c>
      <c r="B731" s="4" t="s">
        <v>141</v>
      </c>
      <c r="C731" s="41" t="s">
        <v>1345</v>
      </c>
      <c r="D731" s="42">
        <v>55</v>
      </c>
      <c r="E731" s="43">
        <v>37</v>
      </c>
      <c r="F731" s="50" t="str">
        <f>VLOOKUP(tabPontoPed[[#This Row],[GRUPO]],tabGrupos[#Data],2,FALSE)</f>
        <v>EQUIP. MAT. P/ GERACAO, TRANSM. DISTR. RETIF...</v>
      </c>
      <c r="G731" s="42" t="str">
        <f>VLOOKUP(tabPontoPed[[#This Row],[GRUPO]],tabGrupos[#Data],3,FALSE)</f>
        <v>MEL</v>
      </c>
      <c r="H731" s="41" t="s">
        <v>1339</v>
      </c>
      <c r="I731" s="9">
        <v>4</v>
      </c>
      <c r="J731" s="51">
        <v>1</v>
      </c>
      <c r="K731" s="7">
        <f>tabPontoPed[[#This Row],[QTDMÊS]] * tabPontoPed[[#This Row],[MENSAL]]</f>
        <v>4</v>
      </c>
      <c r="L731" s="13" t="s">
        <v>1012</v>
      </c>
      <c r="M731" s="44"/>
      <c r="N731" s="45" t="str">
        <f>_xlfn.IFNA(IF(VLOOKUP(tabPontoPed[[#This Row],[CÓDIGO]],Excluir_do_Estoque!$A$4:$A$4004,1,FALSE),"sim",""),"")</f>
        <v/>
      </c>
      <c r="O731" s="10" t="str">
        <f t="shared" si="11"/>
        <v>*</v>
      </c>
    </row>
    <row r="732" spans="1:15" x14ac:dyDescent="0.25">
      <c r="A732" s="2">
        <v>112158</v>
      </c>
      <c r="B732" s="4" t="s">
        <v>106</v>
      </c>
      <c r="C732" s="41" t="s">
        <v>1345</v>
      </c>
      <c r="D732" s="42">
        <v>55</v>
      </c>
      <c r="E732" s="43">
        <v>7</v>
      </c>
      <c r="F732" s="50" t="str">
        <f>VLOOKUP(tabPontoPed[[#This Row],[GRUPO]],tabGrupos[#Data],2,FALSE)</f>
        <v>EQUIP. MAT. P/ GERACAO, TRANSM. DISTR. RETIF...</v>
      </c>
      <c r="G732" s="42" t="str">
        <f>VLOOKUP(tabPontoPed[[#This Row],[GRUPO]],tabGrupos[#Data],3,FALSE)</f>
        <v>MEL</v>
      </c>
      <c r="H732" s="41" t="s">
        <v>1339</v>
      </c>
      <c r="I732" s="9">
        <v>4</v>
      </c>
      <c r="J732" s="51">
        <v>10</v>
      </c>
      <c r="K732" s="7">
        <f>tabPontoPed[[#This Row],[QTDMÊS]] * tabPontoPed[[#This Row],[MENSAL]]</f>
        <v>40</v>
      </c>
      <c r="L732" s="13" t="s">
        <v>1012</v>
      </c>
      <c r="M732" s="44"/>
      <c r="N732" s="45" t="str">
        <f>_xlfn.IFNA(IF(VLOOKUP(tabPontoPed[[#This Row],[CÓDIGO]],Excluir_do_Estoque!$A$4:$A$4004,1,FALSE),"sim",""),"")</f>
        <v/>
      </c>
      <c r="O732" s="10" t="str">
        <f t="shared" si="11"/>
        <v>*</v>
      </c>
    </row>
    <row r="733" spans="1:15" x14ac:dyDescent="0.25">
      <c r="A733" s="2">
        <v>112159</v>
      </c>
      <c r="B733" s="4" t="s">
        <v>107</v>
      </c>
      <c r="C733" s="41" t="s">
        <v>1345</v>
      </c>
      <c r="D733" s="42">
        <v>55</v>
      </c>
      <c r="E733" s="43">
        <v>7</v>
      </c>
      <c r="F733" s="50" t="str">
        <f>VLOOKUP(tabPontoPed[[#This Row],[GRUPO]],tabGrupos[#Data],2,FALSE)</f>
        <v>EQUIP. MAT. P/ GERACAO, TRANSM. DISTR. RETIF...</v>
      </c>
      <c r="G733" s="42" t="str">
        <f>VLOOKUP(tabPontoPed[[#This Row],[GRUPO]],tabGrupos[#Data],3,FALSE)</f>
        <v>MEL</v>
      </c>
      <c r="H733" s="41" t="s">
        <v>1339</v>
      </c>
      <c r="I733" s="9">
        <v>4</v>
      </c>
      <c r="J733" s="51">
        <v>2</v>
      </c>
      <c r="K733" s="7">
        <f>tabPontoPed[[#This Row],[QTDMÊS]] * tabPontoPed[[#This Row],[MENSAL]]</f>
        <v>8</v>
      </c>
      <c r="L733" s="13" t="s">
        <v>1012</v>
      </c>
      <c r="M733" s="44"/>
      <c r="N733" s="45" t="str">
        <f>_xlfn.IFNA(IF(VLOOKUP(tabPontoPed[[#This Row],[CÓDIGO]],Excluir_do_Estoque!$A$4:$A$4004,1,FALSE),"sim",""),"")</f>
        <v/>
      </c>
      <c r="O733" s="10" t="str">
        <f t="shared" si="11"/>
        <v>*</v>
      </c>
    </row>
    <row r="734" spans="1:15" x14ac:dyDescent="0.25">
      <c r="A734" s="2">
        <v>112160</v>
      </c>
      <c r="B734" s="4" t="s">
        <v>16</v>
      </c>
      <c r="C734" s="41" t="s">
        <v>1345</v>
      </c>
      <c r="D734" s="42">
        <v>55</v>
      </c>
      <c r="E734" s="43">
        <v>7</v>
      </c>
      <c r="F734" s="50" t="str">
        <f>VLOOKUP(tabPontoPed[[#This Row],[GRUPO]],tabGrupos[#Data],2,FALSE)</f>
        <v>EQUIP. MAT. P/ GERACAO, TRANSM. DISTR. RETIF...</v>
      </c>
      <c r="G734" s="42" t="str">
        <f>VLOOKUP(tabPontoPed[[#This Row],[GRUPO]],tabGrupos[#Data],3,FALSE)</f>
        <v>MEL</v>
      </c>
      <c r="H734" s="41" t="s">
        <v>1339</v>
      </c>
      <c r="I734" s="9">
        <v>4</v>
      </c>
      <c r="J734" s="51">
        <v>0</v>
      </c>
      <c r="K734" s="7">
        <f>tabPontoPed[[#This Row],[QTDMÊS]] * tabPontoPed[[#This Row],[MENSAL]]</f>
        <v>0</v>
      </c>
      <c r="L734" s="13" t="s">
        <v>1012</v>
      </c>
      <c r="M734" s="44"/>
      <c r="N734" s="45" t="str">
        <f>_xlfn.IFNA(IF(VLOOKUP(tabPontoPed[[#This Row],[CÓDIGO]],Excluir_do_Estoque!$A$4:$A$4004,1,FALSE),"sim",""),"")</f>
        <v/>
      </c>
      <c r="O734" s="10" t="str">
        <f t="shared" si="11"/>
        <v>*</v>
      </c>
    </row>
    <row r="735" spans="1:15" x14ac:dyDescent="0.25">
      <c r="A735" s="2">
        <v>112162</v>
      </c>
      <c r="B735" s="4" t="s">
        <v>17</v>
      </c>
      <c r="C735" s="41" t="s">
        <v>1345</v>
      </c>
      <c r="D735" s="42">
        <v>55</v>
      </c>
      <c r="E735" s="43">
        <v>7</v>
      </c>
      <c r="F735" s="50" t="str">
        <f>VLOOKUP(tabPontoPed[[#This Row],[GRUPO]],tabGrupos[#Data],2,FALSE)</f>
        <v>EQUIP. MAT. P/ GERACAO, TRANSM. DISTR. RETIF...</v>
      </c>
      <c r="G735" s="42" t="str">
        <f>VLOOKUP(tabPontoPed[[#This Row],[GRUPO]],tabGrupos[#Data],3,FALSE)</f>
        <v>MEL</v>
      </c>
      <c r="H735" s="41" t="s">
        <v>1339</v>
      </c>
      <c r="I735" s="9">
        <v>4</v>
      </c>
      <c r="J735" s="51">
        <v>15</v>
      </c>
      <c r="K735" s="7">
        <f>tabPontoPed[[#This Row],[QTDMÊS]] * tabPontoPed[[#This Row],[MENSAL]]</f>
        <v>60</v>
      </c>
      <c r="L735" s="13" t="s">
        <v>1012</v>
      </c>
      <c r="M735" s="44"/>
      <c r="N735" s="45" t="str">
        <f>_xlfn.IFNA(IF(VLOOKUP(tabPontoPed[[#This Row],[CÓDIGO]],Excluir_do_Estoque!$A$4:$A$4004,1,FALSE),"sim",""),"")</f>
        <v/>
      </c>
      <c r="O735" s="10" t="str">
        <f t="shared" si="11"/>
        <v>*</v>
      </c>
    </row>
    <row r="736" spans="1:15" x14ac:dyDescent="0.25">
      <c r="A736" s="2">
        <v>112163</v>
      </c>
      <c r="B736" s="4" t="s">
        <v>18</v>
      </c>
      <c r="C736" s="41" t="s">
        <v>1345</v>
      </c>
      <c r="D736" s="42">
        <v>55</v>
      </c>
      <c r="E736" s="43">
        <v>7</v>
      </c>
      <c r="F736" s="50" t="str">
        <f>VLOOKUP(tabPontoPed[[#This Row],[GRUPO]],tabGrupos[#Data],2,FALSE)</f>
        <v>EQUIP. MAT. P/ GERACAO, TRANSM. DISTR. RETIF...</v>
      </c>
      <c r="G736" s="42" t="str">
        <f>VLOOKUP(tabPontoPed[[#This Row],[GRUPO]],tabGrupos[#Data],3,FALSE)</f>
        <v>MEL</v>
      </c>
      <c r="H736" s="41" t="s">
        <v>1339</v>
      </c>
      <c r="I736" s="9">
        <v>4</v>
      </c>
      <c r="J736" s="51">
        <v>24</v>
      </c>
      <c r="K736" s="7">
        <f>tabPontoPed[[#This Row],[QTDMÊS]] * tabPontoPed[[#This Row],[MENSAL]]</f>
        <v>96</v>
      </c>
      <c r="L736" s="13" t="s">
        <v>1012</v>
      </c>
      <c r="M736" s="44"/>
      <c r="N736" s="45" t="str">
        <f>_xlfn.IFNA(IF(VLOOKUP(tabPontoPed[[#This Row],[CÓDIGO]],Excluir_do_Estoque!$A$4:$A$4004,1,FALSE),"sim",""),"")</f>
        <v/>
      </c>
      <c r="O736" s="10" t="str">
        <f t="shared" si="11"/>
        <v>*</v>
      </c>
    </row>
    <row r="737" spans="1:15" x14ac:dyDescent="0.25">
      <c r="A737" s="2">
        <v>112494</v>
      </c>
      <c r="B737" s="4" t="s">
        <v>675</v>
      </c>
      <c r="C737" s="41" t="s">
        <v>1345</v>
      </c>
      <c r="D737" s="42">
        <v>55</v>
      </c>
      <c r="E737" s="43">
        <v>35</v>
      </c>
      <c r="F737" s="50" t="str">
        <f>VLOOKUP(tabPontoPed[[#This Row],[GRUPO]],tabGrupos[#Data],2,FALSE)</f>
        <v>EQUIP. MAT. P/ GERACAO, TRANSM. DISTR. RETIF...</v>
      </c>
      <c r="G737" s="42" t="str">
        <f>VLOOKUP(tabPontoPed[[#This Row],[GRUPO]],tabGrupos[#Data],3,FALSE)</f>
        <v>MEL</v>
      </c>
      <c r="H737" s="41" t="s">
        <v>1339</v>
      </c>
      <c r="I737" s="9">
        <v>4</v>
      </c>
      <c r="J737" s="51">
        <v>2</v>
      </c>
      <c r="K737" s="7">
        <f>tabPontoPed[[#This Row],[QTDMÊS]] * tabPontoPed[[#This Row],[MENSAL]]</f>
        <v>8</v>
      </c>
      <c r="L737" s="13" t="s">
        <v>1012</v>
      </c>
      <c r="M737" s="44"/>
      <c r="N737" s="45" t="str">
        <f>_xlfn.IFNA(IF(VLOOKUP(tabPontoPed[[#This Row],[CÓDIGO]],Excluir_do_Estoque!$A$4:$A$4004,1,FALSE),"sim",""),"")</f>
        <v/>
      </c>
      <c r="O737" s="10" t="str">
        <f t="shared" si="11"/>
        <v>*</v>
      </c>
    </row>
    <row r="738" spans="1:15" x14ac:dyDescent="0.25">
      <c r="A738" s="2">
        <v>112965</v>
      </c>
      <c r="B738" s="4" t="s">
        <v>113</v>
      </c>
      <c r="C738" s="41" t="s">
        <v>1345</v>
      </c>
      <c r="D738" s="42">
        <v>55</v>
      </c>
      <c r="E738" s="43">
        <v>19</v>
      </c>
      <c r="F738" s="50" t="str">
        <f>VLOOKUP(tabPontoPed[[#This Row],[GRUPO]],tabGrupos[#Data],2,FALSE)</f>
        <v>EQUIP. MAT. P/ GERACAO, TRANSM. DISTR. RETIF...</v>
      </c>
      <c r="G738" s="42" t="str">
        <f>VLOOKUP(tabPontoPed[[#This Row],[GRUPO]],tabGrupos[#Data],3,FALSE)</f>
        <v>MEL</v>
      </c>
      <c r="H738" s="41" t="s">
        <v>1339</v>
      </c>
      <c r="I738" s="9">
        <v>4</v>
      </c>
      <c r="J738" s="51">
        <v>21</v>
      </c>
      <c r="K738" s="7">
        <f>tabPontoPed[[#This Row],[QTDMÊS]] * tabPontoPed[[#This Row],[MENSAL]]</f>
        <v>84</v>
      </c>
      <c r="L738" s="13" t="s">
        <v>1012</v>
      </c>
      <c r="M738" s="44"/>
      <c r="N738" s="45" t="str">
        <f>_xlfn.IFNA(IF(VLOOKUP(tabPontoPed[[#This Row],[CÓDIGO]],Excluir_do_Estoque!$A$4:$A$4004,1,FALSE),"sim",""),"")</f>
        <v/>
      </c>
      <c r="O738" s="10" t="str">
        <f t="shared" si="11"/>
        <v>*</v>
      </c>
    </row>
    <row r="739" spans="1:15" x14ac:dyDescent="0.25">
      <c r="A739" s="2">
        <v>113238</v>
      </c>
      <c r="B739" s="4" t="s">
        <v>640</v>
      </c>
      <c r="C739" s="41" t="s">
        <v>1345</v>
      </c>
      <c r="D739" s="42">
        <v>55</v>
      </c>
      <c r="E739" s="43">
        <v>27</v>
      </c>
      <c r="F739" s="50" t="str">
        <f>VLOOKUP(tabPontoPed[[#This Row],[GRUPO]],tabGrupos[#Data],2,FALSE)</f>
        <v>EQUIP. MAT. P/ GERACAO, TRANSM. DISTR. RETIF...</v>
      </c>
      <c r="G739" s="42" t="str">
        <f>VLOOKUP(tabPontoPed[[#This Row],[GRUPO]],tabGrupos[#Data],3,FALSE)</f>
        <v>MEL</v>
      </c>
      <c r="H739" s="41" t="s">
        <v>1339</v>
      </c>
      <c r="I739" s="9">
        <v>4</v>
      </c>
      <c r="J739" s="51">
        <v>1</v>
      </c>
      <c r="K739" s="7">
        <f>tabPontoPed[[#This Row],[QTDMÊS]] * tabPontoPed[[#This Row],[MENSAL]]</f>
        <v>4</v>
      </c>
      <c r="L739" s="13" t="s">
        <v>1012</v>
      </c>
      <c r="M739" s="44"/>
      <c r="N739" s="45" t="str">
        <f>_xlfn.IFNA(IF(VLOOKUP(tabPontoPed[[#This Row],[CÓDIGO]],Excluir_do_Estoque!$A$4:$A$4004,1,FALSE),"sim",""),"")</f>
        <v/>
      </c>
      <c r="O739" s="10" t="str">
        <f t="shared" si="11"/>
        <v>*</v>
      </c>
    </row>
    <row r="740" spans="1:15" x14ac:dyDescent="0.25">
      <c r="A740" s="2">
        <v>113242</v>
      </c>
      <c r="B740" s="4" t="s">
        <v>676</v>
      </c>
      <c r="C740" s="41" t="s">
        <v>1345</v>
      </c>
      <c r="D740" s="42">
        <v>55</v>
      </c>
      <c r="E740" s="43">
        <v>35</v>
      </c>
      <c r="F740" s="50" t="str">
        <f>VLOOKUP(tabPontoPed[[#This Row],[GRUPO]],tabGrupos[#Data],2,FALSE)</f>
        <v>EQUIP. MAT. P/ GERACAO, TRANSM. DISTR. RETIF...</v>
      </c>
      <c r="G740" s="42" t="str">
        <f>VLOOKUP(tabPontoPed[[#This Row],[GRUPO]],tabGrupos[#Data],3,FALSE)</f>
        <v>MEL</v>
      </c>
      <c r="H740" s="41" t="s">
        <v>1339</v>
      </c>
      <c r="I740" s="9">
        <v>4</v>
      </c>
      <c r="J740" s="51">
        <v>1</v>
      </c>
      <c r="K740" s="7">
        <f>tabPontoPed[[#This Row],[QTDMÊS]] * tabPontoPed[[#This Row],[MENSAL]]</f>
        <v>4</v>
      </c>
      <c r="L740" s="13" t="s">
        <v>1012</v>
      </c>
      <c r="M740" s="44"/>
      <c r="N740" s="45" t="str">
        <f>_xlfn.IFNA(IF(VLOOKUP(tabPontoPed[[#This Row],[CÓDIGO]],Excluir_do_Estoque!$A$4:$A$4004,1,FALSE),"sim",""),"")</f>
        <v/>
      </c>
      <c r="O740" s="10" t="str">
        <f t="shared" si="11"/>
        <v>*</v>
      </c>
    </row>
    <row r="741" spans="1:15" x14ac:dyDescent="0.25">
      <c r="A741" s="2">
        <v>113581</v>
      </c>
      <c r="B741" s="4" t="s">
        <v>325</v>
      </c>
      <c r="C741" s="41" t="s">
        <v>1345</v>
      </c>
      <c r="D741" s="42">
        <v>61</v>
      </c>
      <c r="E741" s="43">
        <v>15</v>
      </c>
      <c r="F741" s="50" t="str">
        <f>VLOOKUP(tabPontoPed[[#This Row],[GRUPO]],tabGrupos[#Data],2,FALSE)</f>
        <v>MATERIAL HIDRAULICO, CANOS, TUBOS, MANGUEIRAS, CONEXOES E ACESS.</v>
      </c>
      <c r="G741" s="42" t="str">
        <f>VLOOKUP(tabPontoPed[[#This Row],[GRUPO]],tabGrupos[#Data],3,FALSE)</f>
        <v>MHI</v>
      </c>
      <c r="H741" s="41" t="s">
        <v>1339</v>
      </c>
      <c r="I741" s="9">
        <v>4</v>
      </c>
      <c r="J741" s="51">
        <v>5</v>
      </c>
      <c r="K741" s="7">
        <f>tabPontoPed[[#This Row],[QTDMÊS]] * tabPontoPed[[#This Row],[MENSAL]]</f>
        <v>20</v>
      </c>
      <c r="L741" s="13" t="s">
        <v>1012</v>
      </c>
      <c r="M741" s="44"/>
      <c r="N741" s="45" t="str">
        <f>_xlfn.IFNA(IF(VLOOKUP(tabPontoPed[[#This Row],[CÓDIGO]],Excluir_do_Estoque!$A$4:$A$4004,1,FALSE),"sim",""),"")</f>
        <v/>
      </c>
      <c r="O741" s="10" t="str">
        <f t="shared" si="11"/>
        <v>*</v>
      </c>
    </row>
    <row r="742" spans="1:15" x14ac:dyDescent="0.25">
      <c r="A742" s="2">
        <v>113611</v>
      </c>
      <c r="B742" s="4" t="s">
        <v>565</v>
      </c>
      <c r="C742" s="41" t="s">
        <v>1345</v>
      </c>
      <c r="D742" s="42">
        <v>51</v>
      </c>
      <c r="E742" s="43">
        <v>37</v>
      </c>
      <c r="F742" s="50" t="str">
        <f>VLOOKUP(tabPontoPed[[#This Row],[GRUPO]],tabGrupos[#Data],2,FALSE)</f>
        <v>MAT.E EQUIP. P/ CONSTR.CIVIL E CONSERV. DE VIAS PUBL.</v>
      </c>
      <c r="G742" s="42" t="str">
        <f>VLOOKUP(tabPontoPed[[#This Row],[GRUPO]],tabGrupos[#Data],3,FALSE)</f>
        <v>MCO</v>
      </c>
      <c r="H742" s="41" t="s">
        <v>1339</v>
      </c>
      <c r="I742" s="9">
        <v>4</v>
      </c>
      <c r="J742" s="51">
        <v>23</v>
      </c>
      <c r="K742" s="7">
        <f>tabPontoPed[[#This Row],[QTDMÊS]] * tabPontoPed[[#This Row],[MENSAL]]</f>
        <v>92</v>
      </c>
      <c r="L742" s="13" t="s">
        <v>1012</v>
      </c>
      <c r="M742" s="44"/>
      <c r="N742" s="45" t="str">
        <f>_xlfn.IFNA(IF(VLOOKUP(tabPontoPed[[#This Row],[CÓDIGO]],Excluir_do_Estoque!$A$4:$A$4004,1,FALSE),"sim",""),"")</f>
        <v/>
      </c>
      <c r="O742" s="10" t="str">
        <f t="shared" si="11"/>
        <v>*</v>
      </c>
    </row>
    <row r="743" spans="1:15" x14ac:dyDescent="0.25">
      <c r="A743" s="2">
        <v>113634</v>
      </c>
      <c r="B743" s="4" t="s">
        <v>645</v>
      </c>
      <c r="C743" s="41" t="s">
        <v>1345</v>
      </c>
      <c r="D743" s="42">
        <v>55</v>
      </c>
      <c r="E743" s="43">
        <v>31</v>
      </c>
      <c r="F743" s="50" t="str">
        <f>VLOOKUP(tabPontoPed[[#This Row],[GRUPO]],tabGrupos[#Data],2,FALSE)</f>
        <v>EQUIP. MAT. P/ GERACAO, TRANSM. DISTR. RETIF...</v>
      </c>
      <c r="G743" s="42" t="str">
        <f>VLOOKUP(tabPontoPed[[#This Row],[GRUPO]],tabGrupos[#Data],3,FALSE)</f>
        <v>MEL</v>
      </c>
      <c r="H743" s="41" t="s">
        <v>1339</v>
      </c>
      <c r="I743" s="9">
        <v>4</v>
      </c>
      <c r="J743" s="51">
        <v>1</v>
      </c>
      <c r="K743" s="7">
        <f>tabPontoPed[[#This Row],[QTDMÊS]] * tabPontoPed[[#This Row],[MENSAL]]</f>
        <v>4</v>
      </c>
      <c r="L743" s="13" t="s">
        <v>1012</v>
      </c>
      <c r="M743" s="44"/>
      <c r="N743" s="45" t="str">
        <f>_xlfn.IFNA(IF(VLOOKUP(tabPontoPed[[#This Row],[CÓDIGO]],Excluir_do_Estoque!$A$4:$A$4004,1,FALSE),"sim",""),"")</f>
        <v/>
      </c>
      <c r="O743" s="10" t="str">
        <f t="shared" si="11"/>
        <v>*</v>
      </c>
    </row>
    <row r="744" spans="1:15" x14ac:dyDescent="0.25">
      <c r="A744" s="2">
        <v>113846</v>
      </c>
      <c r="B744" s="4" t="s">
        <v>276</v>
      </c>
      <c r="C744" s="41" t="s">
        <v>1345</v>
      </c>
      <c r="D744" s="42">
        <v>51</v>
      </c>
      <c r="E744" s="43">
        <v>19</v>
      </c>
      <c r="F744" s="50" t="str">
        <f>VLOOKUP(tabPontoPed[[#This Row],[GRUPO]],tabGrupos[#Data],2,FALSE)</f>
        <v>MAT.E EQUIP. P/ CONSTR.CIVIL E CONSERV. DE VIAS PUBL.</v>
      </c>
      <c r="G744" s="42" t="str">
        <f>VLOOKUP(tabPontoPed[[#This Row],[GRUPO]],tabGrupos[#Data],3,FALSE)</f>
        <v>MCO</v>
      </c>
      <c r="H744" s="41" t="s">
        <v>1339</v>
      </c>
      <c r="I744" s="9">
        <v>4</v>
      </c>
      <c r="J744" s="51">
        <v>72</v>
      </c>
      <c r="K744" s="7">
        <f>tabPontoPed[[#This Row],[QTDMÊS]] * tabPontoPed[[#This Row],[MENSAL]]</f>
        <v>288</v>
      </c>
      <c r="L744" s="13" t="s">
        <v>1012</v>
      </c>
      <c r="M744" s="44"/>
      <c r="N744" s="45" t="str">
        <f>_xlfn.IFNA(IF(VLOOKUP(tabPontoPed[[#This Row],[CÓDIGO]],Excluir_do_Estoque!$A$4:$A$4004,1,FALSE),"sim",""),"")</f>
        <v/>
      </c>
      <c r="O744" s="10" t="str">
        <f t="shared" si="11"/>
        <v>*</v>
      </c>
    </row>
    <row r="745" spans="1:15" x14ac:dyDescent="0.25">
      <c r="A745" s="2">
        <v>114255</v>
      </c>
      <c r="B745" s="4" t="s">
        <v>533</v>
      </c>
      <c r="C745" s="41" t="s">
        <v>1345</v>
      </c>
      <c r="D745" s="42">
        <v>51</v>
      </c>
      <c r="E745" s="43">
        <v>21</v>
      </c>
      <c r="F745" s="50" t="str">
        <f>VLOOKUP(tabPontoPed[[#This Row],[GRUPO]],tabGrupos[#Data],2,FALSE)</f>
        <v>MAT.E EQUIP. P/ CONSTR.CIVIL E CONSERV. DE VIAS PUBL.</v>
      </c>
      <c r="G745" s="42" t="str">
        <f>VLOOKUP(tabPontoPed[[#This Row],[GRUPO]],tabGrupos[#Data],3,FALSE)</f>
        <v>MCO</v>
      </c>
      <c r="H745" s="41" t="s">
        <v>1339</v>
      </c>
      <c r="I745" s="9">
        <v>4</v>
      </c>
      <c r="J745" s="51">
        <v>27</v>
      </c>
      <c r="K745" s="7">
        <f>tabPontoPed[[#This Row],[QTDMÊS]] * tabPontoPed[[#This Row],[MENSAL]]</f>
        <v>108</v>
      </c>
      <c r="L745" s="13" t="s">
        <v>1012</v>
      </c>
      <c r="M745" s="44"/>
      <c r="N745" s="45" t="str">
        <f>_xlfn.IFNA(IF(VLOOKUP(tabPontoPed[[#This Row],[CÓDIGO]],Excluir_do_Estoque!$A$4:$A$4004,1,FALSE),"sim",""),"")</f>
        <v/>
      </c>
      <c r="O745" s="10" t="str">
        <f t="shared" si="11"/>
        <v>*</v>
      </c>
    </row>
    <row r="746" spans="1:15" x14ac:dyDescent="0.25">
      <c r="A746" s="2">
        <v>114297</v>
      </c>
      <c r="B746" s="4" t="s">
        <v>529</v>
      </c>
      <c r="C746" s="41" t="s">
        <v>1345</v>
      </c>
      <c r="D746" s="42">
        <v>51</v>
      </c>
      <c r="E746" s="43">
        <v>17</v>
      </c>
      <c r="F746" s="50" t="str">
        <f>VLOOKUP(tabPontoPed[[#This Row],[GRUPO]],tabGrupos[#Data],2,FALSE)</f>
        <v>MAT.E EQUIP. P/ CONSTR.CIVIL E CONSERV. DE VIAS PUBL.</v>
      </c>
      <c r="G746" s="42" t="str">
        <f>VLOOKUP(tabPontoPed[[#This Row],[GRUPO]],tabGrupos[#Data],3,FALSE)</f>
        <v>MCO</v>
      </c>
      <c r="H746" s="41" t="s">
        <v>1339</v>
      </c>
      <c r="I746" s="9">
        <v>4</v>
      </c>
      <c r="J746" s="51">
        <v>5</v>
      </c>
      <c r="K746" s="7">
        <f>tabPontoPed[[#This Row],[QTDMÊS]] * tabPontoPed[[#This Row],[MENSAL]]</f>
        <v>20</v>
      </c>
      <c r="L746" s="13" t="s">
        <v>1012</v>
      </c>
      <c r="M746" s="44"/>
      <c r="N746" s="45" t="str">
        <f>_xlfn.IFNA(IF(VLOOKUP(tabPontoPed[[#This Row],[CÓDIGO]],Excluir_do_Estoque!$A$4:$A$4004,1,FALSE),"sim",""),"")</f>
        <v/>
      </c>
      <c r="O746" s="10" t="str">
        <f t="shared" si="11"/>
        <v>*</v>
      </c>
    </row>
    <row r="747" spans="1:15" x14ac:dyDescent="0.25">
      <c r="A747" s="2">
        <v>114299</v>
      </c>
      <c r="B747" s="4" t="s">
        <v>530</v>
      </c>
      <c r="C747" s="41" t="s">
        <v>1345</v>
      </c>
      <c r="D747" s="42">
        <v>51</v>
      </c>
      <c r="E747" s="43">
        <v>17</v>
      </c>
      <c r="F747" s="50" t="str">
        <f>VLOOKUP(tabPontoPed[[#This Row],[GRUPO]],tabGrupos[#Data],2,FALSE)</f>
        <v>MAT.E EQUIP. P/ CONSTR.CIVIL E CONSERV. DE VIAS PUBL.</v>
      </c>
      <c r="G747" s="42" t="str">
        <f>VLOOKUP(tabPontoPed[[#This Row],[GRUPO]],tabGrupos[#Data],3,FALSE)</f>
        <v>MCO</v>
      </c>
      <c r="H747" s="41" t="s">
        <v>1339</v>
      </c>
      <c r="I747" s="9">
        <v>4</v>
      </c>
      <c r="J747" s="51">
        <v>0</v>
      </c>
      <c r="K747" s="7">
        <f>tabPontoPed[[#This Row],[QTDMÊS]] * tabPontoPed[[#This Row],[MENSAL]]</f>
        <v>0</v>
      </c>
      <c r="L747" s="13" t="s">
        <v>1012</v>
      </c>
      <c r="M747" s="44"/>
      <c r="N747" s="45" t="str">
        <f>_xlfn.IFNA(IF(VLOOKUP(tabPontoPed[[#This Row],[CÓDIGO]],Excluir_do_Estoque!$A$4:$A$4004,1,FALSE),"sim",""),"")</f>
        <v/>
      </c>
      <c r="O747" s="10" t="str">
        <f t="shared" si="11"/>
        <v>*</v>
      </c>
    </row>
    <row r="748" spans="1:15" x14ac:dyDescent="0.25">
      <c r="A748" s="2">
        <v>114430</v>
      </c>
      <c r="B748" s="4" t="s">
        <v>185</v>
      </c>
      <c r="C748" s="41" t="s">
        <v>1345</v>
      </c>
      <c r="D748" s="42">
        <v>62</v>
      </c>
      <c r="E748" s="43">
        <v>25</v>
      </c>
      <c r="F748" s="50" t="str">
        <f>VLOOKUP(tabPontoPed[[#This Row],[GRUPO]],tabGrupos[#Data],2,FALSE)</f>
        <v>VEST., ART.P/ TOUC.E HIG. PES. MAQ., EQUIP., MAT.E ACES.</v>
      </c>
      <c r="G748" s="42" t="str">
        <f>VLOOKUP(tabPontoPed[[#This Row],[GRUPO]],tabGrupos[#Data],3,FALSE)</f>
        <v>ADM</v>
      </c>
      <c r="H748" s="41" t="s">
        <v>1339</v>
      </c>
      <c r="I748" s="9">
        <v>4</v>
      </c>
      <c r="J748" s="51">
        <v>22</v>
      </c>
      <c r="K748" s="7">
        <f>tabPontoPed[[#This Row],[QTDMÊS]] * tabPontoPed[[#This Row],[MENSAL]]</f>
        <v>88</v>
      </c>
      <c r="L748" s="13" t="s">
        <v>1012</v>
      </c>
      <c r="M748" s="44"/>
      <c r="N748" s="45" t="str">
        <f>_xlfn.IFNA(IF(VLOOKUP(tabPontoPed[[#This Row],[CÓDIGO]],Excluir_do_Estoque!$A$4:$A$4004,1,FALSE),"sim",""),"")</f>
        <v/>
      </c>
      <c r="O748" s="10" t="str">
        <f t="shared" si="11"/>
        <v>*</v>
      </c>
    </row>
    <row r="749" spans="1:15" x14ac:dyDescent="0.25">
      <c r="A749" s="2">
        <v>114771</v>
      </c>
      <c r="B749" s="4" t="s">
        <v>646</v>
      </c>
      <c r="C749" s="41" t="s">
        <v>1345</v>
      </c>
      <c r="D749" s="42">
        <v>55</v>
      </c>
      <c r="E749" s="43">
        <v>31</v>
      </c>
      <c r="F749" s="50" t="str">
        <f>VLOOKUP(tabPontoPed[[#This Row],[GRUPO]],tabGrupos[#Data],2,FALSE)</f>
        <v>EQUIP. MAT. P/ GERACAO, TRANSM. DISTR. RETIF...</v>
      </c>
      <c r="G749" s="42" t="str">
        <f>VLOOKUP(tabPontoPed[[#This Row],[GRUPO]],tabGrupos[#Data],3,FALSE)</f>
        <v>MEL</v>
      </c>
      <c r="H749" s="41" t="s">
        <v>1339</v>
      </c>
      <c r="I749" s="9">
        <v>4</v>
      </c>
      <c r="J749" s="51">
        <v>0</v>
      </c>
      <c r="K749" s="7">
        <f>tabPontoPed[[#This Row],[QTDMÊS]] * tabPontoPed[[#This Row],[MENSAL]]</f>
        <v>0</v>
      </c>
      <c r="L749" s="13" t="s">
        <v>1012</v>
      </c>
      <c r="M749" s="44"/>
      <c r="N749" s="45" t="str">
        <f>_xlfn.IFNA(IF(VLOOKUP(tabPontoPed[[#This Row],[CÓDIGO]],Excluir_do_Estoque!$A$4:$A$4004,1,FALSE),"sim",""),"")</f>
        <v/>
      </c>
      <c r="O749" s="10" t="str">
        <f t="shared" si="11"/>
        <v>*</v>
      </c>
    </row>
    <row r="750" spans="1:15" x14ac:dyDescent="0.25">
      <c r="A750" s="2">
        <v>114772</v>
      </c>
      <c r="B750" s="4" t="s">
        <v>365</v>
      </c>
      <c r="C750" s="41" t="s">
        <v>1345</v>
      </c>
      <c r="D750" s="42">
        <v>55</v>
      </c>
      <c r="E750" s="43">
        <v>31</v>
      </c>
      <c r="F750" s="50" t="str">
        <f>VLOOKUP(tabPontoPed[[#This Row],[GRUPO]],tabGrupos[#Data],2,FALSE)</f>
        <v>EQUIP. MAT. P/ GERACAO, TRANSM. DISTR. RETIF...</v>
      </c>
      <c r="G750" s="42" t="str">
        <f>VLOOKUP(tabPontoPed[[#This Row],[GRUPO]],tabGrupos[#Data],3,FALSE)</f>
        <v>MEL</v>
      </c>
      <c r="H750" s="41" t="s">
        <v>1339</v>
      </c>
      <c r="I750" s="9">
        <v>4</v>
      </c>
      <c r="J750" s="51">
        <v>1</v>
      </c>
      <c r="K750" s="7">
        <f>tabPontoPed[[#This Row],[QTDMÊS]] * tabPontoPed[[#This Row],[MENSAL]]</f>
        <v>4</v>
      </c>
      <c r="L750" s="13" t="s">
        <v>1012</v>
      </c>
      <c r="M750" s="44"/>
      <c r="N750" s="45" t="str">
        <f>_xlfn.IFNA(IF(VLOOKUP(tabPontoPed[[#This Row],[CÓDIGO]],Excluir_do_Estoque!$A$4:$A$4004,1,FALSE),"sim",""),"")</f>
        <v/>
      </c>
      <c r="O750" s="10" t="str">
        <f t="shared" si="11"/>
        <v>*</v>
      </c>
    </row>
    <row r="751" spans="1:15" x14ac:dyDescent="0.25">
      <c r="A751" s="2">
        <v>114773</v>
      </c>
      <c r="B751" s="4" t="s">
        <v>644</v>
      </c>
      <c r="C751" s="41" t="s">
        <v>1345</v>
      </c>
      <c r="D751" s="42">
        <v>55</v>
      </c>
      <c r="E751" s="43">
        <v>30</v>
      </c>
      <c r="F751" s="50" t="str">
        <f>VLOOKUP(tabPontoPed[[#This Row],[GRUPO]],tabGrupos[#Data],2,FALSE)</f>
        <v>EQUIP. MAT. P/ GERACAO, TRANSM. DISTR. RETIF...</v>
      </c>
      <c r="G751" s="42" t="str">
        <f>VLOOKUP(tabPontoPed[[#This Row],[GRUPO]],tabGrupos[#Data],3,FALSE)</f>
        <v>MEL</v>
      </c>
      <c r="H751" s="41" t="s">
        <v>1339</v>
      </c>
      <c r="I751" s="9">
        <v>4</v>
      </c>
      <c r="J751" s="51">
        <v>1</v>
      </c>
      <c r="K751" s="7">
        <f>tabPontoPed[[#This Row],[QTDMÊS]] * tabPontoPed[[#This Row],[MENSAL]]</f>
        <v>4</v>
      </c>
      <c r="L751" s="13" t="s">
        <v>1012</v>
      </c>
      <c r="M751" s="44"/>
      <c r="N751" s="45" t="str">
        <f>_xlfn.IFNA(IF(VLOOKUP(tabPontoPed[[#This Row],[CÓDIGO]],Excluir_do_Estoque!$A$4:$A$4004,1,FALSE),"sim",""),"")</f>
        <v/>
      </c>
      <c r="O751" s="10" t="str">
        <f t="shared" si="11"/>
        <v>*</v>
      </c>
    </row>
    <row r="752" spans="1:15" x14ac:dyDescent="0.25">
      <c r="A752" s="2">
        <v>114822</v>
      </c>
      <c r="B752" s="4" t="s">
        <v>773</v>
      </c>
      <c r="C752" s="41" t="s">
        <v>1345</v>
      </c>
      <c r="D752" s="42">
        <v>61</v>
      </c>
      <c r="E752" s="43">
        <v>8</v>
      </c>
      <c r="F752" s="50" t="str">
        <f>VLOOKUP(tabPontoPed[[#This Row],[GRUPO]],tabGrupos[#Data],2,FALSE)</f>
        <v>MATERIAL HIDRAULICO, CANOS, TUBOS, MANGUEIRAS, CONEXOES E ACESS.</v>
      </c>
      <c r="G752" s="42" t="str">
        <f>VLOOKUP(tabPontoPed[[#This Row],[GRUPO]],tabGrupos[#Data],3,FALSE)</f>
        <v>MHI</v>
      </c>
      <c r="H752" s="41" t="s">
        <v>1339</v>
      </c>
      <c r="I752" s="9">
        <v>4</v>
      </c>
      <c r="J752" s="51">
        <v>1</v>
      </c>
      <c r="K752" s="7">
        <f>tabPontoPed[[#This Row],[QTDMÊS]] * tabPontoPed[[#This Row],[MENSAL]]</f>
        <v>4</v>
      </c>
      <c r="L752" s="13" t="s">
        <v>1012</v>
      </c>
      <c r="M752" s="44"/>
      <c r="N752" s="45" t="str">
        <f>_xlfn.IFNA(IF(VLOOKUP(tabPontoPed[[#This Row],[CÓDIGO]],Excluir_do_Estoque!$A$4:$A$4004,1,FALSE),"sim",""),"")</f>
        <v/>
      </c>
      <c r="O752" s="10" t="str">
        <f t="shared" si="11"/>
        <v>*</v>
      </c>
    </row>
    <row r="753" spans="1:15" x14ac:dyDescent="0.25">
      <c r="A753" s="2">
        <v>114852</v>
      </c>
      <c r="B753" s="4" t="s">
        <v>223</v>
      </c>
      <c r="C753" s="41" t="s">
        <v>1345</v>
      </c>
      <c r="D753" s="42">
        <v>74</v>
      </c>
      <c r="E753" s="43">
        <v>3</v>
      </c>
      <c r="F753" s="50" t="str">
        <f>VLOOKUP(tabPontoPed[[#This Row],[GRUPO]],tabGrupos[#Data],2,FALSE)</f>
        <v>MADEIRAS,LAMINADOS,COMPENSADOS E AGLOMERADOS</v>
      </c>
      <c r="G753" s="42" t="str">
        <f>VLOOKUP(tabPontoPed[[#This Row],[GRUPO]],tabGrupos[#Data],3,FALSE)</f>
        <v>MCO</v>
      </c>
      <c r="H753" s="41" t="s">
        <v>1339</v>
      </c>
      <c r="I753" s="9">
        <v>4</v>
      </c>
      <c r="J753" s="51">
        <v>1</v>
      </c>
      <c r="K753" s="7">
        <f>tabPontoPed[[#This Row],[QTDMÊS]] * tabPontoPed[[#This Row],[MENSAL]]</f>
        <v>4</v>
      </c>
      <c r="L753" s="13" t="s">
        <v>1012</v>
      </c>
      <c r="M753" s="44"/>
      <c r="N753" s="45" t="str">
        <f>_xlfn.IFNA(IF(VLOOKUP(tabPontoPed[[#This Row],[CÓDIGO]],Excluir_do_Estoque!$A$4:$A$4004,1,FALSE),"sim",""),"")</f>
        <v/>
      </c>
      <c r="O753" s="10" t="str">
        <f t="shared" si="11"/>
        <v>*</v>
      </c>
    </row>
    <row r="754" spans="1:15" x14ac:dyDescent="0.25">
      <c r="A754" s="2">
        <v>114853</v>
      </c>
      <c r="B754" s="4" t="s">
        <v>224</v>
      </c>
      <c r="C754" s="41" t="s">
        <v>1345</v>
      </c>
      <c r="D754" s="42">
        <v>74</v>
      </c>
      <c r="E754" s="43">
        <v>3</v>
      </c>
      <c r="F754" s="50" t="str">
        <f>VLOOKUP(tabPontoPed[[#This Row],[GRUPO]],tabGrupos[#Data],2,FALSE)</f>
        <v>MADEIRAS,LAMINADOS,COMPENSADOS E AGLOMERADOS</v>
      </c>
      <c r="G754" s="42" t="str">
        <f>VLOOKUP(tabPontoPed[[#This Row],[GRUPO]],tabGrupos[#Data],3,FALSE)</f>
        <v>MCO</v>
      </c>
      <c r="H754" s="41" t="s">
        <v>1339</v>
      </c>
      <c r="I754" s="9">
        <v>4</v>
      </c>
      <c r="J754" s="51">
        <v>2</v>
      </c>
      <c r="K754" s="7">
        <f>tabPontoPed[[#This Row],[QTDMÊS]] * tabPontoPed[[#This Row],[MENSAL]]</f>
        <v>8</v>
      </c>
      <c r="L754" s="13" t="s">
        <v>1012</v>
      </c>
      <c r="M754" s="44"/>
      <c r="N754" s="45" t="str">
        <f>_xlfn.IFNA(IF(VLOOKUP(tabPontoPed[[#This Row],[CÓDIGO]],Excluir_do_Estoque!$A$4:$A$4004,1,FALSE),"sim",""),"")</f>
        <v/>
      </c>
      <c r="O754" s="10" t="str">
        <f t="shared" si="11"/>
        <v>*</v>
      </c>
    </row>
    <row r="755" spans="1:15" x14ac:dyDescent="0.25">
      <c r="A755" s="2">
        <v>114923</v>
      </c>
      <c r="B755" s="4" t="s">
        <v>870</v>
      </c>
      <c r="C755" s="41" t="s">
        <v>1345</v>
      </c>
      <c r="D755" s="42">
        <v>67</v>
      </c>
      <c r="E755" s="43">
        <v>18</v>
      </c>
      <c r="F755" s="50" t="str">
        <f>VLOOKUP(tabPontoPed[[#This Row],[GRUPO]],tabGrupos[#Data],2,FALSE)</f>
        <v>PARAFUSOS ELEM. VEDACAO UNIAO CONEX . FIXACAO</v>
      </c>
      <c r="G755" s="42" t="str">
        <f>VLOOKUP(tabPontoPed[[#This Row],[GRUPO]],tabGrupos[#Data],3,FALSE)</f>
        <v>MSE</v>
      </c>
      <c r="H755" s="41" t="s">
        <v>1339</v>
      </c>
      <c r="I755" s="9">
        <v>4</v>
      </c>
      <c r="J755" s="51">
        <v>136</v>
      </c>
      <c r="K755" s="7">
        <f>tabPontoPed[[#This Row],[QTDMÊS]] * tabPontoPed[[#This Row],[MENSAL]]</f>
        <v>544</v>
      </c>
      <c r="L755" s="13" t="s">
        <v>1012</v>
      </c>
      <c r="M755" s="44"/>
      <c r="N755" s="45" t="str">
        <f>_xlfn.IFNA(IF(VLOOKUP(tabPontoPed[[#This Row],[CÓDIGO]],Excluir_do_Estoque!$A$4:$A$4004,1,FALSE),"sim",""),"")</f>
        <v/>
      </c>
      <c r="O755" s="10" t="str">
        <f t="shared" si="11"/>
        <v>*</v>
      </c>
    </row>
    <row r="756" spans="1:15" x14ac:dyDescent="0.25">
      <c r="A756" s="2">
        <v>114928</v>
      </c>
      <c r="B756" s="4" t="s">
        <v>627</v>
      </c>
      <c r="C756" s="41" t="s">
        <v>1345</v>
      </c>
      <c r="D756" s="42">
        <v>55</v>
      </c>
      <c r="E756" s="43">
        <v>19</v>
      </c>
      <c r="F756" s="50" t="str">
        <f>VLOOKUP(tabPontoPed[[#This Row],[GRUPO]],tabGrupos[#Data],2,FALSE)</f>
        <v>EQUIP. MAT. P/ GERACAO, TRANSM. DISTR. RETIF...</v>
      </c>
      <c r="G756" s="42" t="str">
        <f>VLOOKUP(tabPontoPed[[#This Row],[GRUPO]],tabGrupos[#Data],3,FALSE)</f>
        <v>MEL</v>
      </c>
      <c r="H756" s="41" t="s">
        <v>1339</v>
      </c>
      <c r="I756" s="9">
        <v>4</v>
      </c>
      <c r="J756" s="51">
        <v>17</v>
      </c>
      <c r="K756" s="7">
        <f>tabPontoPed[[#This Row],[QTDMÊS]] * tabPontoPed[[#This Row],[MENSAL]]</f>
        <v>68</v>
      </c>
      <c r="L756" s="13" t="s">
        <v>1012</v>
      </c>
      <c r="M756" s="44"/>
      <c r="N756" s="45" t="str">
        <f>_xlfn.IFNA(IF(VLOOKUP(tabPontoPed[[#This Row],[CÓDIGO]],Excluir_do_Estoque!$A$4:$A$4004,1,FALSE),"sim",""),"")</f>
        <v/>
      </c>
      <c r="O756" s="10" t="str">
        <f t="shared" si="11"/>
        <v>*</v>
      </c>
    </row>
    <row r="757" spans="1:15" x14ac:dyDescent="0.25">
      <c r="A757" s="2">
        <v>114976</v>
      </c>
      <c r="B757" s="4" t="s">
        <v>131</v>
      </c>
      <c r="C757" s="41" t="s">
        <v>1345</v>
      </c>
      <c r="D757" s="42">
        <v>55</v>
      </c>
      <c r="E757" s="43">
        <v>19</v>
      </c>
      <c r="F757" s="50" t="str">
        <f>VLOOKUP(tabPontoPed[[#This Row],[GRUPO]],tabGrupos[#Data],2,FALSE)</f>
        <v>EQUIP. MAT. P/ GERACAO, TRANSM. DISTR. RETIF...</v>
      </c>
      <c r="G757" s="42" t="str">
        <f>VLOOKUP(tabPontoPed[[#This Row],[GRUPO]],tabGrupos[#Data],3,FALSE)</f>
        <v>MEL</v>
      </c>
      <c r="H757" s="41" t="s">
        <v>1339</v>
      </c>
      <c r="I757" s="9">
        <v>4</v>
      </c>
      <c r="J757" s="51">
        <v>4</v>
      </c>
      <c r="K757" s="7">
        <f>tabPontoPed[[#This Row],[QTDMÊS]] * tabPontoPed[[#This Row],[MENSAL]]</f>
        <v>16</v>
      </c>
      <c r="L757" s="13" t="s">
        <v>1012</v>
      </c>
      <c r="M757" s="44"/>
      <c r="N757" s="45" t="str">
        <f>_xlfn.IFNA(IF(VLOOKUP(tabPontoPed[[#This Row],[CÓDIGO]],Excluir_do_Estoque!$A$4:$A$4004,1,FALSE),"sim",""),"")</f>
        <v/>
      </c>
      <c r="O757" s="10" t="str">
        <f t="shared" si="11"/>
        <v>*</v>
      </c>
    </row>
    <row r="758" spans="1:15" x14ac:dyDescent="0.25">
      <c r="A758" s="2">
        <v>115060</v>
      </c>
      <c r="B758" s="4" t="s">
        <v>899</v>
      </c>
      <c r="C758" s="41" t="s">
        <v>1345</v>
      </c>
      <c r="D758" s="42">
        <v>69</v>
      </c>
      <c r="E758" s="43">
        <v>11</v>
      </c>
      <c r="F758" s="50" t="str">
        <f>VLOOKUP(tabPontoPed[[#This Row],[GRUPO]],tabGrupos[#Data],2,FALSE)</f>
        <v>METAIS,LAMINAD.,PERFILADOS E ARTEFATOS METALICOS</v>
      </c>
      <c r="G758" s="42" t="str">
        <f>VLOOKUP(tabPontoPed[[#This Row],[GRUPO]],tabGrupos[#Data],3,FALSE)</f>
        <v>MSE</v>
      </c>
      <c r="H758" s="41" t="s">
        <v>1339</v>
      </c>
      <c r="I758" s="9">
        <v>4</v>
      </c>
      <c r="J758" s="51">
        <v>1</v>
      </c>
      <c r="K758" s="7">
        <f>tabPontoPed[[#This Row],[QTDMÊS]] * tabPontoPed[[#This Row],[MENSAL]]</f>
        <v>4</v>
      </c>
      <c r="L758" s="13" t="s">
        <v>1012</v>
      </c>
      <c r="M758" s="44"/>
      <c r="N758" s="45" t="str">
        <f>_xlfn.IFNA(IF(VLOOKUP(tabPontoPed[[#This Row],[CÓDIGO]],Excluir_do_Estoque!$A$4:$A$4004,1,FALSE),"sim",""),"")</f>
        <v/>
      </c>
      <c r="O758" s="10" t="str">
        <f t="shared" si="11"/>
        <v>*</v>
      </c>
    </row>
    <row r="759" spans="1:15" x14ac:dyDescent="0.25">
      <c r="A759" s="2">
        <v>115282</v>
      </c>
      <c r="B759" s="4" t="s">
        <v>945</v>
      </c>
      <c r="C759" s="41" t="s">
        <v>1345</v>
      </c>
      <c r="D759" s="42">
        <v>73</v>
      </c>
      <c r="E759" s="43">
        <v>10</v>
      </c>
      <c r="F759" s="50" t="str">
        <f>VLOOKUP(tabPontoPed[[#This Row],[GRUPO]],tabGrupos[#Data],2,FALSE)</f>
        <v>EMBALAG., RECIP., ACESSOR., EQUIP., MATER. P/ACONDICIO</v>
      </c>
      <c r="G759" s="42" t="str">
        <f>VLOOKUP(tabPontoPed[[#This Row],[GRUPO]],tabGrupos[#Data],3,FALSE)</f>
        <v>EDU</v>
      </c>
      <c r="H759" s="41" t="s">
        <v>1339</v>
      </c>
      <c r="I759" s="9">
        <v>4</v>
      </c>
      <c r="J759" s="51">
        <v>22</v>
      </c>
      <c r="K759" s="7">
        <f>tabPontoPed[[#This Row],[QTDMÊS]] * tabPontoPed[[#This Row],[MENSAL]]</f>
        <v>88</v>
      </c>
      <c r="L759" s="13" t="s">
        <v>1012</v>
      </c>
      <c r="M759" s="44"/>
      <c r="N759" s="45" t="str">
        <f>_xlfn.IFNA(IF(VLOOKUP(tabPontoPed[[#This Row],[CÓDIGO]],Excluir_do_Estoque!$A$4:$A$4004,1,FALSE),"sim",""),"")</f>
        <v/>
      </c>
      <c r="O759" s="10" t="str">
        <f t="shared" si="11"/>
        <v>*</v>
      </c>
    </row>
    <row r="760" spans="1:15" x14ac:dyDescent="0.25">
      <c r="A760" s="2">
        <v>115781</v>
      </c>
      <c r="B760" s="4" t="s">
        <v>378</v>
      </c>
      <c r="C760" s="41" t="s">
        <v>1345</v>
      </c>
      <c r="D760" s="42">
        <v>55</v>
      </c>
      <c r="E760" s="43">
        <v>64</v>
      </c>
      <c r="F760" s="50" t="str">
        <f>VLOOKUP(tabPontoPed[[#This Row],[GRUPO]],tabGrupos[#Data],2,FALSE)</f>
        <v>EQUIP. MAT. P/ GERACAO, TRANSM. DISTR. RETIF...</v>
      </c>
      <c r="G760" s="42" t="str">
        <f>VLOOKUP(tabPontoPed[[#This Row],[GRUPO]],tabGrupos[#Data],3,FALSE)</f>
        <v>MEL</v>
      </c>
      <c r="H760" s="41" t="s">
        <v>1339</v>
      </c>
      <c r="I760" s="9">
        <v>4</v>
      </c>
      <c r="J760" s="51">
        <v>3</v>
      </c>
      <c r="K760" s="7">
        <f>tabPontoPed[[#This Row],[QTDMÊS]] * tabPontoPed[[#This Row],[MENSAL]]</f>
        <v>12</v>
      </c>
      <c r="L760" s="13" t="s">
        <v>1012</v>
      </c>
      <c r="M760" s="44"/>
      <c r="N760" s="45" t="str">
        <f>_xlfn.IFNA(IF(VLOOKUP(tabPontoPed[[#This Row],[CÓDIGO]],Excluir_do_Estoque!$A$4:$A$4004,1,FALSE),"sim",""),"")</f>
        <v/>
      </c>
      <c r="O760" s="10" t="str">
        <f t="shared" si="11"/>
        <v>*</v>
      </c>
    </row>
    <row r="761" spans="1:15" x14ac:dyDescent="0.25">
      <c r="A761" s="2">
        <v>115807</v>
      </c>
      <c r="B761" s="4" t="s">
        <v>878</v>
      </c>
      <c r="C761" s="41" t="s">
        <v>1345</v>
      </c>
      <c r="D761" s="42">
        <v>69</v>
      </c>
      <c r="E761" s="43">
        <v>1</v>
      </c>
      <c r="F761" s="50" t="str">
        <f>VLOOKUP(tabPontoPed[[#This Row],[GRUPO]],tabGrupos[#Data],2,FALSE)</f>
        <v>METAIS,LAMINAD.,PERFILADOS E ARTEFATOS METALICOS</v>
      </c>
      <c r="G761" s="42" t="str">
        <f>VLOOKUP(tabPontoPed[[#This Row],[GRUPO]],tabGrupos[#Data],3,FALSE)</f>
        <v>MSE</v>
      </c>
      <c r="H761" s="41" t="s">
        <v>1339</v>
      </c>
      <c r="I761" s="9">
        <v>4</v>
      </c>
      <c r="J761" s="51">
        <v>17</v>
      </c>
      <c r="K761" s="7">
        <f>tabPontoPed[[#This Row],[QTDMÊS]] * tabPontoPed[[#This Row],[MENSAL]]</f>
        <v>68</v>
      </c>
      <c r="L761" s="13" t="s">
        <v>1012</v>
      </c>
      <c r="M761" s="44"/>
      <c r="N761" s="45" t="str">
        <f>_xlfn.IFNA(IF(VLOOKUP(tabPontoPed[[#This Row],[CÓDIGO]],Excluir_do_Estoque!$A$4:$A$4004,1,FALSE),"sim",""),"")</f>
        <v/>
      </c>
      <c r="O761" s="10" t="str">
        <f t="shared" si="11"/>
        <v>*</v>
      </c>
    </row>
    <row r="762" spans="1:15" x14ac:dyDescent="0.25">
      <c r="A762" s="2">
        <v>115840</v>
      </c>
      <c r="B762" s="4" t="s">
        <v>544</v>
      </c>
      <c r="C762" s="41" t="s">
        <v>1345</v>
      </c>
      <c r="D762" s="42">
        <v>51</v>
      </c>
      <c r="E762" s="43">
        <v>26</v>
      </c>
      <c r="F762" s="50" t="str">
        <f>VLOOKUP(tabPontoPed[[#This Row],[GRUPO]],tabGrupos[#Data],2,FALSE)</f>
        <v>MAT.E EQUIP. P/ CONSTR.CIVIL E CONSERV. DE VIAS PUBL.</v>
      </c>
      <c r="G762" s="42" t="str">
        <f>VLOOKUP(tabPontoPed[[#This Row],[GRUPO]],tabGrupos[#Data],3,FALSE)</f>
        <v>MCO</v>
      </c>
      <c r="H762" s="41" t="s">
        <v>1339</v>
      </c>
      <c r="I762" s="9">
        <v>4</v>
      </c>
      <c r="J762" s="51">
        <v>2</v>
      </c>
      <c r="K762" s="7">
        <f>tabPontoPed[[#This Row],[QTDMÊS]] * tabPontoPed[[#This Row],[MENSAL]]</f>
        <v>8</v>
      </c>
      <c r="L762" s="13" t="s">
        <v>1012</v>
      </c>
      <c r="M762" s="44"/>
      <c r="N762" s="45" t="str">
        <f>_xlfn.IFNA(IF(VLOOKUP(tabPontoPed[[#This Row],[CÓDIGO]],Excluir_do_Estoque!$A$4:$A$4004,1,FALSE),"sim",""),"")</f>
        <v/>
      </c>
      <c r="O762" s="10" t="str">
        <f t="shared" si="11"/>
        <v>*</v>
      </c>
    </row>
    <row r="763" spans="1:15" x14ac:dyDescent="0.25">
      <c r="A763" s="2">
        <v>115841</v>
      </c>
      <c r="B763" s="4" t="s">
        <v>545</v>
      </c>
      <c r="C763" s="41" t="s">
        <v>1345</v>
      </c>
      <c r="D763" s="42">
        <v>51</v>
      </c>
      <c r="E763" s="43">
        <v>26</v>
      </c>
      <c r="F763" s="50" t="str">
        <f>VLOOKUP(tabPontoPed[[#This Row],[GRUPO]],tabGrupos[#Data],2,FALSE)</f>
        <v>MAT.E EQUIP. P/ CONSTR.CIVIL E CONSERV. DE VIAS PUBL.</v>
      </c>
      <c r="G763" s="42" t="str">
        <f>VLOOKUP(tabPontoPed[[#This Row],[GRUPO]],tabGrupos[#Data],3,FALSE)</f>
        <v>MCO</v>
      </c>
      <c r="H763" s="41" t="s">
        <v>1339</v>
      </c>
      <c r="I763" s="9">
        <v>4</v>
      </c>
      <c r="J763" s="51">
        <v>1</v>
      </c>
      <c r="K763" s="7">
        <f>tabPontoPed[[#This Row],[QTDMÊS]] * tabPontoPed[[#This Row],[MENSAL]]</f>
        <v>4</v>
      </c>
      <c r="L763" s="13" t="s">
        <v>1012</v>
      </c>
      <c r="M763" s="44"/>
      <c r="N763" s="45" t="str">
        <f>_xlfn.IFNA(IF(VLOOKUP(tabPontoPed[[#This Row],[CÓDIGO]],Excluir_do_Estoque!$A$4:$A$4004,1,FALSE),"sim",""),"")</f>
        <v/>
      </c>
      <c r="O763" s="10" t="str">
        <f t="shared" si="11"/>
        <v>*</v>
      </c>
    </row>
    <row r="764" spans="1:15" x14ac:dyDescent="0.25">
      <c r="A764" s="2">
        <v>116466</v>
      </c>
      <c r="B764" s="4" t="s">
        <v>261</v>
      </c>
      <c r="C764" s="41" t="s">
        <v>1345</v>
      </c>
      <c r="D764" s="42">
        <v>69</v>
      </c>
      <c r="E764" s="43">
        <v>3</v>
      </c>
      <c r="F764" s="50" t="str">
        <f>VLOOKUP(tabPontoPed[[#This Row],[GRUPO]],tabGrupos[#Data],2,FALSE)</f>
        <v>METAIS,LAMINAD.,PERFILADOS E ARTEFATOS METALICOS</v>
      </c>
      <c r="G764" s="42" t="str">
        <f>VLOOKUP(tabPontoPed[[#This Row],[GRUPO]],tabGrupos[#Data],3,FALSE)</f>
        <v>MSE</v>
      </c>
      <c r="H764" s="41" t="s">
        <v>1339</v>
      </c>
      <c r="I764" s="9">
        <v>4</v>
      </c>
      <c r="J764" s="51">
        <v>355</v>
      </c>
      <c r="K764" s="7">
        <f>tabPontoPed[[#This Row],[QTDMÊS]] * tabPontoPed[[#This Row],[MENSAL]]</f>
        <v>1420</v>
      </c>
      <c r="L764" s="13" t="s">
        <v>1012</v>
      </c>
      <c r="M764" s="44"/>
      <c r="N764" s="45" t="str">
        <f>_xlfn.IFNA(IF(VLOOKUP(tabPontoPed[[#This Row],[CÓDIGO]],Excluir_do_Estoque!$A$4:$A$4004,1,FALSE),"sim",""),"")</f>
        <v/>
      </c>
      <c r="O764" s="10" t="str">
        <f t="shared" si="11"/>
        <v>*</v>
      </c>
    </row>
    <row r="765" spans="1:15" x14ac:dyDescent="0.25">
      <c r="A765" s="2">
        <v>116751</v>
      </c>
      <c r="B765" s="4" t="s">
        <v>884</v>
      </c>
      <c r="C765" s="41" t="s">
        <v>1345</v>
      </c>
      <c r="D765" s="42">
        <v>69</v>
      </c>
      <c r="E765" s="43">
        <v>2</v>
      </c>
      <c r="F765" s="50" t="str">
        <f>VLOOKUP(tabPontoPed[[#This Row],[GRUPO]],tabGrupos[#Data],2,FALSE)</f>
        <v>METAIS,LAMINAD.,PERFILADOS E ARTEFATOS METALICOS</v>
      </c>
      <c r="G765" s="42" t="str">
        <f>VLOOKUP(tabPontoPed[[#This Row],[GRUPO]],tabGrupos[#Data],3,FALSE)</f>
        <v>MSE</v>
      </c>
      <c r="H765" s="41" t="s">
        <v>1339</v>
      </c>
      <c r="I765" s="9">
        <v>4</v>
      </c>
      <c r="J765" s="51">
        <v>16</v>
      </c>
      <c r="K765" s="7">
        <f>tabPontoPed[[#This Row],[QTDMÊS]] * tabPontoPed[[#This Row],[MENSAL]]</f>
        <v>64</v>
      </c>
      <c r="L765" s="13" t="s">
        <v>1012</v>
      </c>
      <c r="M765" s="44"/>
      <c r="N765" s="45" t="str">
        <f>_xlfn.IFNA(IF(VLOOKUP(tabPontoPed[[#This Row],[CÓDIGO]],Excluir_do_Estoque!$A$4:$A$4004,1,FALSE),"sim",""),"")</f>
        <v/>
      </c>
      <c r="O765" s="10" t="str">
        <f t="shared" si="11"/>
        <v>*</v>
      </c>
    </row>
    <row r="766" spans="1:15" x14ac:dyDescent="0.25">
      <c r="A766" s="2">
        <v>116754</v>
      </c>
      <c r="B766" s="4" t="s">
        <v>885</v>
      </c>
      <c r="C766" s="41" t="s">
        <v>1345</v>
      </c>
      <c r="D766" s="42">
        <v>69</v>
      </c>
      <c r="E766" s="43">
        <v>2</v>
      </c>
      <c r="F766" s="50" t="str">
        <f>VLOOKUP(tabPontoPed[[#This Row],[GRUPO]],tabGrupos[#Data],2,FALSE)</f>
        <v>METAIS,LAMINAD.,PERFILADOS E ARTEFATOS METALICOS</v>
      </c>
      <c r="G766" s="42" t="str">
        <f>VLOOKUP(tabPontoPed[[#This Row],[GRUPO]],tabGrupos[#Data],3,FALSE)</f>
        <v>MSE</v>
      </c>
      <c r="H766" s="41" t="s">
        <v>1339</v>
      </c>
      <c r="I766" s="9">
        <v>4</v>
      </c>
      <c r="J766" s="51">
        <v>0</v>
      </c>
      <c r="K766" s="7">
        <f>tabPontoPed[[#This Row],[QTDMÊS]] * tabPontoPed[[#This Row],[MENSAL]]</f>
        <v>0</v>
      </c>
      <c r="L766" s="13" t="s">
        <v>1012</v>
      </c>
      <c r="M766" s="44"/>
      <c r="N766" s="45" t="str">
        <f>_xlfn.IFNA(IF(VLOOKUP(tabPontoPed[[#This Row],[CÓDIGO]],Excluir_do_Estoque!$A$4:$A$4004,1,FALSE),"sim",""),"")</f>
        <v/>
      </c>
      <c r="O766" s="10" t="str">
        <f t="shared" si="11"/>
        <v>*</v>
      </c>
    </row>
    <row r="767" spans="1:15" x14ac:dyDescent="0.25">
      <c r="A767" s="2">
        <v>116874</v>
      </c>
      <c r="B767" s="4" t="s">
        <v>142</v>
      </c>
      <c r="C767" s="41" t="s">
        <v>1345</v>
      </c>
      <c r="D767" s="42">
        <v>55</v>
      </c>
      <c r="E767" s="43">
        <v>37</v>
      </c>
      <c r="F767" s="50" t="str">
        <f>VLOOKUP(tabPontoPed[[#This Row],[GRUPO]],tabGrupos[#Data],2,FALSE)</f>
        <v>EQUIP. MAT. P/ GERACAO, TRANSM. DISTR. RETIF...</v>
      </c>
      <c r="G767" s="42" t="str">
        <f>VLOOKUP(tabPontoPed[[#This Row],[GRUPO]],tabGrupos[#Data],3,FALSE)</f>
        <v>MEL</v>
      </c>
      <c r="H767" s="41" t="s">
        <v>1339</v>
      </c>
      <c r="I767" s="9">
        <v>4</v>
      </c>
      <c r="J767" s="51">
        <v>98</v>
      </c>
      <c r="K767" s="7">
        <f>tabPontoPed[[#This Row],[QTDMÊS]] * tabPontoPed[[#This Row],[MENSAL]]</f>
        <v>392</v>
      </c>
      <c r="L767" s="13" t="s">
        <v>1012</v>
      </c>
      <c r="M767" s="44"/>
      <c r="N767" s="45" t="str">
        <f>_xlfn.IFNA(IF(VLOOKUP(tabPontoPed[[#This Row],[CÓDIGO]],Excluir_do_Estoque!$A$4:$A$4004,1,FALSE),"sim",""),"")</f>
        <v/>
      </c>
      <c r="O767" s="10" t="str">
        <f t="shared" si="11"/>
        <v>*</v>
      </c>
    </row>
    <row r="768" spans="1:15" x14ac:dyDescent="0.25">
      <c r="A768" s="2">
        <v>117734</v>
      </c>
      <c r="B768" s="4" t="s">
        <v>647</v>
      </c>
      <c r="C768" s="41" t="s">
        <v>1345</v>
      </c>
      <c r="D768" s="42">
        <v>55</v>
      </c>
      <c r="E768" s="43">
        <v>31</v>
      </c>
      <c r="F768" s="50" t="str">
        <f>VLOOKUP(tabPontoPed[[#This Row],[GRUPO]],tabGrupos[#Data],2,FALSE)</f>
        <v>EQUIP. MAT. P/ GERACAO, TRANSM. DISTR. RETIF...</v>
      </c>
      <c r="G768" s="42" t="str">
        <f>VLOOKUP(tabPontoPed[[#This Row],[GRUPO]],tabGrupos[#Data],3,FALSE)</f>
        <v>MEL</v>
      </c>
      <c r="H768" s="41" t="s">
        <v>1339</v>
      </c>
      <c r="I768" s="9">
        <v>4</v>
      </c>
      <c r="J768" s="51">
        <v>1</v>
      </c>
      <c r="K768" s="7">
        <f>tabPontoPed[[#This Row],[QTDMÊS]] * tabPontoPed[[#This Row],[MENSAL]]</f>
        <v>4</v>
      </c>
      <c r="L768" s="13" t="s">
        <v>1012</v>
      </c>
      <c r="M768" s="44"/>
      <c r="N768" s="45" t="str">
        <f>_xlfn.IFNA(IF(VLOOKUP(tabPontoPed[[#This Row],[CÓDIGO]],Excluir_do_Estoque!$A$4:$A$4004,1,FALSE),"sim",""),"")</f>
        <v/>
      </c>
      <c r="O768" s="10" t="str">
        <f t="shared" si="11"/>
        <v>*</v>
      </c>
    </row>
    <row r="769" spans="1:15" x14ac:dyDescent="0.25">
      <c r="A769" s="2">
        <v>118243</v>
      </c>
      <c r="B769" s="4" t="s">
        <v>1000</v>
      </c>
      <c r="C769" s="41" t="s">
        <v>1345</v>
      </c>
      <c r="D769" s="42">
        <v>89</v>
      </c>
      <c r="E769" s="43">
        <v>12</v>
      </c>
      <c r="F769" s="50" t="str">
        <f>VLOOKUP(tabPontoPed[[#This Row],[GRUPO]],tabGrupos[#Data],2,FALSE)</f>
        <v>PEC.P/ VEICULO DE USO ESPECIAL E BATERIASROLAMENTO</v>
      </c>
      <c r="G769" s="42" t="str">
        <f>VLOOKUP(tabPontoPed[[#This Row],[GRUPO]],tabGrupos[#Data],3,FALSE)</f>
        <v>MFR</v>
      </c>
      <c r="H769" s="41" t="s">
        <v>1339</v>
      </c>
      <c r="I769" s="9">
        <v>4</v>
      </c>
      <c r="J769" s="51">
        <v>0</v>
      </c>
      <c r="K769" s="7">
        <f>tabPontoPed[[#This Row],[QTDMÊS]] * tabPontoPed[[#This Row],[MENSAL]]</f>
        <v>0</v>
      </c>
      <c r="L769" s="13" t="s">
        <v>1012</v>
      </c>
      <c r="M769" s="44"/>
      <c r="N769" s="45" t="str">
        <f>_xlfn.IFNA(IF(VLOOKUP(tabPontoPed[[#This Row],[CÓDIGO]],Excluir_do_Estoque!$A$4:$A$4004,1,FALSE),"sim",""),"")</f>
        <v/>
      </c>
      <c r="O769" s="10" t="str">
        <f t="shared" si="11"/>
        <v>*</v>
      </c>
    </row>
    <row r="770" spans="1:15" x14ac:dyDescent="0.25">
      <c r="A770" s="2">
        <v>118244</v>
      </c>
      <c r="B770" s="4" t="s">
        <v>1001</v>
      </c>
      <c r="C770" s="41" t="s">
        <v>1345</v>
      </c>
      <c r="D770" s="42">
        <v>89</v>
      </c>
      <c r="E770" s="43">
        <v>12</v>
      </c>
      <c r="F770" s="50" t="str">
        <f>VLOOKUP(tabPontoPed[[#This Row],[GRUPO]],tabGrupos[#Data],2,FALSE)</f>
        <v>PEC.P/ VEICULO DE USO ESPECIAL E BATERIASROLAMENTO</v>
      </c>
      <c r="G770" s="42" t="str">
        <f>VLOOKUP(tabPontoPed[[#This Row],[GRUPO]],tabGrupos[#Data],3,FALSE)</f>
        <v>MFR</v>
      </c>
      <c r="H770" s="41" t="s">
        <v>1339</v>
      </c>
      <c r="I770" s="9">
        <v>4</v>
      </c>
      <c r="J770" s="51">
        <v>1</v>
      </c>
      <c r="K770" s="7">
        <f>tabPontoPed[[#This Row],[QTDMÊS]] * tabPontoPed[[#This Row],[MENSAL]]</f>
        <v>4</v>
      </c>
      <c r="L770" s="13" t="s">
        <v>1012</v>
      </c>
      <c r="M770" s="44"/>
      <c r="N770" s="45" t="str">
        <f>_xlfn.IFNA(IF(VLOOKUP(tabPontoPed[[#This Row],[CÓDIGO]],Excluir_do_Estoque!$A$4:$A$4004,1,FALSE),"sim",""),"")</f>
        <v/>
      </c>
      <c r="O770" s="10" t="str">
        <f t="shared" si="11"/>
        <v>*</v>
      </c>
    </row>
    <row r="771" spans="1:15" x14ac:dyDescent="0.25">
      <c r="A771" s="2">
        <v>118245</v>
      </c>
      <c r="B771" s="4" t="s">
        <v>1002</v>
      </c>
      <c r="C771" s="41" t="s">
        <v>1345</v>
      </c>
      <c r="D771" s="42">
        <v>89</v>
      </c>
      <c r="E771" s="43">
        <v>12</v>
      </c>
      <c r="F771" s="50" t="str">
        <f>VLOOKUP(tabPontoPed[[#This Row],[GRUPO]],tabGrupos[#Data],2,FALSE)</f>
        <v>PEC.P/ VEICULO DE USO ESPECIAL E BATERIASROLAMENTO</v>
      </c>
      <c r="G771" s="42" t="str">
        <f>VLOOKUP(tabPontoPed[[#This Row],[GRUPO]],tabGrupos[#Data],3,FALSE)</f>
        <v>MFR</v>
      </c>
      <c r="H771" s="41" t="s">
        <v>1339</v>
      </c>
      <c r="I771" s="9">
        <v>4</v>
      </c>
      <c r="J771" s="51">
        <v>3</v>
      </c>
      <c r="K771" s="7">
        <f>tabPontoPed[[#This Row],[QTDMÊS]] * tabPontoPed[[#This Row],[MENSAL]]</f>
        <v>12</v>
      </c>
      <c r="L771" s="13" t="s">
        <v>1012</v>
      </c>
      <c r="M771" s="44"/>
      <c r="N771" s="45" t="str">
        <f>_xlfn.IFNA(IF(VLOOKUP(tabPontoPed[[#This Row],[CÓDIGO]],Excluir_do_Estoque!$A$4:$A$4004,1,FALSE),"sim",""),"")</f>
        <v/>
      </c>
      <c r="O771" s="10" t="str">
        <f t="shared" si="11"/>
        <v>*</v>
      </c>
    </row>
    <row r="772" spans="1:15" x14ac:dyDescent="0.25">
      <c r="A772" s="2">
        <v>118246</v>
      </c>
      <c r="B772" s="4" t="s">
        <v>1003</v>
      </c>
      <c r="C772" s="41" t="s">
        <v>1345</v>
      </c>
      <c r="D772" s="42">
        <v>89</v>
      </c>
      <c r="E772" s="43">
        <v>12</v>
      </c>
      <c r="F772" s="50" t="str">
        <f>VLOOKUP(tabPontoPed[[#This Row],[GRUPO]],tabGrupos[#Data],2,FALSE)</f>
        <v>PEC.P/ VEICULO DE USO ESPECIAL E BATERIASROLAMENTO</v>
      </c>
      <c r="G772" s="42" t="str">
        <f>VLOOKUP(tabPontoPed[[#This Row],[GRUPO]],tabGrupos[#Data],3,FALSE)</f>
        <v>MFR</v>
      </c>
      <c r="H772" s="41" t="s">
        <v>1339</v>
      </c>
      <c r="I772" s="9">
        <v>4</v>
      </c>
      <c r="J772" s="51">
        <v>0</v>
      </c>
      <c r="K772" s="7">
        <f>tabPontoPed[[#This Row],[QTDMÊS]] * tabPontoPed[[#This Row],[MENSAL]]</f>
        <v>0</v>
      </c>
      <c r="L772" s="13" t="s">
        <v>1012</v>
      </c>
      <c r="M772" s="44"/>
      <c r="N772" s="45" t="str">
        <f>_xlfn.IFNA(IF(VLOOKUP(tabPontoPed[[#This Row],[CÓDIGO]],Excluir_do_Estoque!$A$4:$A$4004,1,FALSE),"sim",""),"")</f>
        <v/>
      </c>
      <c r="O772" s="10" t="str">
        <f t="shared" ref="O772:O835" si="12">"*"</f>
        <v>*</v>
      </c>
    </row>
    <row r="773" spans="1:15" x14ac:dyDescent="0.25">
      <c r="A773" s="2">
        <v>118427</v>
      </c>
      <c r="B773" s="4" t="s">
        <v>394</v>
      </c>
      <c r="C773" s="41" t="s">
        <v>1345</v>
      </c>
      <c r="D773" s="42">
        <v>74</v>
      </c>
      <c r="E773" s="43">
        <v>2</v>
      </c>
      <c r="F773" s="50" t="str">
        <f>VLOOKUP(tabPontoPed[[#This Row],[GRUPO]],tabGrupos[#Data],2,FALSE)</f>
        <v>MADEIRAS,LAMINADOS,COMPENSADOS E AGLOMERADOS</v>
      </c>
      <c r="G773" s="42" t="str">
        <f>VLOOKUP(tabPontoPed[[#This Row],[GRUPO]],tabGrupos[#Data],3,FALSE)</f>
        <v>MCO</v>
      </c>
      <c r="H773" s="41" t="s">
        <v>1339</v>
      </c>
      <c r="I773" s="9">
        <v>4</v>
      </c>
      <c r="J773" s="51">
        <v>201</v>
      </c>
      <c r="K773" s="7">
        <f>tabPontoPed[[#This Row],[QTDMÊS]] * tabPontoPed[[#This Row],[MENSAL]]</f>
        <v>804</v>
      </c>
      <c r="L773" s="13" t="s">
        <v>1012</v>
      </c>
      <c r="M773" s="44"/>
      <c r="N773" s="45" t="str">
        <f>_xlfn.IFNA(IF(VLOOKUP(tabPontoPed[[#This Row],[CÓDIGO]],Excluir_do_Estoque!$A$4:$A$4004,1,FALSE),"sim",""),"")</f>
        <v/>
      </c>
      <c r="O773" s="10" t="str">
        <f t="shared" si="12"/>
        <v>*</v>
      </c>
    </row>
    <row r="774" spans="1:15" x14ac:dyDescent="0.25">
      <c r="A774" s="2">
        <v>118515</v>
      </c>
      <c r="B774" s="4" t="s">
        <v>247</v>
      </c>
      <c r="C774" s="41" t="s">
        <v>1345</v>
      </c>
      <c r="D774" s="42">
        <v>51</v>
      </c>
      <c r="E774" s="43">
        <v>21</v>
      </c>
      <c r="F774" s="50" t="str">
        <f>VLOOKUP(tabPontoPed[[#This Row],[GRUPO]],tabGrupos[#Data],2,FALSE)</f>
        <v>MAT.E EQUIP. P/ CONSTR.CIVIL E CONSERV. DE VIAS PUBL.</v>
      </c>
      <c r="G774" s="42" t="str">
        <f>VLOOKUP(tabPontoPed[[#This Row],[GRUPO]],tabGrupos[#Data],3,FALSE)</f>
        <v>MCO</v>
      </c>
      <c r="H774" s="41" t="s">
        <v>1339</v>
      </c>
      <c r="I774" s="9">
        <v>4</v>
      </c>
      <c r="J774" s="51">
        <v>13</v>
      </c>
      <c r="K774" s="7">
        <f>tabPontoPed[[#This Row],[QTDMÊS]] * tabPontoPed[[#This Row],[MENSAL]]</f>
        <v>52</v>
      </c>
      <c r="L774" s="13" t="s">
        <v>1012</v>
      </c>
      <c r="M774" s="44"/>
      <c r="N774" s="45" t="str">
        <f>_xlfn.IFNA(IF(VLOOKUP(tabPontoPed[[#This Row],[CÓDIGO]],Excluir_do_Estoque!$A$4:$A$4004,1,FALSE),"sim",""),"")</f>
        <v/>
      </c>
      <c r="O774" s="10" t="str">
        <f t="shared" si="12"/>
        <v>*</v>
      </c>
    </row>
    <row r="775" spans="1:15" x14ac:dyDescent="0.25">
      <c r="A775" s="2">
        <v>118577</v>
      </c>
      <c r="B775" s="4" t="s">
        <v>248</v>
      </c>
      <c r="C775" s="41" t="s">
        <v>1345</v>
      </c>
      <c r="D775" s="42">
        <v>51</v>
      </c>
      <c r="E775" s="43">
        <v>21</v>
      </c>
      <c r="F775" s="50" t="str">
        <f>VLOOKUP(tabPontoPed[[#This Row],[GRUPO]],tabGrupos[#Data],2,FALSE)</f>
        <v>MAT.E EQUIP. P/ CONSTR.CIVIL E CONSERV. DE VIAS PUBL.</v>
      </c>
      <c r="G775" s="42" t="str">
        <f>VLOOKUP(tabPontoPed[[#This Row],[GRUPO]],tabGrupos[#Data],3,FALSE)</f>
        <v>MCO</v>
      </c>
      <c r="H775" s="41" t="s">
        <v>1339</v>
      </c>
      <c r="I775" s="9">
        <v>4</v>
      </c>
      <c r="J775" s="51">
        <v>36</v>
      </c>
      <c r="K775" s="7">
        <f>tabPontoPed[[#This Row],[QTDMÊS]] * tabPontoPed[[#This Row],[MENSAL]]</f>
        <v>144</v>
      </c>
      <c r="L775" s="13" t="s">
        <v>1012</v>
      </c>
      <c r="M775" s="44"/>
      <c r="N775" s="45" t="str">
        <f>_xlfn.IFNA(IF(VLOOKUP(tabPontoPed[[#This Row],[CÓDIGO]],Excluir_do_Estoque!$A$4:$A$4004,1,FALSE),"sim",""),"")</f>
        <v/>
      </c>
      <c r="O775" s="10" t="str">
        <f t="shared" si="12"/>
        <v>*</v>
      </c>
    </row>
    <row r="776" spans="1:15" x14ac:dyDescent="0.25">
      <c r="A776" s="2">
        <v>118660</v>
      </c>
      <c r="B776" s="4" t="s">
        <v>482</v>
      </c>
      <c r="C776" s="41" t="s">
        <v>1345</v>
      </c>
      <c r="D776" s="42">
        <v>45</v>
      </c>
      <c r="E776" s="43">
        <v>29</v>
      </c>
      <c r="F776" s="50" t="str">
        <f>VLOOKUP(tabPontoPed[[#This Row],[GRUPO]],tabGrupos[#Data],2,FALSE)</f>
        <v>MAQ., EQUIP., COMP., ACES., MAT. PARA ESCRIT.E ESCOLAR</v>
      </c>
      <c r="G776" s="42" t="str">
        <f>VLOOKUP(tabPontoPed[[#This Row],[GRUPO]],tabGrupos[#Data],3,FALSE)</f>
        <v>EDU</v>
      </c>
      <c r="H776" s="41" t="s">
        <v>1339</v>
      </c>
      <c r="I776" s="9">
        <v>4</v>
      </c>
      <c r="J776" s="51">
        <v>79</v>
      </c>
      <c r="K776" s="7">
        <f>tabPontoPed[[#This Row],[QTDMÊS]] * tabPontoPed[[#This Row],[MENSAL]]</f>
        <v>316</v>
      </c>
      <c r="L776" s="13" t="s">
        <v>1012</v>
      </c>
      <c r="M776" s="44"/>
      <c r="N776" s="45" t="str">
        <f>_xlfn.IFNA(IF(VLOOKUP(tabPontoPed[[#This Row],[CÓDIGO]],Excluir_do_Estoque!$A$4:$A$4004,1,FALSE),"sim",""),"")</f>
        <v/>
      </c>
      <c r="O776" s="10" t="str">
        <f t="shared" si="12"/>
        <v>*</v>
      </c>
    </row>
    <row r="777" spans="1:15" x14ac:dyDescent="0.25">
      <c r="A777" s="2">
        <v>118864</v>
      </c>
      <c r="B777" s="4" t="s">
        <v>1278</v>
      </c>
      <c r="C777" s="41" t="s">
        <v>1345</v>
      </c>
      <c r="D777" s="42">
        <v>51</v>
      </c>
      <c r="E777" s="43">
        <v>9</v>
      </c>
      <c r="F777" s="50" t="str">
        <f>VLOOKUP(tabPontoPed[[#This Row],[GRUPO]],tabGrupos[#Data],2,FALSE)</f>
        <v>MAT.E EQUIP. P/ CONSTR.CIVIL E CONSERV. DE VIAS PUBL.</v>
      </c>
      <c r="G777" s="42" t="str">
        <f>VLOOKUP(tabPontoPed[[#This Row],[GRUPO]],tabGrupos[#Data],3,FALSE)</f>
        <v>MCO</v>
      </c>
      <c r="H777" s="41" t="s">
        <v>1339</v>
      </c>
      <c r="I777" s="9">
        <v>4</v>
      </c>
      <c r="J777" s="51">
        <v>51</v>
      </c>
      <c r="K777" s="7">
        <f>tabPontoPed[[#This Row],[QTDMÊS]] * tabPontoPed[[#This Row],[MENSAL]]</f>
        <v>204</v>
      </c>
      <c r="L777" s="13" t="s">
        <v>1012</v>
      </c>
      <c r="M777" s="44"/>
      <c r="N777" s="45" t="str">
        <f>_xlfn.IFNA(IF(VLOOKUP(tabPontoPed[[#This Row],[CÓDIGO]],Excluir_do_Estoque!$A$4:$A$4004,1,FALSE),"sim",""),"")</f>
        <v/>
      </c>
      <c r="O777" s="10" t="str">
        <f t="shared" si="12"/>
        <v>*</v>
      </c>
    </row>
    <row r="778" spans="1:15" x14ac:dyDescent="0.25">
      <c r="A778" s="2">
        <v>118865</v>
      </c>
      <c r="B778" s="4" t="s">
        <v>150</v>
      </c>
      <c r="C778" s="41" t="s">
        <v>1345</v>
      </c>
      <c r="D778" s="42">
        <v>51</v>
      </c>
      <c r="E778" s="43">
        <v>9</v>
      </c>
      <c r="F778" s="50" t="str">
        <f>VLOOKUP(tabPontoPed[[#This Row],[GRUPO]],tabGrupos[#Data],2,FALSE)</f>
        <v>MAT.E EQUIP. P/ CONSTR.CIVIL E CONSERV. DE VIAS PUBL.</v>
      </c>
      <c r="G778" s="42" t="str">
        <f>VLOOKUP(tabPontoPed[[#This Row],[GRUPO]],tabGrupos[#Data],3,FALSE)</f>
        <v>MCO</v>
      </c>
      <c r="H778" s="41" t="s">
        <v>1339</v>
      </c>
      <c r="I778" s="9">
        <v>4</v>
      </c>
      <c r="J778" s="51">
        <v>60</v>
      </c>
      <c r="K778" s="7">
        <f>tabPontoPed[[#This Row],[QTDMÊS]] * tabPontoPed[[#This Row],[MENSAL]]</f>
        <v>240</v>
      </c>
      <c r="L778" s="13" t="s">
        <v>1012</v>
      </c>
      <c r="M778" s="44"/>
      <c r="N778" s="45" t="str">
        <f>_xlfn.IFNA(IF(VLOOKUP(tabPontoPed[[#This Row],[CÓDIGO]],Excluir_do_Estoque!$A$4:$A$4004,1,FALSE),"sim",""),"")</f>
        <v/>
      </c>
      <c r="O778" s="10" t="str">
        <f t="shared" si="12"/>
        <v>*</v>
      </c>
    </row>
    <row r="779" spans="1:15" x14ac:dyDescent="0.25">
      <c r="A779" s="2">
        <v>119008</v>
      </c>
      <c r="B779" s="4" t="s">
        <v>696</v>
      </c>
      <c r="C779" s="41" t="s">
        <v>1345</v>
      </c>
      <c r="D779" s="42">
        <v>55</v>
      </c>
      <c r="E779" s="43">
        <v>62</v>
      </c>
      <c r="F779" s="50" t="str">
        <f>VLOOKUP(tabPontoPed[[#This Row],[GRUPO]],tabGrupos[#Data],2,FALSE)</f>
        <v>EQUIP. MAT. P/ GERACAO, TRANSM. DISTR. RETIF...</v>
      </c>
      <c r="G779" s="42" t="str">
        <f>VLOOKUP(tabPontoPed[[#This Row],[GRUPO]],tabGrupos[#Data],3,FALSE)</f>
        <v>MEL</v>
      </c>
      <c r="H779" s="41" t="s">
        <v>1339</v>
      </c>
      <c r="I779" s="9">
        <v>4</v>
      </c>
      <c r="J779" s="51">
        <v>0</v>
      </c>
      <c r="K779" s="7">
        <f>tabPontoPed[[#This Row],[QTDMÊS]] * tabPontoPed[[#This Row],[MENSAL]]</f>
        <v>0</v>
      </c>
      <c r="L779" s="13" t="s">
        <v>1012</v>
      </c>
      <c r="M779" s="44"/>
      <c r="N779" s="45" t="str">
        <f>_xlfn.IFNA(IF(VLOOKUP(tabPontoPed[[#This Row],[CÓDIGO]],Excluir_do_Estoque!$A$4:$A$4004,1,FALSE),"sim",""),"")</f>
        <v/>
      </c>
      <c r="O779" s="10" t="str">
        <f t="shared" si="12"/>
        <v>*</v>
      </c>
    </row>
    <row r="780" spans="1:15" x14ac:dyDescent="0.25">
      <c r="A780" s="2">
        <v>119087</v>
      </c>
      <c r="B780" s="4" t="s">
        <v>718</v>
      </c>
      <c r="C780" s="41" t="s">
        <v>1345</v>
      </c>
      <c r="D780" s="42">
        <v>59</v>
      </c>
      <c r="E780" s="43">
        <v>18</v>
      </c>
      <c r="F780" s="50" t="str">
        <f>VLOOKUP(tabPontoPed[[#This Row],[GRUPO]],tabGrupos[#Data],2,FALSE)</f>
        <v>EQUIP.MAT.E ACESS.COMUNIC.CINE FOTO OTICA SOM</v>
      </c>
      <c r="G780" s="42" t="str">
        <f>VLOOKUP(tabPontoPed[[#This Row],[GRUPO]],tabGrupos[#Data],3,FALSE)</f>
        <v>INF</v>
      </c>
      <c r="H780" s="41" t="s">
        <v>1339</v>
      </c>
      <c r="I780" s="9">
        <v>4</v>
      </c>
      <c r="J780" s="51">
        <v>1</v>
      </c>
      <c r="K780" s="7">
        <f>tabPontoPed[[#This Row],[QTDMÊS]] * tabPontoPed[[#This Row],[MENSAL]]</f>
        <v>4</v>
      </c>
      <c r="L780" s="13" t="s">
        <v>1012</v>
      </c>
      <c r="M780" s="44"/>
      <c r="N780" s="45" t="str">
        <f>_xlfn.IFNA(IF(VLOOKUP(tabPontoPed[[#This Row],[CÓDIGO]],Excluir_do_Estoque!$A$4:$A$4004,1,FALSE),"sim",""),"")</f>
        <v/>
      </c>
      <c r="O780" s="10" t="str">
        <f t="shared" si="12"/>
        <v>*</v>
      </c>
    </row>
    <row r="781" spans="1:15" x14ac:dyDescent="0.25">
      <c r="A781" s="2">
        <v>119180</v>
      </c>
      <c r="B781" s="4" t="s">
        <v>143</v>
      </c>
      <c r="C781" s="41" t="s">
        <v>1345</v>
      </c>
      <c r="D781" s="42">
        <v>55</v>
      </c>
      <c r="E781" s="43">
        <v>37</v>
      </c>
      <c r="F781" s="50" t="str">
        <f>VLOOKUP(tabPontoPed[[#This Row],[GRUPO]],tabGrupos[#Data],2,FALSE)</f>
        <v>EQUIP. MAT. P/ GERACAO, TRANSM. DISTR. RETIF...</v>
      </c>
      <c r="G781" s="42" t="str">
        <f>VLOOKUP(tabPontoPed[[#This Row],[GRUPO]],tabGrupos[#Data],3,FALSE)</f>
        <v>MEL</v>
      </c>
      <c r="H781" s="41" t="s">
        <v>1339</v>
      </c>
      <c r="I781" s="9">
        <v>4</v>
      </c>
      <c r="J781" s="51">
        <v>1</v>
      </c>
      <c r="K781" s="7">
        <f>tabPontoPed[[#This Row],[QTDMÊS]] * tabPontoPed[[#This Row],[MENSAL]]</f>
        <v>4</v>
      </c>
      <c r="L781" s="13" t="s">
        <v>1012</v>
      </c>
      <c r="M781" s="44"/>
      <c r="N781" s="45" t="str">
        <f>_xlfn.IFNA(IF(VLOOKUP(tabPontoPed[[#This Row],[CÓDIGO]],Excluir_do_Estoque!$A$4:$A$4004,1,FALSE),"sim",""),"")</f>
        <v/>
      </c>
      <c r="O781" s="10" t="str">
        <f t="shared" si="12"/>
        <v>*</v>
      </c>
    </row>
    <row r="782" spans="1:15" x14ac:dyDescent="0.25">
      <c r="A782" s="2">
        <v>119181</v>
      </c>
      <c r="B782" s="4" t="s">
        <v>678</v>
      </c>
      <c r="C782" s="41" t="s">
        <v>1345</v>
      </c>
      <c r="D782" s="42">
        <v>55</v>
      </c>
      <c r="E782" s="43">
        <v>37</v>
      </c>
      <c r="F782" s="50" t="str">
        <f>VLOOKUP(tabPontoPed[[#This Row],[GRUPO]],tabGrupos[#Data],2,FALSE)</f>
        <v>EQUIP. MAT. P/ GERACAO, TRANSM. DISTR. RETIF...</v>
      </c>
      <c r="G782" s="42" t="str">
        <f>VLOOKUP(tabPontoPed[[#This Row],[GRUPO]],tabGrupos[#Data],3,FALSE)</f>
        <v>MEL</v>
      </c>
      <c r="H782" s="41" t="s">
        <v>1339</v>
      </c>
      <c r="I782" s="9">
        <v>4</v>
      </c>
      <c r="J782" s="51">
        <v>13</v>
      </c>
      <c r="K782" s="7">
        <f>tabPontoPed[[#This Row],[QTDMÊS]] * tabPontoPed[[#This Row],[MENSAL]]</f>
        <v>52</v>
      </c>
      <c r="L782" s="13" t="s">
        <v>1012</v>
      </c>
      <c r="M782" s="44"/>
      <c r="N782" s="45" t="str">
        <f>_xlfn.IFNA(IF(VLOOKUP(tabPontoPed[[#This Row],[CÓDIGO]],Excluir_do_Estoque!$A$4:$A$4004,1,FALSE),"sim",""),"")</f>
        <v/>
      </c>
      <c r="O782" s="10" t="str">
        <f t="shared" si="12"/>
        <v>*</v>
      </c>
    </row>
    <row r="783" spans="1:15" x14ac:dyDescent="0.25">
      <c r="A783" s="2">
        <v>119318</v>
      </c>
      <c r="B783" s="4" t="s">
        <v>403</v>
      </c>
      <c r="C783" s="41" t="s">
        <v>1345</v>
      </c>
      <c r="D783" s="42">
        <v>45</v>
      </c>
      <c r="E783" s="43">
        <v>8</v>
      </c>
      <c r="F783" s="50" t="str">
        <f>VLOOKUP(tabPontoPed[[#This Row],[GRUPO]],tabGrupos[#Data],2,FALSE)</f>
        <v>MAQ., EQUIP., COMP., ACES., MAT. PARA ESCRIT.E ESCOLAR</v>
      </c>
      <c r="G783" s="42" t="str">
        <f>VLOOKUP(tabPontoPed[[#This Row],[GRUPO]],tabGrupos[#Data],3,FALSE)</f>
        <v>EDU</v>
      </c>
      <c r="H783" s="41" t="s">
        <v>1339</v>
      </c>
      <c r="I783" s="9">
        <v>4</v>
      </c>
      <c r="J783" s="51">
        <v>5</v>
      </c>
      <c r="K783" s="7">
        <f>tabPontoPed[[#This Row],[QTDMÊS]] * tabPontoPed[[#This Row],[MENSAL]]</f>
        <v>20</v>
      </c>
      <c r="L783" s="13" t="s">
        <v>1012</v>
      </c>
      <c r="M783" s="44"/>
      <c r="N783" s="45" t="str">
        <f>_xlfn.IFNA(IF(VLOOKUP(tabPontoPed[[#This Row],[CÓDIGO]],Excluir_do_Estoque!$A$4:$A$4004,1,FALSE),"sim",""),"")</f>
        <v/>
      </c>
      <c r="O783" s="10" t="str">
        <f t="shared" si="12"/>
        <v>*</v>
      </c>
    </row>
    <row r="784" spans="1:15" x14ac:dyDescent="0.25">
      <c r="A784" s="2">
        <v>119407</v>
      </c>
      <c r="B784" s="4" t="s">
        <v>941</v>
      </c>
      <c r="C784" s="41" t="s">
        <v>1345</v>
      </c>
      <c r="D784" s="42">
        <v>72</v>
      </c>
      <c r="E784" s="43">
        <v>10</v>
      </c>
      <c r="F784" s="50" t="str">
        <f>VLOOKUP(tabPontoPed[[#This Row],[GRUPO]],tabGrupos[#Data],2,FALSE)</f>
        <v>MAQ.EQUIP.E MATERIAIS P/ HIGIEN.LIMP.POLIM.E LUBR.</v>
      </c>
      <c r="G784" s="42" t="str">
        <f>VLOOKUP(tabPontoPed[[#This Row],[GRUPO]],tabGrupos[#Data],3,FALSE)</f>
        <v>ADM</v>
      </c>
      <c r="H784" s="41" t="s">
        <v>1339</v>
      </c>
      <c r="I784" s="9">
        <v>4</v>
      </c>
      <c r="J784" s="51">
        <v>236</v>
      </c>
      <c r="K784" s="7">
        <f>tabPontoPed[[#This Row],[QTDMÊS]] * tabPontoPed[[#This Row],[MENSAL]]</f>
        <v>944</v>
      </c>
      <c r="L784" s="13" t="s">
        <v>1012</v>
      </c>
      <c r="M784" s="44"/>
      <c r="N784" s="45" t="str">
        <f>_xlfn.IFNA(IF(VLOOKUP(tabPontoPed[[#This Row],[CÓDIGO]],Excluir_do_Estoque!$A$4:$A$4004,1,FALSE),"sim",""),"")</f>
        <v/>
      </c>
      <c r="O784" s="10" t="str">
        <f t="shared" si="12"/>
        <v>*</v>
      </c>
    </row>
    <row r="785" spans="1:15" x14ac:dyDescent="0.25">
      <c r="A785" s="2">
        <v>119514</v>
      </c>
      <c r="B785" s="4" t="s">
        <v>548</v>
      </c>
      <c r="C785" s="41" t="s">
        <v>1345</v>
      </c>
      <c r="D785" s="42">
        <v>51</v>
      </c>
      <c r="E785" s="43">
        <v>28</v>
      </c>
      <c r="F785" s="50" t="str">
        <f>VLOOKUP(tabPontoPed[[#This Row],[GRUPO]],tabGrupos[#Data],2,FALSE)</f>
        <v>MAT.E EQUIP. P/ CONSTR.CIVIL E CONSERV. DE VIAS PUBL.</v>
      </c>
      <c r="G785" s="42" t="str">
        <f>VLOOKUP(tabPontoPed[[#This Row],[GRUPO]],tabGrupos[#Data],3,FALSE)</f>
        <v>MCO</v>
      </c>
      <c r="H785" s="41" t="s">
        <v>1339</v>
      </c>
      <c r="I785" s="9">
        <v>4</v>
      </c>
      <c r="J785" s="51">
        <v>10</v>
      </c>
      <c r="K785" s="7">
        <f>tabPontoPed[[#This Row],[QTDMÊS]] * tabPontoPed[[#This Row],[MENSAL]]</f>
        <v>40</v>
      </c>
      <c r="L785" s="13" t="s">
        <v>1012</v>
      </c>
      <c r="M785" s="44"/>
      <c r="N785" s="45" t="str">
        <f>_xlfn.IFNA(IF(VLOOKUP(tabPontoPed[[#This Row],[CÓDIGO]],Excluir_do_Estoque!$A$4:$A$4004,1,FALSE),"sim",""),"")</f>
        <v/>
      </c>
      <c r="O785" s="10" t="str">
        <f t="shared" si="12"/>
        <v>*</v>
      </c>
    </row>
    <row r="786" spans="1:15" x14ac:dyDescent="0.25">
      <c r="A786" s="2">
        <v>119554</v>
      </c>
      <c r="B786" s="4" t="s">
        <v>953</v>
      </c>
      <c r="C786" s="41" t="s">
        <v>1345</v>
      </c>
      <c r="D786" s="42">
        <v>74</v>
      </c>
      <c r="E786" s="43">
        <v>9</v>
      </c>
      <c r="F786" s="50" t="str">
        <f>VLOOKUP(tabPontoPed[[#This Row],[GRUPO]],tabGrupos[#Data],2,FALSE)</f>
        <v>MADEIRAS,LAMINADOS,COMPENSADOS E AGLOMERADOS</v>
      </c>
      <c r="G786" s="42" t="str">
        <f>VLOOKUP(tabPontoPed[[#This Row],[GRUPO]],tabGrupos[#Data],3,FALSE)</f>
        <v>MCO</v>
      </c>
      <c r="H786" s="41" t="s">
        <v>1339</v>
      </c>
      <c r="I786" s="9">
        <v>4</v>
      </c>
      <c r="J786" s="51">
        <v>6</v>
      </c>
      <c r="K786" s="7">
        <f>tabPontoPed[[#This Row],[QTDMÊS]] * tabPontoPed[[#This Row],[MENSAL]]</f>
        <v>24</v>
      </c>
      <c r="L786" s="13" t="s">
        <v>1012</v>
      </c>
      <c r="M786" s="44"/>
      <c r="N786" s="45" t="str">
        <f>_xlfn.IFNA(IF(VLOOKUP(tabPontoPed[[#This Row],[CÓDIGO]],Excluir_do_Estoque!$A$4:$A$4004,1,FALSE),"sim",""),"")</f>
        <v/>
      </c>
      <c r="O786" s="10" t="str">
        <f t="shared" si="12"/>
        <v>*</v>
      </c>
    </row>
    <row r="787" spans="1:15" x14ac:dyDescent="0.25">
      <c r="A787" s="2">
        <v>119595</v>
      </c>
      <c r="B787" s="4" t="s">
        <v>187</v>
      </c>
      <c r="C787" s="41" t="s">
        <v>1345</v>
      </c>
      <c r="D787" s="42">
        <v>62</v>
      </c>
      <c r="E787" s="43">
        <v>26</v>
      </c>
      <c r="F787" s="50" t="str">
        <f>VLOOKUP(tabPontoPed[[#This Row],[GRUPO]],tabGrupos[#Data],2,FALSE)</f>
        <v>VEST., ART.P/ TOUC.E HIG. PES. MAQ., EQUIP., MAT.E ACES.</v>
      </c>
      <c r="G787" s="42" t="str">
        <f>VLOOKUP(tabPontoPed[[#This Row],[GRUPO]],tabGrupos[#Data],3,FALSE)</f>
        <v>ADM</v>
      </c>
      <c r="H787" s="41" t="s">
        <v>1339</v>
      </c>
      <c r="I787" s="9">
        <v>4</v>
      </c>
      <c r="J787" s="51">
        <v>130</v>
      </c>
      <c r="K787" s="7">
        <f>tabPontoPed[[#This Row],[QTDMÊS]] * tabPontoPed[[#This Row],[MENSAL]]</f>
        <v>520</v>
      </c>
      <c r="L787" s="13" t="s">
        <v>1012</v>
      </c>
      <c r="M787" s="44"/>
      <c r="N787" s="45" t="str">
        <f>_xlfn.IFNA(IF(VLOOKUP(tabPontoPed[[#This Row],[CÓDIGO]],Excluir_do_Estoque!$A$4:$A$4004,1,FALSE),"sim",""),"")</f>
        <v/>
      </c>
      <c r="O787" s="10" t="str">
        <f t="shared" si="12"/>
        <v>*</v>
      </c>
    </row>
    <row r="788" spans="1:15" x14ac:dyDescent="0.25">
      <c r="A788" s="2">
        <v>119621</v>
      </c>
      <c r="B788" s="4" t="s">
        <v>954</v>
      </c>
      <c r="C788" s="41" t="s">
        <v>1345</v>
      </c>
      <c r="D788" s="42">
        <v>74</v>
      </c>
      <c r="E788" s="43">
        <v>9</v>
      </c>
      <c r="F788" s="50" t="str">
        <f>VLOOKUP(tabPontoPed[[#This Row],[GRUPO]],tabGrupos[#Data],2,FALSE)</f>
        <v>MADEIRAS,LAMINADOS,COMPENSADOS E AGLOMERADOS</v>
      </c>
      <c r="G788" s="42" t="str">
        <f>VLOOKUP(tabPontoPed[[#This Row],[GRUPO]],tabGrupos[#Data],3,FALSE)</f>
        <v>MCO</v>
      </c>
      <c r="H788" s="41" t="s">
        <v>1339</v>
      </c>
      <c r="I788" s="9">
        <v>4</v>
      </c>
      <c r="J788" s="51">
        <v>64</v>
      </c>
      <c r="K788" s="7">
        <f>tabPontoPed[[#This Row],[QTDMÊS]] * tabPontoPed[[#This Row],[MENSAL]]</f>
        <v>256</v>
      </c>
      <c r="L788" s="13" t="s">
        <v>1012</v>
      </c>
      <c r="M788" s="44"/>
      <c r="N788" s="45" t="str">
        <f>_xlfn.IFNA(IF(VLOOKUP(tabPontoPed[[#This Row],[CÓDIGO]],Excluir_do_Estoque!$A$4:$A$4004,1,FALSE),"sim",""),"")</f>
        <v/>
      </c>
      <c r="O788" s="10" t="str">
        <f t="shared" si="12"/>
        <v>*</v>
      </c>
    </row>
    <row r="789" spans="1:15" x14ac:dyDescent="0.25">
      <c r="A789" s="2">
        <v>119627</v>
      </c>
      <c r="B789" s="4" t="s">
        <v>119</v>
      </c>
      <c r="C789" s="41" t="s">
        <v>1345</v>
      </c>
      <c r="D789" s="42">
        <v>55</v>
      </c>
      <c r="E789" s="43">
        <v>19</v>
      </c>
      <c r="F789" s="50" t="str">
        <f>VLOOKUP(tabPontoPed[[#This Row],[GRUPO]],tabGrupos[#Data],2,FALSE)</f>
        <v>EQUIP. MAT. P/ GERACAO, TRANSM. DISTR. RETIF...</v>
      </c>
      <c r="G789" s="42" t="str">
        <f>VLOOKUP(tabPontoPed[[#This Row],[GRUPO]],tabGrupos[#Data],3,FALSE)</f>
        <v>MEL</v>
      </c>
      <c r="H789" s="41" t="s">
        <v>1339</v>
      </c>
      <c r="I789" s="9">
        <v>4</v>
      </c>
      <c r="J789" s="51">
        <v>78</v>
      </c>
      <c r="K789" s="7">
        <f>tabPontoPed[[#This Row],[QTDMÊS]] * tabPontoPed[[#This Row],[MENSAL]]</f>
        <v>312</v>
      </c>
      <c r="L789" s="13" t="s">
        <v>1012</v>
      </c>
      <c r="M789" s="44"/>
      <c r="N789" s="45" t="str">
        <f>_xlfn.IFNA(IF(VLOOKUP(tabPontoPed[[#This Row],[CÓDIGO]],Excluir_do_Estoque!$A$4:$A$4004,1,FALSE),"sim",""),"")</f>
        <v/>
      </c>
      <c r="O789" s="10" t="str">
        <f t="shared" si="12"/>
        <v>*</v>
      </c>
    </row>
    <row r="790" spans="1:15" x14ac:dyDescent="0.25">
      <c r="A790" s="2">
        <v>119628</v>
      </c>
      <c r="B790" s="4" t="s">
        <v>132</v>
      </c>
      <c r="C790" s="41" t="s">
        <v>1345</v>
      </c>
      <c r="D790" s="42">
        <v>55</v>
      </c>
      <c r="E790" s="43">
        <v>19</v>
      </c>
      <c r="F790" s="50" t="str">
        <f>VLOOKUP(tabPontoPed[[#This Row],[GRUPO]],tabGrupos[#Data],2,FALSE)</f>
        <v>EQUIP. MAT. P/ GERACAO, TRANSM. DISTR. RETIF...</v>
      </c>
      <c r="G790" s="42" t="str">
        <f>VLOOKUP(tabPontoPed[[#This Row],[GRUPO]],tabGrupos[#Data],3,FALSE)</f>
        <v>MEL</v>
      </c>
      <c r="H790" s="41" t="s">
        <v>1339</v>
      </c>
      <c r="I790" s="9">
        <v>4</v>
      </c>
      <c r="J790" s="51">
        <v>20</v>
      </c>
      <c r="K790" s="7">
        <f>tabPontoPed[[#This Row],[QTDMÊS]] * tabPontoPed[[#This Row],[MENSAL]]</f>
        <v>80</v>
      </c>
      <c r="L790" s="13" t="s">
        <v>1012</v>
      </c>
      <c r="M790" s="44"/>
      <c r="N790" s="45" t="str">
        <f>_xlfn.IFNA(IF(VLOOKUP(tabPontoPed[[#This Row],[CÓDIGO]],Excluir_do_Estoque!$A$4:$A$4004,1,FALSE),"sim",""),"")</f>
        <v/>
      </c>
      <c r="O790" s="10" t="str">
        <f t="shared" si="12"/>
        <v>*</v>
      </c>
    </row>
    <row r="791" spans="1:15" x14ac:dyDescent="0.25">
      <c r="A791" s="2">
        <v>119810</v>
      </c>
      <c r="B791" s="4" t="s">
        <v>370</v>
      </c>
      <c r="C791" s="41" t="s">
        <v>1345</v>
      </c>
      <c r="D791" s="42">
        <v>55</v>
      </c>
      <c r="E791" s="43">
        <v>52</v>
      </c>
      <c r="F791" s="50" t="str">
        <f>VLOOKUP(tabPontoPed[[#This Row],[GRUPO]],tabGrupos[#Data],2,FALSE)</f>
        <v>EQUIP. MAT. P/ GERACAO, TRANSM. DISTR. RETIF...</v>
      </c>
      <c r="G791" s="42" t="str">
        <f>VLOOKUP(tabPontoPed[[#This Row],[GRUPO]],tabGrupos[#Data],3,FALSE)</f>
        <v>MEL</v>
      </c>
      <c r="H791" s="41" t="s">
        <v>1339</v>
      </c>
      <c r="I791" s="9">
        <v>4</v>
      </c>
      <c r="J791" s="51">
        <v>11</v>
      </c>
      <c r="K791" s="7">
        <f>tabPontoPed[[#This Row],[QTDMÊS]] * tabPontoPed[[#This Row],[MENSAL]]</f>
        <v>44</v>
      </c>
      <c r="L791" s="13" t="s">
        <v>1012</v>
      </c>
      <c r="M791" s="44"/>
      <c r="N791" s="45" t="str">
        <f>_xlfn.IFNA(IF(VLOOKUP(tabPontoPed[[#This Row],[CÓDIGO]],Excluir_do_Estoque!$A$4:$A$4004,1,FALSE),"sim",""),"")</f>
        <v/>
      </c>
      <c r="O791" s="10" t="str">
        <f t="shared" si="12"/>
        <v>*</v>
      </c>
    </row>
    <row r="792" spans="1:15" x14ac:dyDescent="0.25">
      <c r="A792" s="2">
        <v>119811</v>
      </c>
      <c r="B792" s="4" t="s">
        <v>371</v>
      </c>
      <c r="C792" s="41" t="s">
        <v>1345</v>
      </c>
      <c r="D792" s="42">
        <v>55</v>
      </c>
      <c r="E792" s="43">
        <v>52</v>
      </c>
      <c r="F792" s="50" t="str">
        <f>VLOOKUP(tabPontoPed[[#This Row],[GRUPO]],tabGrupos[#Data],2,FALSE)</f>
        <v>EQUIP. MAT. P/ GERACAO, TRANSM. DISTR. RETIF...</v>
      </c>
      <c r="G792" s="42" t="str">
        <f>VLOOKUP(tabPontoPed[[#This Row],[GRUPO]],tabGrupos[#Data],3,FALSE)</f>
        <v>MEL</v>
      </c>
      <c r="H792" s="41" t="s">
        <v>1339</v>
      </c>
      <c r="I792" s="9">
        <v>4</v>
      </c>
      <c r="J792" s="51">
        <v>41</v>
      </c>
      <c r="K792" s="7">
        <f>tabPontoPed[[#This Row],[QTDMÊS]] * tabPontoPed[[#This Row],[MENSAL]]</f>
        <v>164</v>
      </c>
      <c r="L792" s="13" t="s">
        <v>1012</v>
      </c>
      <c r="M792" s="44"/>
      <c r="N792" s="45" t="str">
        <f>_xlfn.IFNA(IF(VLOOKUP(tabPontoPed[[#This Row],[CÓDIGO]],Excluir_do_Estoque!$A$4:$A$4004,1,FALSE),"sim",""),"")</f>
        <v/>
      </c>
      <c r="O792" s="10" t="str">
        <f t="shared" si="12"/>
        <v>*</v>
      </c>
    </row>
    <row r="793" spans="1:15" x14ac:dyDescent="0.25">
      <c r="A793" s="2">
        <v>120477</v>
      </c>
      <c r="B793" s="4" t="s">
        <v>377</v>
      </c>
      <c r="C793" s="41" t="s">
        <v>1345</v>
      </c>
      <c r="D793" s="42">
        <v>55</v>
      </c>
      <c r="E793" s="43">
        <v>63</v>
      </c>
      <c r="F793" s="50" t="str">
        <f>VLOOKUP(tabPontoPed[[#This Row],[GRUPO]],tabGrupos[#Data],2,FALSE)</f>
        <v>EQUIP. MAT. P/ GERACAO, TRANSM. DISTR. RETIF...</v>
      </c>
      <c r="G793" s="42" t="str">
        <f>VLOOKUP(tabPontoPed[[#This Row],[GRUPO]],tabGrupos[#Data],3,FALSE)</f>
        <v>MEL</v>
      </c>
      <c r="H793" s="41" t="s">
        <v>1339</v>
      </c>
      <c r="I793" s="9">
        <v>4</v>
      </c>
      <c r="J793" s="51">
        <v>7</v>
      </c>
      <c r="K793" s="7">
        <f>tabPontoPed[[#This Row],[QTDMÊS]] * tabPontoPed[[#This Row],[MENSAL]]</f>
        <v>28</v>
      </c>
      <c r="L793" s="13" t="s">
        <v>1012</v>
      </c>
      <c r="M793" s="44"/>
      <c r="N793" s="45" t="str">
        <f>_xlfn.IFNA(IF(VLOOKUP(tabPontoPed[[#This Row],[CÓDIGO]],Excluir_do_Estoque!$A$4:$A$4004,1,FALSE),"sim",""),"")</f>
        <v/>
      </c>
      <c r="O793" s="10" t="str">
        <f t="shared" si="12"/>
        <v>*</v>
      </c>
    </row>
    <row r="794" spans="1:15" x14ac:dyDescent="0.25">
      <c r="A794" s="2">
        <v>120615</v>
      </c>
      <c r="B794" s="4" t="s">
        <v>979</v>
      </c>
      <c r="C794" s="41" t="s">
        <v>1345</v>
      </c>
      <c r="D794" s="42">
        <v>80</v>
      </c>
      <c r="E794" s="43">
        <v>13</v>
      </c>
      <c r="F794" s="50" t="str">
        <f>VLOOKUP(tabPontoPed[[#This Row],[GRUPO]],tabGrupos[#Data],2,FALSE)</f>
        <v>CABOS CORRENTES CORDAS ESTICADORES E ART. BORRACHA</v>
      </c>
      <c r="G794" s="42" t="str">
        <f>VLOOKUP(tabPontoPed[[#This Row],[GRUPO]],tabGrupos[#Data],3,FALSE)</f>
        <v>MAN</v>
      </c>
      <c r="H794" s="41" t="s">
        <v>1339</v>
      </c>
      <c r="I794" s="9">
        <v>4</v>
      </c>
      <c r="J794" s="51">
        <v>5</v>
      </c>
      <c r="K794" s="7">
        <f>tabPontoPed[[#This Row],[QTDMÊS]] * tabPontoPed[[#This Row],[MENSAL]]</f>
        <v>20</v>
      </c>
      <c r="L794" s="13" t="s">
        <v>1012</v>
      </c>
      <c r="M794" s="44"/>
      <c r="N794" s="45" t="str">
        <f>_xlfn.IFNA(IF(VLOOKUP(tabPontoPed[[#This Row],[CÓDIGO]],Excluir_do_Estoque!$A$4:$A$4004,1,FALSE),"sim",""),"")</f>
        <v/>
      </c>
      <c r="O794" s="10" t="str">
        <f t="shared" si="12"/>
        <v>*</v>
      </c>
    </row>
    <row r="795" spans="1:15" x14ac:dyDescent="0.25">
      <c r="A795" s="2">
        <v>120995</v>
      </c>
      <c r="B795" s="4" t="s">
        <v>657</v>
      </c>
      <c r="C795" s="41" t="s">
        <v>1345</v>
      </c>
      <c r="D795" s="42">
        <v>55</v>
      </c>
      <c r="E795" s="43">
        <v>32</v>
      </c>
      <c r="F795" s="50" t="str">
        <f>VLOOKUP(tabPontoPed[[#This Row],[GRUPO]],tabGrupos[#Data],2,FALSE)</f>
        <v>EQUIP. MAT. P/ GERACAO, TRANSM. DISTR. RETIF...</v>
      </c>
      <c r="G795" s="42" t="str">
        <f>VLOOKUP(tabPontoPed[[#This Row],[GRUPO]],tabGrupos[#Data],3,FALSE)</f>
        <v>MEL</v>
      </c>
      <c r="H795" s="41" t="s">
        <v>1339</v>
      </c>
      <c r="I795" s="9">
        <v>4</v>
      </c>
      <c r="J795" s="51">
        <v>3</v>
      </c>
      <c r="K795" s="7">
        <f>tabPontoPed[[#This Row],[QTDMÊS]] * tabPontoPed[[#This Row],[MENSAL]]</f>
        <v>12</v>
      </c>
      <c r="L795" s="13" t="s">
        <v>1012</v>
      </c>
      <c r="M795" s="44"/>
      <c r="N795" s="45" t="str">
        <f>_xlfn.IFNA(IF(VLOOKUP(tabPontoPed[[#This Row],[CÓDIGO]],Excluir_do_Estoque!$A$4:$A$4004,1,FALSE),"sim",""),"")</f>
        <v/>
      </c>
      <c r="O795" s="10" t="str">
        <f t="shared" si="12"/>
        <v>*</v>
      </c>
    </row>
    <row r="796" spans="1:15" x14ac:dyDescent="0.25">
      <c r="A796" s="2">
        <v>121054</v>
      </c>
      <c r="B796" s="4" t="s">
        <v>730</v>
      </c>
      <c r="C796" s="41" t="s">
        <v>1345</v>
      </c>
      <c r="D796" s="42">
        <v>61</v>
      </c>
      <c r="E796" s="43">
        <v>3</v>
      </c>
      <c r="F796" s="50" t="str">
        <f>VLOOKUP(tabPontoPed[[#This Row],[GRUPO]],tabGrupos[#Data],2,FALSE)</f>
        <v>MATERIAL HIDRAULICO, CANOS, TUBOS, MANGUEIRAS, CONEXOES E ACESS.</v>
      </c>
      <c r="G796" s="42" t="str">
        <f>VLOOKUP(tabPontoPed[[#This Row],[GRUPO]],tabGrupos[#Data],3,FALSE)</f>
        <v>MHI</v>
      </c>
      <c r="H796" s="41" t="s">
        <v>1339</v>
      </c>
      <c r="I796" s="9">
        <v>4</v>
      </c>
      <c r="J796" s="51">
        <v>11</v>
      </c>
      <c r="K796" s="7">
        <f>tabPontoPed[[#This Row],[QTDMÊS]] * tabPontoPed[[#This Row],[MENSAL]]</f>
        <v>44</v>
      </c>
      <c r="L796" s="13" t="s">
        <v>1012</v>
      </c>
      <c r="M796" s="44"/>
      <c r="N796" s="45" t="str">
        <f>_xlfn.IFNA(IF(VLOOKUP(tabPontoPed[[#This Row],[CÓDIGO]],Excluir_do_Estoque!$A$4:$A$4004,1,FALSE),"sim",""),"")</f>
        <v/>
      </c>
      <c r="O796" s="10" t="str">
        <f t="shared" si="12"/>
        <v>*</v>
      </c>
    </row>
    <row r="797" spans="1:15" x14ac:dyDescent="0.25">
      <c r="A797" s="2">
        <v>121086</v>
      </c>
      <c r="B797" s="4" t="s">
        <v>955</v>
      </c>
      <c r="C797" s="41" t="s">
        <v>1345</v>
      </c>
      <c r="D797" s="42">
        <v>75</v>
      </c>
      <c r="E797" s="43">
        <v>5</v>
      </c>
      <c r="F797" s="50" t="e">
        <f>VLOOKUP(tabPontoPed[[#This Row],[GRUPO]],tabGrupos[#Data],2,FALSE)</f>
        <v>#N/A</v>
      </c>
      <c r="G797" s="42" t="e">
        <f>VLOOKUP(tabPontoPed[[#This Row],[GRUPO]],tabGrupos[#Data],3,FALSE)</f>
        <v>#N/A</v>
      </c>
      <c r="H797" s="41" t="s">
        <v>1339</v>
      </c>
      <c r="I797" s="9">
        <v>4</v>
      </c>
      <c r="J797" s="51">
        <v>1</v>
      </c>
      <c r="K797" s="7">
        <f>tabPontoPed[[#This Row],[QTDMÊS]] * tabPontoPed[[#This Row],[MENSAL]]</f>
        <v>4</v>
      </c>
      <c r="L797" s="13" t="s">
        <v>1012</v>
      </c>
      <c r="M797" s="44"/>
      <c r="N797" s="45" t="str">
        <f>_xlfn.IFNA(IF(VLOOKUP(tabPontoPed[[#This Row],[CÓDIGO]],Excluir_do_Estoque!$A$4:$A$4004,1,FALSE),"sim",""),"")</f>
        <v/>
      </c>
      <c r="O797" s="10" t="str">
        <f t="shared" si="12"/>
        <v>*</v>
      </c>
    </row>
    <row r="798" spans="1:15" x14ac:dyDescent="0.25">
      <c r="A798" s="2">
        <v>121126</v>
      </c>
      <c r="B798" s="4" t="s">
        <v>816</v>
      </c>
      <c r="C798" s="41" t="s">
        <v>1345</v>
      </c>
      <c r="D798" s="42">
        <v>62</v>
      </c>
      <c r="E798" s="43">
        <v>10</v>
      </c>
      <c r="F798" s="50" t="str">
        <f>VLOOKUP(tabPontoPed[[#This Row],[GRUPO]],tabGrupos[#Data],2,FALSE)</f>
        <v>VEST., ART.P/ TOUC.E HIG. PES. MAQ., EQUIP., MAT.E ACES.</v>
      </c>
      <c r="G798" s="42" t="str">
        <f>VLOOKUP(tabPontoPed[[#This Row],[GRUPO]],tabGrupos[#Data],3,FALSE)</f>
        <v>ADM</v>
      </c>
      <c r="H798" s="41" t="s">
        <v>1339</v>
      </c>
      <c r="I798" s="9">
        <v>4</v>
      </c>
      <c r="J798" s="51">
        <v>1809</v>
      </c>
      <c r="K798" s="7">
        <f>tabPontoPed[[#This Row],[QTDMÊS]] * tabPontoPed[[#This Row],[MENSAL]]</f>
        <v>7236</v>
      </c>
      <c r="L798" s="13" t="s">
        <v>1012</v>
      </c>
      <c r="M798" s="44"/>
      <c r="N798" s="45" t="str">
        <f>_xlfn.IFNA(IF(VLOOKUP(tabPontoPed[[#This Row],[CÓDIGO]],Excluir_do_Estoque!$A$4:$A$4004,1,FALSE),"sim",""),"")</f>
        <v/>
      </c>
      <c r="O798" s="10" t="str">
        <f t="shared" si="12"/>
        <v>*</v>
      </c>
    </row>
    <row r="799" spans="1:15" x14ac:dyDescent="0.25">
      <c r="A799" s="2">
        <v>121214</v>
      </c>
      <c r="B799" s="4" t="s">
        <v>171</v>
      </c>
      <c r="C799" s="41" t="s">
        <v>1345</v>
      </c>
      <c r="D799" s="42">
        <v>83</v>
      </c>
      <c r="E799" s="43">
        <v>8</v>
      </c>
      <c r="F799" s="50" t="str">
        <f>VLOOKUP(tabPontoPed[[#This Row],[GRUPO]],tabGrupos[#Data],2,FALSE)</f>
        <v>ABRASIVOS</v>
      </c>
      <c r="G799" s="42" t="str">
        <f>VLOOKUP(tabPontoPed[[#This Row],[GRUPO]],tabGrupos[#Data],3,FALSE)</f>
        <v>MAN</v>
      </c>
      <c r="H799" s="41" t="s">
        <v>1339</v>
      </c>
      <c r="I799" s="9">
        <v>4</v>
      </c>
      <c r="J799" s="51">
        <v>12</v>
      </c>
      <c r="K799" s="7">
        <f>tabPontoPed[[#This Row],[QTDMÊS]] * tabPontoPed[[#This Row],[MENSAL]]</f>
        <v>48</v>
      </c>
      <c r="L799" s="13" t="s">
        <v>1012</v>
      </c>
      <c r="M799" s="44"/>
      <c r="N799" s="45" t="str">
        <f>_xlfn.IFNA(IF(VLOOKUP(tabPontoPed[[#This Row],[CÓDIGO]],Excluir_do_Estoque!$A$4:$A$4004,1,FALSE),"sim",""),"")</f>
        <v/>
      </c>
      <c r="O799" s="10" t="str">
        <f t="shared" si="12"/>
        <v>*</v>
      </c>
    </row>
    <row r="800" spans="1:15" x14ac:dyDescent="0.25">
      <c r="A800" s="2">
        <v>121292</v>
      </c>
      <c r="B800" s="4" t="s">
        <v>367</v>
      </c>
      <c r="C800" s="41" t="s">
        <v>1345</v>
      </c>
      <c r="D800" s="42">
        <v>55</v>
      </c>
      <c r="E800" s="43">
        <v>49</v>
      </c>
      <c r="F800" s="50" t="str">
        <f>VLOOKUP(tabPontoPed[[#This Row],[GRUPO]],tabGrupos[#Data],2,FALSE)</f>
        <v>EQUIP. MAT. P/ GERACAO, TRANSM. DISTR. RETIF...</v>
      </c>
      <c r="G800" s="42" t="str">
        <f>VLOOKUP(tabPontoPed[[#This Row],[GRUPO]],tabGrupos[#Data],3,FALSE)</f>
        <v>MEL</v>
      </c>
      <c r="H800" s="41" t="s">
        <v>1339</v>
      </c>
      <c r="I800" s="9">
        <v>4</v>
      </c>
      <c r="J800" s="51">
        <v>6</v>
      </c>
      <c r="K800" s="7">
        <f>tabPontoPed[[#This Row],[QTDMÊS]] * tabPontoPed[[#This Row],[MENSAL]]</f>
        <v>24</v>
      </c>
      <c r="L800" s="13" t="s">
        <v>1012</v>
      </c>
      <c r="M800" s="44"/>
      <c r="N800" s="45" t="str">
        <f>_xlfn.IFNA(IF(VLOOKUP(tabPontoPed[[#This Row],[CÓDIGO]],Excluir_do_Estoque!$A$4:$A$4004,1,FALSE),"sim",""),"")</f>
        <v/>
      </c>
      <c r="O800" s="10" t="str">
        <f t="shared" si="12"/>
        <v>*</v>
      </c>
    </row>
    <row r="801" spans="1:15" x14ac:dyDescent="0.25">
      <c r="A801" s="2">
        <v>122304</v>
      </c>
      <c r="B801" s="4" t="s">
        <v>169</v>
      </c>
      <c r="C801" s="41" t="s">
        <v>1345</v>
      </c>
      <c r="D801" s="42">
        <v>83</v>
      </c>
      <c r="E801" s="43">
        <v>4</v>
      </c>
      <c r="F801" s="50" t="str">
        <f>VLOOKUP(tabPontoPed[[#This Row],[GRUPO]],tabGrupos[#Data],2,FALSE)</f>
        <v>ABRASIVOS</v>
      </c>
      <c r="G801" s="42" t="str">
        <f>VLOOKUP(tabPontoPed[[#This Row],[GRUPO]],tabGrupos[#Data],3,FALSE)</f>
        <v>MAN</v>
      </c>
      <c r="H801" s="41" t="s">
        <v>1339</v>
      </c>
      <c r="I801" s="9">
        <v>4</v>
      </c>
      <c r="J801" s="51">
        <v>44</v>
      </c>
      <c r="K801" s="7">
        <f>tabPontoPed[[#This Row],[QTDMÊS]] * tabPontoPed[[#This Row],[MENSAL]]</f>
        <v>176</v>
      </c>
      <c r="L801" s="13" t="s">
        <v>1012</v>
      </c>
      <c r="M801" s="44"/>
      <c r="N801" s="45" t="str">
        <f>_xlfn.IFNA(IF(VLOOKUP(tabPontoPed[[#This Row],[CÓDIGO]],Excluir_do_Estoque!$A$4:$A$4004,1,FALSE),"sim",""),"")</f>
        <v/>
      </c>
      <c r="O801" s="10" t="str">
        <f t="shared" si="12"/>
        <v>*</v>
      </c>
    </row>
    <row r="802" spans="1:15" x14ac:dyDescent="0.25">
      <c r="A802" s="2">
        <v>122305</v>
      </c>
      <c r="B802" s="4" t="s">
        <v>992</v>
      </c>
      <c r="C802" s="41" t="s">
        <v>1345</v>
      </c>
      <c r="D802" s="42">
        <v>83</v>
      </c>
      <c r="E802" s="43">
        <v>4</v>
      </c>
      <c r="F802" s="50" t="str">
        <f>VLOOKUP(tabPontoPed[[#This Row],[GRUPO]],tabGrupos[#Data],2,FALSE)</f>
        <v>ABRASIVOS</v>
      </c>
      <c r="G802" s="42" t="str">
        <f>VLOOKUP(tabPontoPed[[#This Row],[GRUPO]],tabGrupos[#Data],3,FALSE)</f>
        <v>MAN</v>
      </c>
      <c r="H802" s="41" t="s">
        <v>1339</v>
      </c>
      <c r="I802" s="9">
        <v>4</v>
      </c>
      <c r="J802" s="51">
        <v>59</v>
      </c>
      <c r="K802" s="7">
        <f>tabPontoPed[[#This Row],[QTDMÊS]] * tabPontoPed[[#This Row],[MENSAL]]</f>
        <v>236</v>
      </c>
      <c r="L802" s="13" t="s">
        <v>1012</v>
      </c>
      <c r="M802" s="44"/>
      <c r="N802" s="45" t="str">
        <f>_xlfn.IFNA(IF(VLOOKUP(tabPontoPed[[#This Row],[CÓDIGO]],Excluir_do_Estoque!$A$4:$A$4004,1,FALSE),"sim",""),"")</f>
        <v/>
      </c>
      <c r="O802" s="10" t="str">
        <f t="shared" si="12"/>
        <v>*</v>
      </c>
    </row>
    <row r="803" spans="1:15" x14ac:dyDescent="0.25">
      <c r="A803" s="2">
        <v>122818</v>
      </c>
      <c r="B803" s="4" t="s">
        <v>534</v>
      </c>
      <c r="C803" s="41" t="s">
        <v>1345</v>
      </c>
      <c r="D803" s="42">
        <v>51</v>
      </c>
      <c r="E803" s="43">
        <v>21</v>
      </c>
      <c r="F803" s="50" t="str">
        <f>VLOOKUP(tabPontoPed[[#This Row],[GRUPO]],tabGrupos[#Data],2,FALSE)</f>
        <v>MAT.E EQUIP. P/ CONSTR.CIVIL E CONSERV. DE VIAS PUBL.</v>
      </c>
      <c r="G803" s="42" t="str">
        <f>VLOOKUP(tabPontoPed[[#This Row],[GRUPO]],tabGrupos[#Data],3,FALSE)</f>
        <v>MCO</v>
      </c>
      <c r="H803" s="41" t="s">
        <v>1339</v>
      </c>
      <c r="I803" s="9">
        <v>4</v>
      </c>
      <c r="J803" s="51">
        <v>25</v>
      </c>
      <c r="K803" s="7">
        <f>tabPontoPed[[#This Row],[QTDMÊS]] * tabPontoPed[[#This Row],[MENSAL]]</f>
        <v>100</v>
      </c>
      <c r="L803" s="13" t="s">
        <v>1012</v>
      </c>
      <c r="M803" s="44"/>
      <c r="N803" s="45" t="str">
        <f>_xlfn.IFNA(IF(VLOOKUP(tabPontoPed[[#This Row],[CÓDIGO]],Excluir_do_Estoque!$A$4:$A$4004,1,FALSE),"sim",""),"")</f>
        <v/>
      </c>
      <c r="O803" s="10" t="str">
        <f t="shared" si="12"/>
        <v>*</v>
      </c>
    </row>
    <row r="804" spans="1:15" x14ac:dyDescent="0.25">
      <c r="A804" s="2">
        <v>123131</v>
      </c>
      <c r="B804" s="4" t="s">
        <v>886</v>
      </c>
      <c r="C804" s="41" t="s">
        <v>1345</v>
      </c>
      <c r="D804" s="42">
        <v>69</v>
      </c>
      <c r="E804" s="43">
        <v>2</v>
      </c>
      <c r="F804" s="50" t="str">
        <f>VLOOKUP(tabPontoPed[[#This Row],[GRUPO]],tabGrupos[#Data],2,FALSE)</f>
        <v>METAIS,LAMINAD.,PERFILADOS E ARTEFATOS METALICOS</v>
      </c>
      <c r="G804" s="42" t="str">
        <f>VLOOKUP(tabPontoPed[[#This Row],[GRUPO]],tabGrupos[#Data],3,FALSE)</f>
        <v>MSE</v>
      </c>
      <c r="H804" s="41" t="s">
        <v>1339</v>
      </c>
      <c r="I804" s="9">
        <v>4</v>
      </c>
      <c r="J804" s="51">
        <v>3</v>
      </c>
      <c r="K804" s="7">
        <f>tabPontoPed[[#This Row],[QTDMÊS]] * tabPontoPed[[#This Row],[MENSAL]]</f>
        <v>12</v>
      </c>
      <c r="L804" s="13" t="s">
        <v>1012</v>
      </c>
      <c r="M804" s="44"/>
      <c r="N804" s="45" t="str">
        <f>_xlfn.IFNA(IF(VLOOKUP(tabPontoPed[[#This Row],[CÓDIGO]],Excluir_do_Estoque!$A$4:$A$4004,1,FALSE),"sim",""),"")</f>
        <v/>
      </c>
      <c r="O804" s="10" t="str">
        <f t="shared" si="12"/>
        <v>*</v>
      </c>
    </row>
    <row r="805" spans="1:15" x14ac:dyDescent="0.25">
      <c r="A805" s="2">
        <v>123132</v>
      </c>
      <c r="B805" s="4" t="s">
        <v>887</v>
      </c>
      <c r="C805" s="41" t="s">
        <v>1345</v>
      </c>
      <c r="D805" s="42">
        <v>69</v>
      </c>
      <c r="E805" s="43">
        <v>2</v>
      </c>
      <c r="F805" s="50" t="str">
        <f>VLOOKUP(tabPontoPed[[#This Row],[GRUPO]],tabGrupos[#Data],2,FALSE)</f>
        <v>METAIS,LAMINAD.,PERFILADOS E ARTEFATOS METALICOS</v>
      </c>
      <c r="G805" s="42" t="str">
        <f>VLOOKUP(tabPontoPed[[#This Row],[GRUPO]],tabGrupos[#Data],3,FALSE)</f>
        <v>MSE</v>
      </c>
      <c r="H805" s="41" t="s">
        <v>1339</v>
      </c>
      <c r="I805" s="9">
        <v>4</v>
      </c>
      <c r="J805" s="51">
        <v>9</v>
      </c>
      <c r="K805" s="7">
        <f>tabPontoPed[[#This Row],[QTDMÊS]] * tabPontoPed[[#This Row],[MENSAL]]</f>
        <v>36</v>
      </c>
      <c r="L805" s="13" t="s">
        <v>1012</v>
      </c>
      <c r="M805" s="44"/>
      <c r="N805" s="45" t="str">
        <f>_xlfn.IFNA(IF(VLOOKUP(tabPontoPed[[#This Row],[CÓDIGO]],Excluir_do_Estoque!$A$4:$A$4004,1,FALSE),"sim",""),"")</f>
        <v/>
      </c>
      <c r="O805" s="10" t="str">
        <f t="shared" si="12"/>
        <v>*</v>
      </c>
    </row>
    <row r="806" spans="1:15" x14ac:dyDescent="0.25">
      <c r="A806" s="2">
        <v>123133</v>
      </c>
      <c r="B806" s="4" t="s">
        <v>888</v>
      </c>
      <c r="C806" s="41" t="s">
        <v>1345</v>
      </c>
      <c r="D806" s="42">
        <v>69</v>
      </c>
      <c r="E806" s="43">
        <v>2</v>
      </c>
      <c r="F806" s="50" t="str">
        <f>VLOOKUP(tabPontoPed[[#This Row],[GRUPO]],tabGrupos[#Data],2,FALSE)</f>
        <v>METAIS,LAMINAD.,PERFILADOS E ARTEFATOS METALICOS</v>
      </c>
      <c r="G806" s="42" t="str">
        <f>VLOOKUP(tabPontoPed[[#This Row],[GRUPO]],tabGrupos[#Data],3,FALSE)</f>
        <v>MSE</v>
      </c>
      <c r="H806" s="41" t="s">
        <v>1339</v>
      </c>
      <c r="I806" s="9">
        <v>4</v>
      </c>
      <c r="J806" s="51">
        <v>5</v>
      </c>
      <c r="K806" s="7">
        <f>tabPontoPed[[#This Row],[QTDMÊS]] * tabPontoPed[[#This Row],[MENSAL]]</f>
        <v>20</v>
      </c>
      <c r="L806" s="13" t="s">
        <v>1012</v>
      </c>
      <c r="M806" s="44"/>
      <c r="N806" s="45" t="str">
        <f>_xlfn.IFNA(IF(VLOOKUP(tabPontoPed[[#This Row],[CÓDIGO]],Excluir_do_Estoque!$A$4:$A$4004,1,FALSE),"sim",""),"")</f>
        <v/>
      </c>
      <c r="O806" s="10" t="str">
        <f t="shared" si="12"/>
        <v>*</v>
      </c>
    </row>
    <row r="807" spans="1:15" x14ac:dyDescent="0.25">
      <c r="A807" s="2">
        <v>123146</v>
      </c>
      <c r="B807" s="4" t="s">
        <v>501</v>
      </c>
      <c r="C807" s="41" t="s">
        <v>1345</v>
      </c>
      <c r="D807" s="42">
        <v>51</v>
      </c>
      <c r="E807" s="43">
        <v>4</v>
      </c>
      <c r="F807" s="50" t="str">
        <f>VLOOKUP(tabPontoPed[[#This Row],[GRUPO]],tabGrupos[#Data],2,FALSE)</f>
        <v>MAT.E EQUIP. P/ CONSTR.CIVIL E CONSERV. DE VIAS PUBL.</v>
      </c>
      <c r="G807" s="42" t="str">
        <f>VLOOKUP(tabPontoPed[[#This Row],[GRUPO]],tabGrupos[#Data],3,FALSE)</f>
        <v>MCO</v>
      </c>
      <c r="H807" s="41" t="s">
        <v>1339</v>
      </c>
      <c r="I807" s="9">
        <v>4</v>
      </c>
      <c r="J807" s="51">
        <v>205</v>
      </c>
      <c r="K807" s="7">
        <f>tabPontoPed[[#This Row],[QTDMÊS]] * tabPontoPed[[#This Row],[MENSAL]]</f>
        <v>820</v>
      </c>
      <c r="L807" s="13" t="s">
        <v>1012</v>
      </c>
      <c r="M807" s="44"/>
      <c r="N807" s="45" t="str">
        <f>_xlfn.IFNA(IF(VLOOKUP(tabPontoPed[[#This Row],[CÓDIGO]],Excluir_do_Estoque!$A$4:$A$4004,1,FALSE),"sim",""),"")</f>
        <v/>
      </c>
      <c r="O807" s="10" t="str">
        <f t="shared" si="12"/>
        <v>*</v>
      </c>
    </row>
    <row r="808" spans="1:15" x14ac:dyDescent="0.25">
      <c r="A808" s="2">
        <v>123350</v>
      </c>
      <c r="B808" s="4" t="s">
        <v>852</v>
      </c>
      <c r="C808" s="41" t="s">
        <v>1345</v>
      </c>
      <c r="D808" s="42">
        <v>67</v>
      </c>
      <c r="E808" s="43">
        <v>7</v>
      </c>
      <c r="F808" s="50" t="str">
        <f>VLOOKUP(tabPontoPed[[#This Row],[GRUPO]],tabGrupos[#Data],2,FALSE)</f>
        <v>PARAFUSOS ELEM. VEDACAO UNIAO CONEX . FIXACAO</v>
      </c>
      <c r="G808" s="42" t="str">
        <f>VLOOKUP(tabPontoPed[[#This Row],[GRUPO]],tabGrupos[#Data],3,FALSE)</f>
        <v>MSE</v>
      </c>
      <c r="H808" s="41" t="s">
        <v>1339</v>
      </c>
      <c r="I808" s="9">
        <v>4</v>
      </c>
      <c r="J808" s="51">
        <v>0</v>
      </c>
      <c r="K808" s="7">
        <f>tabPontoPed[[#This Row],[QTDMÊS]] * tabPontoPed[[#This Row],[MENSAL]]</f>
        <v>0</v>
      </c>
      <c r="L808" s="13" t="s">
        <v>1012</v>
      </c>
      <c r="M808" s="44"/>
      <c r="N808" s="45" t="str">
        <f>_xlfn.IFNA(IF(VLOOKUP(tabPontoPed[[#This Row],[CÓDIGO]],Excluir_do_Estoque!$A$4:$A$4004,1,FALSE),"sim",""),"")</f>
        <v/>
      </c>
      <c r="O808" s="10" t="str">
        <f t="shared" si="12"/>
        <v>*</v>
      </c>
    </row>
    <row r="809" spans="1:15" x14ac:dyDescent="0.25">
      <c r="A809" s="2">
        <v>123370</v>
      </c>
      <c r="B809" s="4" t="s">
        <v>628</v>
      </c>
      <c r="C809" s="41" t="s">
        <v>1345</v>
      </c>
      <c r="D809" s="42">
        <v>55</v>
      </c>
      <c r="E809" s="43">
        <v>19</v>
      </c>
      <c r="F809" s="50" t="str">
        <f>VLOOKUP(tabPontoPed[[#This Row],[GRUPO]],tabGrupos[#Data],2,FALSE)</f>
        <v>EQUIP. MAT. P/ GERACAO, TRANSM. DISTR. RETIF...</v>
      </c>
      <c r="G809" s="42" t="str">
        <f>VLOOKUP(tabPontoPed[[#This Row],[GRUPO]],tabGrupos[#Data],3,FALSE)</f>
        <v>MEL</v>
      </c>
      <c r="H809" s="41" t="s">
        <v>1339</v>
      </c>
      <c r="I809" s="9">
        <v>4</v>
      </c>
      <c r="J809" s="51">
        <v>0</v>
      </c>
      <c r="K809" s="7">
        <f>tabPontoPed[[#This Row],[QTDMÊS]] * tabPontoPed[[#This Row],[MENSAL]]</f>
        <v>0</v>
      </c>
      <c r="L809" s="13" t="s">
        <v>1012</v>
      </c>
      <c r="M809" s="44"/>
      <c r="N809" s="45" t="str">
        <f>_xlfn.IFNA(IF(VLOOKUP(tabPontoPed[[#This Row],[CÓDIGO]],Excluir_do_Estoque!$A$4:$A$4004,1,FALSE),"sim",""),"")</f>
        <v/>
      </c>
      <c r="O809" s="10" t="str">
        <f t="shared" si="12"/>
        <v>*</v>
      </c>
    </row>
    <row r="810" spans="1:15" x14ac:dyDescent="0.25">
      <c r="A810" s="2">
        <v>123371</v>
      </c>
      <c r="B810" s="4" t="s">
        <v>133</v>
      </c>
      <c r="C810" s="41" t="s">
        <v>1345</v>
      </c>
      <c r="D810" s="42">
        <v>55</v>
      </c>
      <c r="E810" s="43">
        <v>19</v>
      </c>
      <c r="F810" s="50" t="str">
        <f>VLOOKUP(tabPontoPed[[#This Row],[GRUPO]],tabGrupos[#Data],2,FALSE)</f>
        <v>EQUIP. MAT. P/ GERACAO, TRANSM. DISTR. RETIF...</v>
      </c>
      <c r="G810" s="42" t="str">
        <f>VLOOKUP(tabPontoPed[[#This Row],[GRUPO]],tabGrupos[#Data],3,FALSE)</f>
        <v>MEL</v>
      </c>
      <c r="H810" s="41" t="s">
        <v>1339</v>
      </c>
      <c r="I810" s="9">
        <v>4</v>
      </c>
      <c r="J810" s="51">
        <v>35</v>
      </c>
      <c r="K810" s="7">
        <f>tabPontoPed[[#This Row],[QTDMÊS]] * tabPontoPed[[#This Row],[MENSAL]]</f>
        <v>140</v>
      </c>
      <c r="L810" s="13" t="s">
        <v>1012</v>
      </c>
      <c r="M810" s="44"/>
      <c r="N810" s="45" t="str">
        <f>_xlfn.IFNA(IF(VLOOKUP(tabPontoPed[[#This Row],[CÓDIGO]],Excluir_do_Estoque!$A$4:$A$4004,1,FALSE),"sim",""),"")</f>
        <v/>
      </c>
      <c r="O810" s="10" t="str">
        <f t="shared" si="12"/>
        <v>*</v>
      </c>
    </row>
    <row r="811" spans="1:15" x14ac:dyDescent="0.25">
      <c r="A811" s="2">
        <v>123372</v>
      </c>
      <c r="B811" s="4" t="s">
        <v>114</v>
      </c>
      <c r="C811" s="41" t="s">
        <v>1345</v>
      </c>
      <c r="D811" s="42">
        <v>55</v>
      </c>
      <c r="E811" s="43">
        <v>19</v>
      </c>
      <c r="F811" s="50" t="str">
        <f>VLOOKUP(tabPontoPed[[#This Row],[GRUPO]],tabGrupos[#Data],2,FALSE)</f>
        <v>EQUIP. MAT. P/ GERACAO, TRANSM. DISTR. RETIF...</v>
      </c>
      <c r="G811" s="42" t="str">
        <f>VLOOKUP(tabPontoPed[[#This Row],[GRUPO]],tabGrupos[#Data],3,FALSE)</f>
        <v>MEL</v>
      </c>
      <c r="H811" s="41" t="s">
        <v>1339</v>
      </c>
      <c r="I811" s="9">
        <v>4</v>
      </c>
      <c r="J811" s="51">
        <v>10</v>
      </c>
      <c r="K811" s="7">
        <f>tabPontoPed[[#This Row],[QTDMÊS]] * tabPontoPed[[#This Row],[MENSAL]]</f>
        <v>40</v>
      </c>
      <c r="L811" s="13" t="s">
        <v>1012</v>
      </c>
      <c r="M811" s="44"/>
      <c r="N811" s="45" t="str">
        <f>_xlfn.IFNA(IF(VLOOKUP(tabPontoPed[[#This Row],[CÓDIGO]],Excluir_do_Estoque!$A$4:$A$4004,1,FALSE),"sim",""),"")</f>
        <v/>
      </c>
      <c r="O811" s="10" t="str">
        <f t="shared" si="12"/>
        <v>*</v>
      </c>
    </row>
    <row r="812" spans="1:15" x14ac:dyDescent="0.25">
      <c r="A812" s="2">
        <v>123373</v>
      </c>
      <c r="B812" s="4" t="s">
        <v>134</v>
      </c>
      <c r="C812" s="41" t="s">
        <v>1345</v>
      </c>
      <c r="D812" s="42">
        <v>55</v>
      </c>
      <c r="E812" s="43">
        <v>19</v>
      </c>
      <c r="F812" s="50" t="str">
        <f>VLOOKUP(tabPontoPed[[#This Row],[GRUPO]],tabGrupos[#Data],2,FALSE)</f>
        <v>EQUIP. MAT. P/ GERACAO, TRANSM. DISTR. RETIF...</v>
      </c>
      <c r="G812" s="42" t="str">
        <f>VLOOKUP(tabPontoPed[[#This Row],[GRUPO]],tabGrupos[#Data],3,FALSE)</f>
        <v>MEL</v>
      </c>
      <c r="H812" s="41" t="s">
        <v>1339</v>
      </c>
      <c r="I812" s="9">
        <v>4</v>
      </c>
      <c r="J812" s="51">
        <v>56</v>
      </c>
      <c r="K812" s="7">
        <f>tabPontoPed[[#This Row],[QTDMÊS]] * tabPontoPed[[#This Row],[MENSAL]]</f>
        <v>224</v>
      </c>
      <c r="L812" s="13" t="s">
        <v>1012</v>
      </c>
      <c r="M812" s="44"/>
      <c r="N812" s="45" t="str">
        <f>_xlfn.IFNA(IF(VLOOKUP(tabPontoPed[[#This Row],[CÓDIGO]],Excluir_do_Estoque!$A$4:$A$4004,1,FALSE),"sim",""),"")</f>
        <v/>
      </c>
      <c r="O812" s="10" t="str">
        <f t="shared" si="12"/>
        <v>*</v>
      </c>
    </row>
    <row r="813" spans="1:15" x14ac:dyDescent="0.25">
      <c r="A813" s="2">
        <v>123618</v>
      </c>
      <c r="B813" s="4" t="s">
        <v>889</v>
      </c>
      <c r="C813" s="41" t="s">
        <v>1345</v>
      </c>
      <c r="D813" s="42">
        <v>69</v>
      </c>
      <c r="E813" s="43">
        <v>2</v>
      </c>
      <c r="F813" s="50" t="str">
        <f>VLOOKUP(tabPontoPed[[#This Row],[GRUPO]],tabGrupos[#Data],2,FALSE)</f>
        <v>METAIS,LAMINAD.,PERFILADOS E ARTEFATOS METALICOS</v>
      </c>
      <c r="G813" s="42" t="str">
        <f>VLOOKUP(tabPontoPed[[#This Row],[GRUPO]],tabGrupos[#Data],3,FALSE)</f>
        <v>MSE</v>
      </c>
      <c r="H813" s="41" t="s">
        <v>1339</v>
      </c>
      <c r="I813" s="9">
        <v>4</v>
      </c>
      <c r="J813" s="51">
        <v>0</v>
      </c>
      <c r="K813" s="7">
        <f>tabPontoPed[[#This Row],[QTDMÊS]] * tabPontoPed[[#This Row],[MENSAL]]</f>
        <v>0</v>
      </c>
      <c r="L813" s="13" t="s">
        <v>1012</v>
      </c>
      <c r="M813" s="44"/>
      <c r="N813" s="45" t="str">
        <f>_xlfn.IFNA(IF(VLOOKUP(tabPontoPed[[#This Row],[CÓDIGO]],Excluir_do_Estoque!$A$4:$A$4004,1,FALSE),"sim",""),"")</f>
        <v/>
      </c>
      <c r="O813" s="10" t="str">
        <f t="shared" si="12"/>
        <v>*</v>
      </c>
    </row>
    <row r="814" spans="1:15" x14ac:dyDescent="0.25">
      <c r="A814" s="2">
        <v>123710</v>
      </c>
      <c r="B814" s="4" t="s">
        <v>731</v>
      </c>
      <c r="C814" s="41" t="s">
        <v>1345</v>
      </c>
      <c r="D814" s="42">
        <v>61</v>
      </c>
      <c r="E814" s="43">
        <v>4</v>
      </c>
      <c r="F814" s="50" t="str">
        <f>VLOOKUP(tabPontoPed[[#This Row],[GRUPO]],tabGrupos[#Data],2,FALSE)</f>
        <v>MATERIAL HIDRAULICO, CANOS, TUBOS, MANGUEIRAS, CONEXOES E ACESS.</v>
      </c>
      <c r="G814" s="42" t="str">
        <f>VLOOKUP(tabPontoPed[[#This Row],[GRUPO]],tabGrupos[#Data],3,FALSE)</f>
        <v>MHI</v>
      </c>
      <c r="H814" s="41" t="s">
        <v>1339</v>
      </c>
      <c r="I814" s="9">
        <v>4</v>
      </c>
      <c r="J814" s="51">
        <v>4</v>
      </c>
      <c r="K814" s="7">
        <f>tabPontoPed[[#This Row],[QTDMÊS]] * tabPontoPed[[#This Row],[MENSAL]]</f>
        <v>16</v>
      </c>
      <c r="L814" s="13" t="s">
        <v>1012</v>
      </c>
      <c r="M814" s="44"/>
      <c r="N814" s="45" t="str">
        <f>_xlfn.IFNA(IF(VLOOKUP(tabPontoPed[[#This Row],[CÓDIGO]],Excluir_do_Estoque!$A$4:$A$4004,1,FALSE),"sim",""),"")</f>
        <v/>
      </c>
      <c r="O814" s="10" t="str">
        <f t="shared" si="12"/>
        <v>*</v>
      </c>
    </row>
    <row r="815" spans="1:15" x14ac:dyDescent="0.25">
      <c r="A815" s="2">
        <v>124241</v>
      </c>
      <c r="B815" s="4" t="s">
        <v>307</v>
      </c>
      <c r="C815" s="41" t="s">
        <v>1345</v>
      </c>
      <c r="D815" s="42">
        <v>61</v>
      </c>
      <c r="E815" s="43">
        <v>10</v>
      </c>
      <c r="F815" s="50" t="str">
        <f>VLOOKUP(tabPontoPed[[#This Row],[GRUPO]],tabGrupos[#Data],2,FALSE)</f>
        <v>MATERIAL HIDRAULICO, CANOS, TUBOS, MANGUEIRAS, CONEXOES E ACESS.</v>
      </c>
      <c r="G815" s="42" t="str">
        <f>VLOOKUP(tabPontoPed[[#This Row],[GRUPO]],tabGrupos[#Data],3,FALSE)</f>
        <v>MHI</v>
      </c>
      <c r="H815" s="41" t="s">
        <v>1339</v>
      </c>
      <c r="I815" s="9">
        <v>4</v>
      </c>
      <c r="J815" s="51">
        <v>9</v>
      </c>
      <c r="K815" s="7">
        <f>tabPontoPed[[#This Row],[QTDMÊS]] * tabPontoPed[[#This Row],[MENSAL]]</f>
        <v>36</v>
      </c>
      <c r="L815" s="13" t="s">
        <v>1012</v>
      </c>
      <c r="M815" s="44"/>
      <c r="N815" s="45" t="str">
        <f>_xlfn.IFNA(IF(VLOOKUP(tabPontoPed[[#This Row],[CÓDIGO]],Excluir_do_Estoque!$A$4:$A$4004,1,FALSE),"sim",""),"")</f>
        <v/>
      </c>
      <c r="O815" s="10" t="str">
        <f t="shared" si="12"/>
        <v>*</v>
      </c>
    </row>
    <row r="816" spans="1:15" x14ac:dyDescent="0.25">
      <c r="A816" s="2">
        <v>124261</v>
      </c>
      <c r="B816" s="4" t="s">
        <v>76</v>
      </c>
      <c r="C816" s="41" t="s">
        <v>1345</v>
      </c>
      <c r="D816" s="42">
        <v>57</v>
      </c>
      <c r="E816" s="43">
        <v>15</v>
      </c>
      <c r="F816" s="50" t="str">
        <f>VLOOKUP(tabPontoPed[[#This Row],[GRUPO]],tabGrupos[#Data],2,FALSE)</f>
        <v>MAQ. E EQUIP. P/ IND. GRAFICA COMP. ACESS. E PAPEI</v>
      </c>
      <c r="G816" s="42" t="str">
        <f>VLOOKUP(tabPontoPed[[#This Row],[GRUPO]],tabGrupos[#Data],3,FALSE)</f>
        <v>EDU</v>
      </c>
      <c r="H816" s="41" t="s">
        <v>1339</v>
      </c>
      <c r="I816" s="9">
        <v>4</v>
      </c>
      <c r="J816" s="51">
        <v>797</v>
      </c>
      <c r="K816" s="7">
        <f>tabPontoPed[[#This Row],[QTDMÊS]] * tabPontoPed[[#This Row],[MENSAL]]</f>
        <v>3188</v>
      </c>
      <c r="L816" s="13" t="s">
        <v>1012</v>
      </c>
      <c r="M816" s="44"/>
      <c r="N816" s="45" t="str">
        <f>_xlfn.IFNA(IF(VLOOKUP(tabPontoPed[[#This Row],[CÓDIGO]],Excluir_do_Estoque!$A$4:$A$4004,1,FALSE),"sim",""),"")</f>
        <v/>
      </c>
      <c r="O816" s="10" t="str">
        <f t="shared" si="12"/>
        <v>*</v>
      </c>
    </row>
    <row r="817" spans="1:15" x14ac:dyDescent="0.25">
      <c r="A817" s="2">
        <v>124335</v>
      </c>
      <c r="B817" s="4" t="s">
        <v>692</v>
      </c>
      <c r="C817" s="41" t="s">
        <v>1345</v>
      </c>
      <c r="D817" s="42">
        <v>55</v>
      </c>
      <c r="E817" s="43">
        <v>49</v>
      </c>
      <c r="F817" s="50" t="str">
        <f>VLOOKUP(tabPontoPed[[#This Row],[GRUPO]],tabGrupos[#Data],2,FALSE)</f>
        <v>EQUIP. MAT. P/ GERACAO, TRANSM. DISTR. RETIF...</v>
      </c>
      <c r="G817" s="42" t="str">
        <f>VLOOKUP(tabPontoPed[[#This Row],[GRUPO]],tabGrupos[#Data],3,FALSE)</f>
        <v>MEL</v>
      </c>
      <c r="H817" s="41" t="s">
        <v>1339</v>
      </c>
      <c r="I817" s="9">
        <v>4</v>
      </c>
      <c r="J817" s="51">
        <v>7</v>
      </c>
      <c r="K817" s="7">
        <f>tabPontoPed[[#This Row],[QTDMÊS]] * tabPontoPed[[#This Row],[MENSAL]]</f>
        <v>28</v>
      </c>
      <c r="L817" s="13" t="s">
        <v>1012</v>
      </c>
      <c r="M817" s="44"/>
      <c r="N817" s="45" t="str">
        <f>_xlfn.IFNA(IF(VLOOKUP(tabPontoPed[[#This Row],[CÓDIGO]],Excluir_do_Estoque!$A$4:$A$4004,1,FALSE),"sim",""),"")</f>
        <v/>
      </c>
      <c r="O817" s="10" t="str">
        <f t="shared" si="12"/>
        <v>*</v>
      </c>
    </row>
    <row r="818" spans="1:15" x14ac:dyDescent="0.25">
      <c r="A818" s="2">
        <v>124963</v>
      </c>
      <c r="B818" s="4" t="s">
        <v>826</v>
      </c>
      <c r="C818" s="41" t="s">
        <v>1345</v>
      </c>
      <c r="D818" s="42">
        <v>67</v>
      </c>
      <c r="E818" s="43">
        <v>3</v>
      </c>
      <c r="F818" s="50" t="str">
        <f>VLOOKUP(tabPontoPed[[#This Row],[GRUPO]],tabGrupos[#Data],2,FALSE)</f>
        <v>PARAFUSOS ELEM. VEDACAO UNIAO CONEX . FIXACAO</v>
      </c>
      <c r="G818" s="42" t="str">
        <f>VLOOKUP(tabPontoPed[[#This Row],[GRUPO]],tabGrupos[#Data],3,FALSE)</f>
        <v>MSE</v>
      </c>
      <c r="H818" s="41" t="s">
        <v>1339</v>
      </c>
      <c r="I818" s="9">
        <v>4</v>
      </c>
      <c r="J818" s="51">
        <v>4</v>
      </c>
      <c r="K818" s="7">
        <f>tabPontoPed[[#This Row],[QTDMÊS]] * tabPontoPed[[#This Row],[MENSAL]]</f>
        <v>16</v>
      </c>
      <c r="L818" s="13" t="s">
        <v>1012</v>
      </c>
      <c r="M818" s="44"/>
      <c r="N818" s="45" t="str">
        <f>_xlfn.IFNA(IF(VLOOKUP(tabPontoPed[[#This Row],[CÓDIGO]],Excluir_do_Estoque!$A$4:$A$4004,1,FALSE),"sim",""),"")</f>
        <v/>
      </c>
      <c r="O818" s="10" t="str">
        <f t="shared" si="12"/>
        <v>*</v>
      </c>
    </row>
    <row r="819" spans="1:15" x14ac:dyDescent="0.25">
      <c r="A819" s="2">
        <v>124980</v>
      </c>
      <c r="B819" s="4" t="s">
        <v>115</v>
      </c>
      <c r="C819" s="41" t="s">
        <v>1345</v>
      </c>
      <c r="D819" s="42">
        <v>55</v>
      </c>
      <c r="E819" s="43">
        <v>19</v>
      </c>
      <c r="F819" s="50" t="str">
        <f>VLOOKUP(tabPontoPed[[#This Row],[GRUPO]],tabGrupos[#Data],2,FALSE)</f>
        <v>EQUIP. MAT. P/ GERACAO, TRANSM. DISTR. RETIF...</v>
      </c>
      <c r="G819" s="42" t="str">
        <f>VLOOKUP(tabPontoPed[[#This Row],[GRUPO]],tabGrupos[#Data],3,FALSE)</f>
        <v>MEL</v>
      </c>
      <c r="H819" s="41" t="s">
        <v>1339</v>
      </c>
      <c r="I819" s="9">
        <v>4</v>
      </c>
      <c r="J819" s="51">
        <v>9</v>
      </c>
      <c r="K819" s="7">
        <f>tabPontoPed[[#This Row],[QTDMÊS]] * tabPontoPed[[#This Row],[MENSAL]]</f>
        <v>36</v>
      </c>
      <c r="L819" s="13" t="s">
        <v>1012</v>
      </c>
      <c r="M819" s="44"/>
      <c r="N819" s="45" t="str">
        <f>_xlfn.IFNA(IF(VLOOKUP(tabPontoPed[[#This Row],[CÓDIGO]],Excluir_do_Estoque!$A$4:$A$4004,1,FALSE),"sim",""),"")</f>
        <v/>
      </c>
      <c r="O819" s="10" t="str">
        <f t="shared" si="12"/>
        <v>*</v>
      </c>
    </row>
    <row r="820" spans="1:15" x14ac:dyDescent="0.25">
      <c r="A820" s="2">
        <v>125173</v>
      </c>
      <c r="B820" s="4" t="s">
        <v>301</v>
      </c>
      <c r="C820" s="41" t="s">
        <v>1345</v>
      </c>
      <c r="D820" s="42">
        <v>61</v>
      </c>
      <c r="E820" s="43">
        <v>8</v>
      </c>
      <c r="F820" s="50" t="str">
        <f>VLOOKUP(tabPontoPed[[#This Row],[GRUPO]],tabGrupos[#Data],2,FALSE)</f>
        <v>MATERIAL HIDRAULICO, CANOS, TUBOS, MANGUEIRAS, CONEXOES E ACESS.</v>
      </c>
      <c r="G820" s="42" t="str">
        <f>VLOOKUP(tabPontoPed[[#This Row],[GRUPO]],tabGrupos[#Data],3,FALSE)</f>
        <v>MHI</v>
      </c>
      <c r="H820" s="41" t="s">
        <v>1339</v>
      </c>
      <c r="I820" s="9">
        <v>4</v>
      </c>
      <c r="J820" s="51">
        <v>7</v>
      </c>
      <c r="K820" s="7">
        <f>tabPontoPed[[#This Row],[QTDMÊS]] * tabPontoPed[[#This Row],[MENSAL]]</f>
        <v>28</v>
      </c>
      <c r="L820" s="13" t="s">
        <v>1012</v>
      </c>
      <c r="M820" s="44"/>
      <c r="N820" s="45" t="str">
        <f>_xlfn.IFNA(IF(VLOOKUP(tabPontoPed[[#This Row],[CÓDIGO]],Excluir_do_Estoque!$A$4:$A$4004,1,FALSE),"sim",""),"")</f>
        <v/>
      </c>
      <c r="O820" s="10" t="str">
        <f t="shared" si="12"/>
        <v>*</v>
      </c>
    </row>
    <row r="821" spans="1:15" x14ac:dyDescent="0.25">
      <c r="A821" s="2">
        <v>125201</v>
      </c>
      <c r="B821" s="4" t="s">
        <v>827</v>
      </c>
      <c r="C821" s="41" t="s">
        <v>1345</v>
      </c>
      <c r="D821" s="42">
        <v>67</v>
      </c>
      <c r="E821" s="43">
        <v>3</v>
      </c>
      <c r="F821" s="50" t="str">
        <f>VLOOKUP(tabPontoPed[[#This Row],[GRUPO]],tabGrupos[#Data],2,FALSE)</f>
        <v>PARAFUSOS ELEM. VEDACAO UNIAO CONEX . FIXACAO</v>
      </c>
      <c r="G821" s="42" t="str">
        <f>VLOOKUP(tabPontoPed[[#This Row],[GRUPO]],tabGrupos[#Data],3,FALSE)</f>
        <v>MSE</v>
      </c>
      <c r="H821" s="41" t="s">
        <v>1339</v>
      </c>
      <c r="I821" s="9">
        <v>4</v>
      </c>
      <c r="J821" s="51">
        <v>7</v>
      </c>
      <c r="K821" s="7">
        <f>tabPontoPed[[#This Row],[QTDMÊS]] * tabPontoPed[[#This Row],[MENSAL]]</f>
        <v>28</v>
      </c>
      <c r="L821" s="13" t="s">
        <v>1012</v>
      </c>
      <c r="M821" s="44"/>
      <c r="N821" s="45" t="str">
        <f>_xlfn.IFNA(IF(VLOOKUP(tabPontoPed[[#This Row],[CÓDIGO]],Excluir_do_Estoque!$A$4:$A$4004,1,FALSE),"sim",""),"")</f>
        <v/>
      </c>
      <c r="O821" s="10" t="str">
        <f t="shared" si="12"/>
        <v>*</v>
      </c>
    </row>
    <row r="822" spans="1:15" x14ac:dyDescent="0.25">
      <c r="A822" s="2">
        <v>125260</v>
      </c>
      <c r="B822" s="4" t="s">
        <v>535</v>
      </c>
      <c r="C822" s="41" t="s">
        <v>1345</v>
      </c>
      <c r="D822" s="42">
        <v>51</v>
      </c>
      <c r="E822" s="43">
        <v>21</v>
      </c>
      <c r="F822" s="50" t="str">
        <f>VLOOKUP(tabPontoPed[[#This Row],[GRUPO]],tabGrupos[#Data],2,FALSE)</f>
        <v>MAT.E EQUIP. P/ CONSTR.CIVIL E CONSERV. DE VIAS PUBL.</v>
      </c>
      <c r="G822" s="42" t="str">
        <f>VLOOKUP(tabPontoPed[[#This Row],[GRUPO]],tabGrupos[#Data],3,FALSE)</f>
        <v>MCO</v>
      </c>
      <c r="H822" s="41" t="s">
        <v>1339</v>
      </c>
      <c r="I822" s="9">
        <v>4</v>
      </c>
      <c r="J822" s="51">
        <v>27</v>
      </c>
      <c r="K822" s="7">
        <f>tabPontoPed[[#This Row],[QTDMÊS]] * tabPontoPed[[#This Row],[MENSAL]]</f>
        <v>108</v>
      </c>
      <c r="L822" s="13" t="s">
        <v>1012</v>
      </c>
      <c r="M822" s="44"/>
      <c r="N822" s="45" t="str">
        <f>_xlfn.IFNA(IF(VLOOKUP(tabPontoPed[[#This Row],[CÓDIGO]],Excluir_do_Estoque!$A$4:$A$4004,1,FALSE),"sim",""),"")</f>
        <v/>
      </c>
      <c r="O822" s="10" t="str">
        <f t="shared" si="12"/>
        <v>*</v>
      </c>
    </row>
    <row r="823" spans="1:15" x14ac:dyDescent="0.25">
      <c r="A823" s="2">
        <v>125262</v>
      </c>
      <c r="B823" s="4" t="s">
        <v>536</v>
      </c>
      <c r="C823" s="41" t="s">
        <v>1345</v>
      </c>
      <c r="D823" s="42">
        <v>51</v>
      </c>
      <c r="E823" s="43">
        <v>21</v>
      </c>
      <c r="F823" s="50" t="str">
        <f>VLOOKUP(tabPontoPed[[#This Row],[GRUPO]],tabGrupos[#Data],2,FALSE)</f>
        <v>MAT.E EQUIP. P/ CONSTR.CIVIL E CONSERV. DE VIAS PUBL.</v>
      </c>
      <c r="G823" s="42" t="str">
        <f>VLOOKUP(tabPontoPed[[#This Row],[GRUPO]],tabGrupos[#Data],3,FALSE)</f>
        <v>MCO</v>
      </c>
      <c r="H823" s="41" t="s">
        <v>1339</v>
      </c>
      <c r="I823" s="9">
        <v>4</v>
      </c>
      <c r="J823" s="51">
        <v>34</v>
      </c>
      <c r="K823" s="7">
        <f>tabPontoPed[[#This Row],[QTDMÊS]] * tabPontoPed[[#This Row],[MENSAL]]</f>
        <v>136</v>
      </c>
      <c r="L823" s="13" t="s">
        <v>1012</v>
      </c>
      <c r="M823" s="44"/>
      <c r="N823" s="45" t="str">
        <f>_xlfn.IFNA(IF(VLOOKUP(tabPontoPed[[#This Row],[CÓDIGO]],Excluir_do_Estoque!$A$4:$A$4004,1,FALSE),"sim",""),"")</f>
        <v/>
      </c>
      <c r="O823" s="10" t="str">
        <f t="shared" si="12"/>
        <v>*</v>
      </c>
    </row>
    <row r="824" spans="1:15" x14ac:dyDescent="0.25">
      <c r="A824" s="2">
        <v>125269</v>
      </c>
      <c r="B824" s="4" t="s">
        <v>208</v>
      </c>
      <c r="C824" s="41" t="s">
        <v>1345</v>
      </c>
      <c r="D824" s="42">
        <v>60</v>
      </c>
      <c r="E824" s="43">
        <v>21</v>
      </c>
      <c r="F824" s="50" t="str">
        <f>VLOOKUP(tabPontoPed[[#This Row],[GRUPO]],tabGrupos[#Data],2,FALSE)</f>
        <v>COMPUT.SOFT. PROCES. EQUIP. SUPRI. COMP. ACESS. INFORMAT</v>
      </c>
      <c r="G824" s="42" t="str">
        <f>VLOOKUP(tabPontoPed[[#This Row],[GRUPO]],tabGrupos[#Data],3,FALSE)</f>
        <v>INF</v>
      </c>
      <c r="H824" s="41" t="s">
        <v>1339</v>
      </c>
      <c r="I824" s="9">
        <v>4</v>
      </c>
      <c r="J824" s="51">
        <v>25</v>
      </c>
      <c r="K824" s="7">
        <f>tabPontoPed[[#This Row],[QTDMÊS]] * tabPontoPed[[#This Row],[MENSAL]]</f>
        <v>100</v>
      </c>
      <c r="L824" s="13" t="s">
        <v>1012</v>
      </c>
      <c r="M824" s="44"/>
      <c r="N824" s="45" t="str">
        <f>_xlfn.IFNA(IF(VLOOKUP(tabPontoPed[[#This Row],[CÓDIGO]],Excluir_do_Estoque!$A$4:$A$4004,1,FALSE),"sim",""),"")</f>
        <v/>
      </c>
      <c r="O824" s="10" t="str">
        <f t="shared" si="12"/>
        <v>*</v>
      </c>
    </row>
    <row r="825" spans="1:15" x14ac:dyDescent="0.25">
      <c r="A825" s="2">
        <v>125641</v>
      </c>
      <c r="B825" s="4" t="s">
        <v>206</v>
      </c>
      <c r="C825" s="41" t="s">
        <v>1345</v>
      </c>
      <c r="D825" s="42">
        <v>62</v>
      </c>
      <c r="E825" s="43">
        <v>26</v>
      </c>
      <c r="F825" s="50" t="str">
        <f>VLOOKUP(tabPontoPed[[#This Row],[GRUPO]],tabGrupos[#Data],2,FALSE)</f>
        <v>VEST., ART.P/ TOUC.E HIG. PES. MAQ., EQUIP., MAT.E ACES.</v>
      </c>
      <c r="G825" s="42" t="str">
        <f>VLOOKUP(tabPontoPed[[#This Row],[GRUPO]],tabGrupos[#Data],3,FALSE)</f>
        <v>ADM</v>
      </c>
      <c r="H825" s="41" t="s">
        <v>1339</v>
      </c>
      <c r="I825" s="9">
        <v>4</v>
      </c>
      <c r="J825" s="51">
        <v>6311</v>
      </c>
      <c r="K825" s="7">
        <f>tabPontoPed[[#This Row],[QTDMÊS]] * tabPontoPed[[#This Row],[MENSAL]]</f>
        <v>25244</v>
      </c>
      <c r="L825" s="13" t="s">
        <v>1012</v>
      </c>
      <c r="M825" s="44"/>
      <c r="N825" s="45" t="str">
        <f>_xlfn.IFNA(IF(VLOOKUP(tabPontoPed[[#This Row],[CÓDIGO]],Excluir_do_Estoque!$A$4:$A$4004,1,FALSE),"sim",""),"")</f>
        <v/>
      </c>
      <c r="O825" s="10" t="str">
        <f t="shared" si="12"/>
        <v>*</v>
      </c>
    </row>
    <row r="826" spans="1:15" x14ac:dyDescent="0.25">
      <c r="A826" s="2">
        <v>126044</v>
      </c>
      <c r="B826" s="4" t="s">
        <v>879</v>
      </c>
      <c r="C826" s="41" t="s">
        <v>1345</v>
      </c>
      <c r="D826" s="42">
        <v>69</v>
      </c>
      <c r="E826" s="43">
        <v>1</v>
      </c>
      <c r="F826" s="50" t="str">
        <f>VLOOKUP(tabPontoPed[[#This Row],[GRUPO]],tabGrupos[#Data],2,FALSE)</f>
        <v>METAIS,LAMINAD.,PERFILADOS E ARTEFATOS METALICOS</v>
      </c>
      <c r="G826" s="42" t="str">
        <f>VLOOKUP(tabPontoPed[[#This Row],[GRUPO]],tabGrupos[#Data],3,FALSE)</f>
        <v>MSE</v>
      </c>
      <c r="H826" s="41" t="s">
        <v>1339</v>
      </c>
      <c r="I826" s="9">
        <v>4</v>
      </c>
      <c r="J826" s="51">
        <v>5</v>
      </c>
      <c r="K826" s="7">
        <f>tabPontoPed[[#This Row],[QTDMÊS]] * tabPontoPed[[#This Row],[MENSAL]]</f>
        <v>20</v>
      </c>
      <c r="L826" s="13" t="s">
        <v>1012</v>
      </c>
      <c r="M826" s="44"/>
      <c r="N826" s="45" t="str">
        <f>_xlfn.IFNA(IF(VLOOKUP(tabPontoPed[[#This Row],[CÓDIGO]],Excluir_do_Estoque!$A$4:$A$4004,1,FALSE),"sim",""),"")</f>
        <v/>
      </c>
      <c r="O826" s="10" t="str">
        <f t="shared" si="12"/>
        <v>*</v>
      </c>
    </row>
    <row r="827" spans="1:15" x14ac:dyDescent="0.25">
      <c r="A827" s="2">
        <v>126059</v>
      </c>
      <c r="B827" s="4" t="s">
        <v>871</v>
      </c>
      <c r="C827" s="41" t="s">
        <v>1345</v>
      </c>
      <c r="D827" s="42">
        <v>67</v>
      </c>
      <c r="E827" s="43">
        <v>18</v>
      </c>
      <c r="F827" s="50" t="str">
        <f>VLOOKUP(tabPontoPed[[#This Row],[GRUPO]],tabGrupos[#Data],2,FALSE)</f>
        <v>PARAFUSOS ELEM. VEDACAO UNIAO CONEX . FIXACAO</v>
      </c>
      <c r="G827" s="42" t="str">
        <f>VLOOKUP(tabPontoPed[[#This Row],[GRUPO]],tabGrupos[#Data],3,FALSE)</f>
        <v>MSE</v>
      </c>
      <c r="H827" s="41" t="s">
        <v>1339</v>
      </c>
      <c r="I827" s="9">
        <v>4</v>
      </c>
      <c r="J827" s="51">
        <v>43</v>
      </c>
      <c r="K827" s="7">
        <f>tabPontoPed[[#This Row],[QTDMÊS]] * tabPontoPed[[#This Row],[MENSAL]]</f>
        <v>172</v>
      </c>
      <c r="L827" s="13" t="s">
        <v>1012</v>
      </c>
      <c r="M827" s="44"/>
      <c r="N827" s="45" t="str">
        <f>_xlfn.IFNA(IF(VLOOKUP(tabPontoPed[[#This Row],[CÓDIGO]],Excluir_do_Estoque!$A$4:$A$4004,1,FALSE),"sim",""),"")</f>
        <v/>
      </c>
      <c r="O827" s="10" t="str">
        <f t="shared" si="12"/>
        <v>*</v>
      </c>
    </row>
    <row r="828" spans="1:15" x14ac:dyDescent="0.25">
      <c r="A828" s="2">
        <v>126060</v>
      </c>
      <c r="B828" s="4" t="s">
        <v>872</v>
      </c>
      <c r="C828" s="41" t="s">
        <v>1345</v>
      </c>
      <c r="D828" s="42">
        <v>67</v>
      </c>
      <c r="E828" s="43">
        <v>18</v>
      </c>
      <c r="F828" s="50" t="str">
        <f>VLOOKUP(tabPontoPed[[#This Row],[GRUPO]],tabGrupos[#Data],2,FALSE)</f>
        <v>PARAFUSOS ELEM. VEDACAO UNIAO CONEX . FIXACAO</v>
      </c>
      <c r="G828" s="42" t="str">
        <f>VLOOKUP(tabPontoPed[[#This Row],[GRUPO]],tabGrupos[#Data],3,FALSE)</f>
        <v>MSE</v>
      </c>
      <c r="H828" s="41" t="s">
        <v>1339</v>
      </c>
      <c r="I828" s="9">
        <v>4</v>
      </c>
      <c r="J828" s="51">
        <v>4</v>
      </c>
      <c r="K828" s="7">
        <f>tabPontoPed[[#This Row],[QTDMÊS]] * tabPontoPed[[#This Row],[MENSAL]]</f>
        <v>16</v>
      </c>
      <c r="L828" s="13" t="s">
        <v>1012</v>
      </c>
      <c r="M828" s="44"/>
      <c r="N828" s="45" t="str">
        <f>_xlfn.IFNA(IF(VLOOKUP(tabPontoPed[[#This Row],[CÓDIGO]],Excluir_do_Estoque!$A$4:$A$4004,1,FALSE),"sim",""),"")</f>
        <v/>
      </c>
      <c r="O828" s="10" t="str">
        <f t="shared" si="12"/>
        <v>*</v>
      </c>
    </row>
    <row r="829" spans="1:15" x14ac:dyDescent="0.25">
      <c r="A829" s="2">
        <v>126076</v>
      </c>
      <c r="B829" s="4" t="s">
        <v>376</v>
      </c>
      <c r="C829" s="41" t="s">
        <v>1345</v>
      </c>
      <c r="D829" s="42">
        <v>55</v>
      </c>
      <c r="E829" s="43">
        <v>57</v>
      </c>
      <c r="F829" s="50" t="str">
        <f>VLOOKUP(tabPontoPed[[#This Row],[GRUPO]],tabGrupos[#Data],2,FALSE)</f>
        <v>EQUIP. MAT. P/ GERACAO, TRANSM. DISTR. RETIF...</v>
      </c>
      <c r="G829" s="42" t="str">
        <f>VLOOKUP(tabPontoPed[[#This Row],[GRUPO]],tabGrupos[#Data],3,FALSE)</f>
        <v>MEL</v>
      </c>
      <c r="H829" s="41" t="s">
        <v>1339</v>
      </c>
      <c r="I829" s="9">
        <v>4</v>
      </c>
      <c r="J829" s="51">
        <v>18</v>
      </c>
      <c r="K829" s="7">
        <f>tabPontoPed[[#This Row],[QTDMÊS]] * tabPontoPed[[#This Row],[MENSAL]]</f>
        <v>72</v>
      </c>
      <c r="L829" s="13" t="s">
        <v>1012</v>
      </c>
      <c r="M829" s="44"/>
      <c r="N829" s="45" t="str">
        <f>_xlfn.IFNA(IF(VLOOKUP(tabPontoPed[[#This Row],[CÓDIGO]],Excluir_do_Estoque!$A$4:$A$4004,1,FALSE),"sim",""),"")</f>
        <v/>
      </c>
      <c r="O829" s="10" t="str">
        <f t="shared" si="12"/>
        <v>*</v>
      </c>
    </row>
    <row r="830" spans="1:15" x14ac:dyDescent="0.25">
      <c r="A830" s="2">
        <v>126345</v>
      </c>
      <c r="B830" s="4" t="s">
        <v>996</v>
      </c>
      <c r="C830" s="41" t="s">
        <v>1345</v>
      </c>
      <c r="D830" s="42">
        <v>89</v>
      </c>
      <c r="E830" s="43">
        <v>7</v>
      </c>
      <c r="F830" s="50" t="str">
        <f>VLOOKUP(tabPontoPed[[#This Row],[GRUPO]],tabGrupos[#Data],2,FALSE)</f>
        <v>PEC.P/ VEICULO DE USO ESPECIAL E BATERIASROLAMENTO</v>
      </c>
      <c r="G830" s="42" t="str">
        <f>VLOOKUP(tabPontoPed[[#This Row],[GRUPO]],tabGrupos[#Data],3,FALSE)</f>
        <v>MFR</v>
      </c>
      <c r="H830" s="41" t="s">
        <v>1339</v>
      </c>
      <c r="I830" s="9">
        <v>4</v>
      </c>
      <c r="J830" s="51">
        <v>2</v>
      </c>
      <c r="K830" s="7">
        <f>tabPontoPed[[#This Row],[QTDMÊS]] * tabPontoPed[[#This Row],[MENSAL]]</f>
        <v>8</v>
      </c>
      <c r="L830" s="13" t="s">
        <v>1012</v>
      </c>
      <c r="M830" s="44"/>
      <c r="N830" s="45" t="str">
        <f>_xlfn.IFNA(IF(VLOOKUP(tabPontoPed[[#This Row],[CÓDIGO]],Excluir_do_Estoque!$A$4:$A$4004,1,FALSE),"sim",""),"")</f>
        <v/>
      </c>
      <c r="O830" s="10" t="str">
        <f t="shared" si="12"/>
        <v>*</v>
      </c>
    </row>
    <row r="831" spans="1:15" x14ac:dyDescent="0.25">
      <c r="A831" s="2">
        <v>126837</v>
      </c>
      <c r="B831" s="4" t="s">
        <v>972</v>
      </c>
      <c r="C831" s="41" t="s">
        <v>1345</v>
      </c>
      <c r="D831" s="42">
        <v>78</v>
      </c>
      <c r="E831" s="43">
        <v>2</v>
      </c>
      <c r="F831" s="50" t="str">
        <f>VLOOKUP(tabPontoPed[[#This Row],[GRUPO]],tabGrupos[#Data],2,FALSE)</f>
        <v>MOBILIARIO E COFRE</v>
      </c>
      <c r="G831" s="42" t="str">
        <f>VLOOKUP(tabPontoPed[[#This Row],[GRUPO]],tabGrupos[#Data],3,FALSE)</f>
        <v>ADM</v>
      </c>
      <c r="H831" s="41" t="s">
        <v>1339</v>
      </c>
      <c r="I831" s="9">
        <v>4</v>
      </c>
      <c r="J831" s="51">
        <v>184</v>
      </c>
      <c r="K831" s="7">
        <f>tabPontoPed[[#This Row],[QTDMÊS]] * tabPontoPed[[#This Row],[MENSAL]]</f>
        <v>736</v>
      </c>
      <c r="L831" s="13" t="s">
        <v>1012</v>
      </c>
      <c r="M831" s="44"/>
      <c r="N831" s="45" t="str">
        <f>_xlfn.IFNA(IF(VLOOKUP(tabPontoPed[[#This Row],[CÓDIGO]],Excluir_do_Estoque!$A$4:$A$4004,1,FALSE),"sim",""),"")</f>
        <v/>
      </c>
      <c r="O831" s="10" t="str">
        <f t="shared" si="12"/>
        <v>*</v>
      </c>
    </row>
    <row r="832" spans="1:15" x14ac:dyDescent="0.25">
      <c r="A832" s="2">
        <v>126838</v>
      </c>
      <c r="B832" s="4" t="s">
        <v>822</v>
      </c>
      <c r="C832" s="41" t="s">
        <v>1345</v>
      </c>
      <c r="D832" s="42">
        <v>67</v>
      </c>
      <c r="E832" s="43">
        <v>2</v>
      </c>
      <c r="F832" s="50" t="str">
        <f>VLOOKUP(tabPontoPed[[#This Row],[GRUPO]],tabGrupos[#Data],2,FALSE)</f>
        <v>PARAFUSOS ELEM. VEDACAO UNIAO CONEX . FIXACAO</v>
      </c>
      <c r="G832" s="42" t="str">
        <f>VLOOKUP(tabPontoPed[[#This Row],[GRUPO]],tabGrupos[#Data],3,FALSE)</f>
        <v>MSE</v>
      </c>
      <c r="H832" s="41" t="s">
        <v>1339</v>
      </c>
      <c r="I832" s="9">
        <v>4</v>
      </c>
      <c r="J832" s="51">
        <v>7</v>
      </c>
      <c r="K832" s="7">
        <f>tabPontoPed[[#This Row],[QTDMÊS]] * tabPontoPed[[#This Row],[MENSAL]]</f>
        <v>28</v>
      </c>
      <c r="L832" s="13" t="s">
        <v>1012</v>
      </c>
      <c r="M832" s="44"/>
      <c r="N832" s="45" t="str">
        <f>_xlfn.IFNA(IF(VLOOKUP(tabPontoPed[[#This Row],[CÓDIGO]],Excluir_do_Estoque!$A$4:$A$4004,1,FALSE),"sim",""),"")</f>
        <v/>
      </c>
      <c r="O832" s="10" t="str">
        <f t="shared" si="12"/>
        <v>*</v>
      </c>
    </row>
    <row r="833" spans="1:15" x14ac:dyDescent="0.25">
      <c r="A833" s="2">
        <v>127106</v>
      </c>
      <c r="B833" s="4" t="s">
        <v>814</v>
      </c>
      <c r="C833" s="41" t="s">
        <v>1345</v>
      </c>
      <c r="D833" s="42">
        <v>62</v>
      </c>
      <c r="E833" s="43">
        <v>4</v>
      </c>
      <c r="F833" s="50" t="str">
        <f>VLOOKUP(tabPontoPed[[#This Row],[GRUPO]],tabGrupos[#Data],2,FALSE)</f>
        <v>VEST., ART.P/ TOUC.E HIG. PES. MAQ., EQUIP., MAT.E ACES.</v>
      </c>
      <c r="G833" s="42" t="str">
        <f>VLOOKUP(tabPontoPed[[#This Row],[GRUPO]],tabGrupos[#Data],3,FALSE)</f>
        <v>ADM</v>
      </c>
      <c r="H833" s="41" t="s">
        <v>1339</v>
      </c>
      <c r="I833" s="9">
        <v>4</v>
      </c>
      <c r="J833" s="51">
        <v>0</v>
      </c>
      <c r="K833" s="7">
        <f>tabPontoPed[[#This Row],[QTDMÊS]] * tabPontoPed[[#This Row],[MENSAL]]</f>
        <v>0</v>
      </c>
      <c r="L833" s="13" t="s">
        <v>1012</v>
      </c>
      <c r="M833" s="44"/>
      <c r="N833" s="45" t="str">
        <f>_xlfn.IFNA(IF(VLOOKUP(tabPontoPed[[#This Row],[CÓDIGO]],Excluir_do_Estoque!$A$4:$A$4004,1,FALSE),"sim",""),"")</f>
        <v/>
      </c>
      <c r="O833" s="10" t="str">
        <f t="shared" si="12"/>
        <v>*</v>
      </c>
    </row>
    <row r="834" spans="1:15" x14ac:dyDescent="0.25">
      <c r="A834" s="2">
        <v>127107</v>
      </c>
      <c r="B834" s="4" t="s">
        <v>815</v>
      </c>
      <c r="C834" s="41" t="s">
        <v>1345</v>
      </c>
      <c r="D834" s="42">
        <v>62</v>
      </c>
      <c r="E834" s="43">
        <v>4</v>
      </c>
      <c r="F834" s="50" t="str">
        <f>VLOOKUP(tabPontoPed[[#This Row],[GRUPO]],tabGrupos[#Data],2,FALSE)</f>
        <v>VEST., ART.P/ TOUC.E HIG. PES. MAQ., EQUIP., MAT.E ACES.</v>
      </c>
      <c r="G834" s="42" t="str">
        <f>VLOOKUP(tabPontoPed[[#This Row],[GRUPO]],tabGrupos[#Data],3,FALSE)</f>
        <v>ADM</v>
      </c>
      <c r="H834" s="41" t="s">
        <v>1339</v>
      </c>
      <c r="I834" s="9">
        <v>4</v>
      </c>
      <c r="J834" s="51">
        <v>0</v>
      </c>
      <c r="K834" s="7">
        <f>tabPontoPed[[#This Row],[QTDMÊS]] * tabPontoPed[[#This Row],[MENSAL]]</f>
        <v>0</v>
      </c>
      <c r="L834" s="13" t="s">
        <v>1012</v>
      </c>
      <c r="M834" s="44"/>
      <c r="N834" s="45" t="str">
        <f>_xlfn.IFNA(IF(VLOOKUP(tabPontoPed[[#This Row],[CÓDIGO]],Excluir_do_Estoque!$A$4:$A$4004,1,FALSE),"sim",""),"")</f>
        <v/>
      </c>
      <c r="O834" s="10" t="str">
        <f t="shared" si="12"/>
        <v>*</v>
      </c>
    </row>
    <row r="835" spans="1:15" x14ac:dyDescent="0.25">
      <c r="A835" s="2">
        <v>127331</v>
      </c>
      <c r="B835" s="4" t="s">
        <v>381</v>
      </c>
      <c r="C835" s="41" t="s">
        <v>1345</v>
      </c>
      <c r="D835" s="42">
        <v>72</v>
      </c>
      <c r="E835" s="43">
        <v>8</v>
      </c>
      <c r="F835" s="50" t="str">
        <f>VLOOKUP(tabPontoPed[[#This Row],[GRUPO]],tabGrupos[#Data],2,FALSE)</f>
        <v>MAQ.EQUIP.E MATERIAIS P/ HIGIEN.LIMP.POLIM.E LUBR.</v>
      </c>
      <c r="G835" s="42" t="str">
        <f>VLOOKUP(tabPontoPed[[#This Row],[GRUPO]],tabGrupos[#Data],3,FALSE)</f>
        <v>ADM</v>
      </c>
      <c r="H835" s="41" t="s">
        <v>1339</v>
      </c>
      <c r="I835" s="9">
        <v>4</v>
      </c>
      <c r="J835" s="51">
        <v>376</v>
      </c>
      <c r="K835" s="7">
        <f>tabPontoPed[[#This Row],[QTDMÊS]] * tabPontoPed[[#This Row],[MENSAL]]</f>
        <v>1504</v>
      </c>
      <c r="L835" s="13" t="s">
        <v>1012</v>
      </c>
      <c r="M835" s="44"/>
      <c r="N835" s="45" t="str">
        <f>_xlfn.IFNA(IF(VLOOKUP(tabPontoPed[[#This Row],[CÓDIGO]],Excluir_do_Estoque!$A$4:$A$4004,1,FALSE),"sim",""),"")</f>
        <v/>
      </c>
      <c r="O835" s="10" t="str">
        <f t="shared" si="12"/>
        <v>*</v>
      </c>
    </row>
    <row r="836" spans="1:15" x14ac:dyDescent="0.25">
      <c r="A836" s="2">
        <v>127384</v>
      </c>
      <c r="B836" s="4" t="s">
        <v>553</v>
      </c>
      <c r="C836" s="41" t="s">
        <v>1345</v>
      </c>
      <c r="D836" s="42">
        <v>51</v>
      </c>
      <c r="E836" s="43">
        <v>33</v>
      </c>
      <c r="F836" s="50" t="str">
        <f>VLOOKUP(tabPontoPed[[#This Row],[GRUPO]],tabGrupos[#Data],2,FALSE)</f>
        <v>MAT.E EQUIP. P/ CONSTR.CIVIL E CONSERV. DE VIAS PUBL.</v>
      </c>
      <c r="G836" s="42" t="str">
        <f>VLOOKUP(tabPontoPed[[#This Row],[GRUPO]],tabGrupos[#Data],3,FALSE)</f>
        <v>MCO</v>
      </c>
      <c r="H836" s="41" t="s">
        <v>1339</v>
      </c>
      <c r="I836" s="9">
        <v>4</v>
      </c>
      <c r="J836" s="51">
        <v>5</v>
      </c>
      <c r="K836" s="7">
        <f>tabPontoPed[[#This Row],[QTDMÊS]] * tabPontoPed[[#This Row],[MENSAL]]</f>
        <v>20</v>
      </c>
      <c r="L836" s="13" t="s">
        <v>1012</v>
      </c>
      <c r="M836" s="44"/>
      <c r="N836" s="45" t="str">
        <f>_xlfn.IFNA(IF(VLOOKUP(tabPontoPed[[#This Row],[CÓDIGO]],Excluir_do_Estoque!$A$4:$A$4004,1,FALSE),"sim",""),"")</f>
        <v/>
      </c>
      <c r="O836" s="10" t="str">
        <f t="shared" ref="O836:O899" si="13">"*"</f>
        <v>*</v>
      </c>
    </row>
    <row r="837" spans="1:15" x14ac:dyDescent="0.25">
      <c r="A837" s="2">
        <v>127664</v>
      </c>
      <c r="B837" s="4" t="s">
        <v>272</v>
      </c>
      <c r="C837" s="41" t="s">
        <v>1345</v>
      </c>
      <c r="D837" s="42">
        <v>71</v>
      </c>
      <c r="E837" s="43">
        <v>34</v>
      </c>
      <c r="F837" s="50" t="str">
        <f>VLOOKUP(tabPontoPed[[#This Row],[GRUPO]],tabGrupos[#Data],2,FALSE)</f>
        <v>GENEROS ALIMENTICIOS E BEBIDAS</v>
      </c>
      <c r="G837" s="42" t="str">
        <f>VLOOKUP(tabPontoPed[[#This Row],[GRUPO]],tabGrupos[#Data],3,FALSE)</f>
        <v>EDU</v>
      </c>
      <c r="H837" s="41" t="s">
        <v>1339</v>
      </c>
      <c r="I837" s="9">
        <v>4</v>
      </c>
      <c r="J837" s="51">
        <v>25</v>
      </c>
      <c r="K837" s="7">
        <f>tabPontoPed[[#This Row],[QTDMÊS]] * tabPontoPed[[#This Row],[MENSAL]]</f>
        <v>100</v>
      </c>
      <c r="L837" s="13" t="s">
        <v>1012</v>
      </c>
      <c r="M837" s="44"/>
      <c r="N837" s="45" t="str">
        <f>_xlfn.IFNA(IF(VLOOKUP(tabPontoPed[[#This Row],[CÓDIGO]],Excluir_do_Estoque!$A$4:$A$4004,1,FALSE),"sim",""),"")</f>
        <v/>
      </c>
      <c r="O837" s="10" t="str">
        <f t="shared" si="13"/>
        <v>*</v>
      </c>
    </row>
    <row r="838" spans="1:15" x14ac:dyDescent="0.25">
      <c r="A838" s="2">
        <v>127963</v>
      </c>
      <c r="B838" s="4" t="s">
        <v>669</v>
      </c>
      <c r="C838" s="41" t="s">
        <v>1345</v>
      </c>
      <c r="D838" s="42">
        <v>55</v>
      </c>
      <c r="E838" s="43">
        <v>34</v>
      </c>
      <c r="F838" s="50" t="str">
        <f>VLOOKUP(tabPontoPed[[#This Row],[GRUPO]],tabGrupos[#Data],2,FALSE)</f>
        <v>EQUIP. MAT. P/ GERACAO, TRANSM. DISTR. RETIF...</v>
      </c>
      <c r="G838" s="42" t="str">
        <f>VLOOKUP(tabPontoPed[[#This Row],[GRUPO]],tabGrupos[#Data],3,FALSE)</f>
        <v>MEL</v>
      </c>
      <c r="H838" s="41" t="s">
        <v>1339</v>
      </c>
      <c r="I838" s="9">
        <v>4</v>
      </c>
      <c r="J838" s="51">
        <v>0</v>
      </c>
      <c r="K838" s="7">
        <f>tabPontoPed[[#This Row],[QTDMÊS]] * tabPontoPed[[#This Row],[MENSAL]]</f>
        <v>0</v>
      </c>
      <c r="L838" s="13" t="s">
        <v>1012</v>
      </c>
      <c r="M838" s="44"/>
      <c r="N838" s="45" t="str">
        <f>_xlfn.IFNA(IF(VLOOKUP(tabPontoPed[[#This Row],[CÓDIGO]],Excluir_do_Estoque!$A$4:$A$4004,1,FALSE),"sim",""),"")</f>
        <v/>
      </c>
      <c r="O838" s="10" t="str">
        <f t="shared" si="13"/>
        <v>*</v>
      </c>
    </row>
    <row r="839" spans="1:15" x14ac:dyDescent="0.25">
      <c r="A839" s="2">
        <v>128229</v>
      </c>
      <c r="B839" s="4" t="s">
        <v>774</v>
      </c>
      <c r="C839" s="41" t="s">
        <v>1345</v>
      </c>
      <c r="D839" s="42">
        <v>61</v>
      </c>
      <c r="E839" s="43">
        <v>8</v>
      </c>
      <c r="F839" s="50" t="str">
        <f>VLOOKUP(tabPontoPed[[#This Row],[GRUPO]],tabGrupos[#Data],2,FALSE)</f>
        <v>MATERIAL HIDRAULICO, CANOS, TUBOS, MANGUEIRAS, CONEXOES E ACESS.</v>
      </c>
      <c r="G839" s="42" t="str">
        <f>VLOOKUP(tabPontoPed[[#This Row],[GRUPO]],tabGrupos[#Data],3,FALSE)</f>
        <v>MHI</v>
      </c>
      <c r="H839" s="41" t="s">
        <v>1339</v>
      </c>
      <c r="I839" s="9">
        <v>4</v>
      </c>
      <c r="J839" s="51">
        <v>1</v>
      </c>
      <c r="K839" s="7">
        <f>tabPontoPed[[#This Row],[QTDMÊS]] * tabPontoPed[[#This Row],[MENSAL]]</f>
        <v>4</v>
      </c>
      <c r="L839" s="13" t="s">
        <v>1012</v>
      </c>
      <c r="M839" s="44"/>
      <c r="N839" s="45" t="str">
        <f>_xlfn.IFNA(IF(VLOOKUP(tabPontoPed[[#This Row],[CÓDIGO]],Excluir_do_Estoque!$A$4:$A$4004,1,FALSE),"sim",""),"")</f>
        <v/>
      </c>
      <c r="O839" s="10" t="str">
        <f t="shared" si="13"/>
        <v>*</v>
      </c>
    </row>
    <row r="840" spans="1:15" x14ac:dyDescent="0.25">
      <c r="A840" s="2">
        <v>128287</v>
      </c>
      <c r="B840" s="4" t="s">
        <v>14</v>
      </c>
      <c r="C840" s="41" t="s">
        <v>1345</v>
      </c>
      <c r="D840" s="42">
        <v>76</v>
      </c>
      <c r="E840" s="43">
        <v>16</v>
      </c>
      <c r="F840" s="50" t="str">
        <f>VLOOKUP(tabPontoPed[[#This Row],[GRUPO]],tabGrupos[#Data],2,FALSE)</f>
        <v>EQUIP. E MATERIAIS P/PINTURAS E IMPERMEABILIZACAO</v>
      </c>
      <c r="G840" s="42" t="str">
        <f>VLOOKUP(tabPontoPed[[#This Row],[GRUPO]],tabGrupos[#Data],3,FALSE)</f>
        <v>MPI</v>
      </c>
      <c r="H840" s="41" t="s">
        <v>1339</v>
      </c>
      <c r="I840" s="9">
        <v>4</v>
      </c>
      <c r="J840" s="51">
        <v>45</v>
      </c>
      <c r="K840" s="7">
        <f>tabPontoPed[[#This Row],[QTDMÊS]] * tabPontoPed[[#This Row],[MENSAL]]</f>
        <v>180</v>
      </c>
      <c r="L840" s="13" t="s">
        <v>1012</v>
      </c>
      <c r="M840" s="44"/>
      <c r="N840" s="45" t="str">
        <f>_xlfn.IFNA(IF(VLOOKUP(tabPontoPed[[#This Row],[CÓDIGO]],Excluir_do_Estoque!$A$4:$A$4004,1,FALSE),"sim",""),"")</f>
        <v/>
      </c>
      <c r="O840" s="10" t="str">
        <f t="shared" si="13"/>
        <v>*</v>
      </c>
    </row>
    <row r="841" spans="1:15" x14ac:dyDescent="0.25">
      <c r="A841" s="2">
        <v>128288</v>
      </c>
      <c r="B841" s="4" t="s">
        <v>967</v>
      </c>
      <c r="C841" s="41" t="s">
        <v>1345</v>
      </c>
      <c r="D841" s="42">
        <v>76</v>
      </c>
      <c r="E841" s="43">
        <v>13</v>
      </c>
      <c r="F841" s="50" t="str">
        <f>VLOOKUP(tabPontoPed[[#This Row],[GRUPO]],tabGrupos[#Data],2,FALSE)</f>
        <v>EQUIP. E MATERIAIS P/PINTURAS E IMPERMEABILIZACAO</v>
      </c>
      <c r="G841" s="42" t="str">
        <f>VLOOKUP(tabPontoPed[[#This Row],[GRUPO]],tabGrupos[#Data],3,FALSE)</f>
        <v>MPI</v>
      </c>
      <c r="H841" s="41" t="s">
        <v>1339</v>
      </c>
      <c r="I841" s="9">
        <v>4</v>
      </c>
      <c r="J841" s="51">
        <v>3</v>
      </c>
      <c r="K841" s="7">
        <f>tabPontoPed[[#This Row],[QTDMÊS]] * tabPontoPed[[#This Row],[MENSAL]]</f>
        <v>12</v>
      </c>
      <c r="L841" s="13" t="s">
        <v>1012</v>
      </c>
      <c r="M841" s="44"/>
      <c r="N841" s="45" t="str">
        <f>_xlfn.IFNA(IF(VLOOKUP(tabPontoPed[[#This Row],[CÓDIGO]],Excluir_do_Estoque!$A$4:$A$4004,1,FALSE),"sim",""),"")</f>
        <v/>
      </c>
      <c r="O841" s="10" t="str">
        <f t="shared" si="13"/>
        <v>*</v>
      </c>
    </row>
    <row r="842" spans="1:15" x14ac:dyDescent="0.25">
      <c r="A842" s="2">
        <v>128301</v>
      </c>
      <c r="B842" s="4" t="s">
        <v>697</v>
      </c>
      <c r="C842" s="41" t="s">
        <v>1345</v>
      </c>
      <c r="D842" s="42">
        <v>55</v>
      </c>
      <c r="E842" s="43">
        <v>62</v>
      </c>
      <c r="F842" s="50" t="str">
        <f>VLOOKUP(tabPontoPed[[#This Row],[GRUPO]],tabGrupos[#Data],2,FALSE)</f>
        <v>EQUIP. MAT. P/ GERACAO, TRANSM. DISTR. RETIF...</v>
      </c>
      <c r="G842" s="42" t="str">
        <f>VLOOKUP(tabPontoPed[[#This Row],[GRUPO]],tabGrupos[#Data],3,FALSE)</f>
        <v>MEL</v>
      </c>
      <c r="H842" s="41" t="s">
        <v>1339</v>
      </c>
      <c r="I842" s="9">
        <v>4</v>
      </c>
      <c r="J842" s="51">
        <v>1</v>
      </c>
      <c r="K842" s="7">
        <f>tabPontoPed[[#This Row],[QTDMÊS]] * tabPontoPed[[#This Row],[MENSAL]]</f>
        <v>4</v>
      </c>
      <c r="L842" s="13" t="s">
        <v>1012</v>
      </c>
      <c r="M842" s="44"/>
      <c r="N842" s="45" t="str">
        <f>_xlfn.IFNA(IF(VLOOKUP(tabPontoPed[[#This Row],[CÓDIGO]],Excluir_do_Estoque!$A$4:$A$4004,1,FALSE),"sim",""),"")</f>
        <v/>
      </c>
      <c r="O842" s="10" t="str">
        <f t="shared" si="13"/>
        <v>*</v>
      </c>
    </row>
    <row r="843" spans="1:15" x14ac:dyDescent="0.25">
      <c r="A843" s="2">
        <v>128302</v>
      </c>
      <c r="B843" s="4" t="s">
        <v>600</v>
      </c>
      <c r="C843" s="41" t="s">
        <v>1345</v>
      </c>
      <c r="D843" s="42">
        <v>54</v>
      </c>
      <c r="E843" s="43">
        <v>16</v>
      </c>
      <c r="F843" s="50" t="str">
        <f>VLOOKUP(tabPontoPed[[#This Row],[GRUPO]],tabGrupos[#Data],2,FALSE)</f>
        <v>EQUIP PROT IND, INST MAT P/ SINAL, CONTR, COMB ...</v>
      </c>
      <c r="G843" s="42" t="str">
        <f>VLOOKUP(tabPontoPed[[#This Row],[GRUPO]],tabGrupos[#Data],3,FALSE)</f>
        <v>MAN</v>
      </c>
      <c r="H843" s="41" t="s">
        <v>1339</v>
      </c>
      <c r="I843" s="9">
        <v>4</v>
      </c>
      <c r="J843" s="51">
        <v>1</v>
      </c>
      <c r="K843" s="7">
        <f>tabPontoPed[[#This Row],[QTDMÊS]] * tabPontoPed[[#This Row],[MENSAL]]</f>
        <v>4</v>
      </c>
      <c r="L843" s="13" t="s">
        <v>1012</v>
      </c>
      <c r="M843" s="44"/>
      <c r="N843" s="45" t="str">
        <f>_xlfn.IFNA(IF(VLOOKUP(tabPontoPed[[#This Row],[CÓDIGO]],Excluir_do_Estoque!$A$4:$A$4004,1,FALSE),"sim",""),"")</f>
        <v/>
      </c>
      <c r="O843" s="10" t="str">
        <f t="shared" si="13"/>
        <v>*</v>
      </c>
    </row>
    <row r="844" spans="1:15" x14ac:dyDescent="0.25">
      <c r="A844" s="2">
        <v>128304</v>
      </c>
      <c r="B844" s="4" t="s">
        <v>681</v>
      </c>
      <c r="C844" s="41" t="s">
        <v>1345</v>
      </c>
      <c r="D844" s="42">
        <v>55</v>
      </c>
      <c r="E844" s="43">
        <v>39</v>
      </c>
      <c r="F844" s="50" t="str">
        <f>VLOOKUP(tabPontoPed[[#This Row],[GRUPO]],tabGrupos[#Data],2,FALSE)</f>
        <v>EQUIP. MAT. P/ GERACAO, TRANSM. DISTR. RETIF...</v>
      </c>
      <c r="G844" s="42" t="str">
        <f>VLOOKUP(tabPontoPed[[#This Row],[GRUPO]],tabGrupos[#Data],3,FALSE)</f>
        <v>MEL</v>
      </c>
      <c r="H844" s="41" t="s">
        <v>1339</v>
      </c>
      <c r="I844" s="9">
        <v>4</v>
      </c>
      <c r="J844" s="51">
        <v>1</v>
      </c>
      <c r="K844" s="7">
        <f>tabPontoPed[[#This Row],[QTDMÊS]] * tabPontoPed[[#This Row],[MENSAL]]</f>
        <v>4</v>
      </c>
      <c r="L844" s="13" t="s">
        <v>1012</v>
      </c>
      <c r="M844" s="44"/>
      <c r="N844" s="45" t="str">
        <f>_xlfn.IFNA(IF(VLOOKUP(tabPontoPed[[#This Row],[CÓDIGO]],Excluir_do_Estoque!$A$4:$A$4004,1,FALSE),"sim",""),"")</f>
        <v/>
      </c>
      <c r="O844" s="10" t="str">
        <f t="shared" si="13"/>
        <v>*</v>
      </c>
    </row>
    <row r="845" spans="1:15" x14ac:dyDescent="0.25">
      <c r="A845" s="2">
        <v>128305</v>
      </c>
      <c r="B845" s="4" t="s">
        <v>601</v>
      </c>
      <c r="C845" s="41" t="s">
        <v>1345</v>
      </c>
      <c r="D845" s="42">
        <v>54</v>
      </c>
      <c r="E845" s="43">
        <v>16</v>
      </c>
      <c r="F845" s="50" t="str">
        <f>VLOOKUP(tabPontoPed[[#This Row],[GRUPO]],tabGrupos[#Data],2,FALSE)</f>
        <v>EQUIP PROT IND, INST MAT P/ SINAL, CONTR, COMB ...</v>
      </c>
      <c r="G845" s="42" t="str">
        <f>VLOOKUP(tabPontoPed[[#This Row],[GRUPO]],tabGrupos[#Data],3,FALSE)</f>
        <v>MAN</v>
      </c>
      <c r="H845" s="41" t="s">
        <v>1339</v>
      </c>
      <c r="I845" s="9">
        <v>4</v>
      </c>
      <c r="J845" s="51">
        <v>1</v>
      </c>
      <c r="K845" s="7">
        <f>tabPontoPed[[#This Row],[QTDMÊS]] * tabPontoPed[[#This Row],[MENSAL]]</f>
        <v>4</v>
      </c>
      <c r="L845" s="13" t="s">
        <v>1012</v>
      </c>
      <c r="M845" s="44"/>
      <c r="N845" s="45" t="str">
        <f>_xlfn.IFNA(IF(VLOOKUP(tabPontoPed[[#This Row],[CÓDIGO]],Excluir_do_Estoque!$A$4:$A$4004,1,FALSE),"sim",""),"")</f>
        <v/>
      </c>
      <c r="O845" s="10" t="str">
        <f t="shared" si="13"/>
        <v>*</v>
      </c>
    </row>
    <row r="846" spans="1:15" x14ac:dyDescent="0.25">
      <c r="A846" s="2">
        <v>128306</v>
      </c>
      <c r="B846" s="4" t="s">
        <v>602</v>
      </c>
      <c r="C846" s="41" t="s">
        <v>1345</v>
      </c>
      <c r="D846" s="42">
        <v>54</v>
      </c>
      <c r="E846" s="43">
        <v>16</v>
      </c>
      <c r="F846" s="50" t="str">
        <f>VLOOKUP(tabPontoPed[[#This Row],[GRUPO]],tabGrupos[#Data],2,FALSE)</f>
        <v>EQUIP PROT IND, INST MAT P/ SINAL, CONTR, COMB ...</v>
      </c>
      <c r="G846" s="42" t="str">
        <f>VLOOKUP(tabPontoPed[[#This Row],[GRUPO]],tabGrupos[#Data],3,FALSE)</f>
        <v>MAN</v>
      </c>
      <c r="H846" s="41" t="s">
        <v>1339</v>
      </c>
      <c r="I846" s="9">
        <v>4</v>
      </c>
      <c r="J846" s="51">
        <v>1</v>
      </c>
      <c r="K846" s="7">
        <f>tabPontoPed[[#This Row],[QTDMÊS]] * tabPontoPed[[#This Row],[MENSAL]]</f>
        <v>4</v>
      </c>
      <c r="L846" s="13" t="s">
        <v>1012</v>
      </c>
      <c r="M846" s="44"/>
      <c r="N846" s="45" t="str">
        <f>_xlfn.IFNA(IF(VLOOKUP(tabPontoPed[[#This Row],[CÓDIGO]],Excluir_do_Estoque!$A$4:$A$4004,1,FALSE),"sim",""),"")</f>
        <v/>
      </c>
      <c r="O846" s="10" t="str">
        <f t="shared" si="13"/>
        <v>*</v>
      </c>
    </row>
    <row r="847" spans="1:15" x14ac:dyDescent="0.25">
      <c r="A847" s="2">
        <v>128307</v>
      </c>
      <c r="B847" s="4" t="s">
        <v>603</v>
      </c>
      <c r="C847" s="41" t="s">
        <v>1345</v>
      </c>
      <c r="D847" s="42">
        <v>54</v>
      </c>
      <c r="E847" s="43">
        <v>16</v>
      </c>
      <c r="F847" s="50" t="str">
        <f>VLOOKUP(tabPontoPed[[#This Row],[GRUPO]],tabGrupos[#Data],2,FALSE)</f>
        <v>EQUIP PROT IND, INST MAT P/ SINAL, CONTR, COMB ...</v>
      </c>
      <c r="G847" s="42" t="str">
        <f>VLOOKUP(tabPontoPed[[#This Row],[GRUPO]],tabGrupos[#Data],3,FALSE)</f>
        <v>MAN</v>
      </c>
      <c r="H847" s="41" t="s">
        <v>1339</v>
      </c>
      <c r="I847" s="9">
        <v>4</v>
      </c>
      <c r="J847" s="51">
        <v>1</v>
      </c>
      <c r="K847" s="7">
        <f>tabPontoPed[[#This Row],[QTDMÊS]] * tabPontoPed[[#This Row],[MENSAL]]</f>
        <v>4</v>
      </c>
      <c r="L847" s="13" t="s">
        <v>1012</v>
      </c>
      <c r="M847" s="44"/>
      <c r="N847" s="45" t="str">
        <f>_xlfn.IFNA(IF(VLOOKUP(tabPontoPed[[#This Row],[CÓDIGO]],Excluir_do_Estoque!$A$4:$A$4004,1,FALSE),"sim",""),"")</f>
        <v/>
      </c>
      <c r="O847" s="10" t="str">
        <f t="shared" si="13"/>
        <v>*</v>
      </c>
    </row>
    <row r="848" spans="1:15" x14ac:dyDescent="0.25">
      <c r="A848" s="2">
        <v>128308</v>
      </c>
      <c r="B848" s="4" t="s">
        <v>700</v>
      </c>
      <c r="C848" s="41" t="s">
        <v>1345</v>
      </c>
      <c r="D848" s="42">
        <v>56</v>
      </c>
      <c r="E848" s="43">
        <v>1</v>
      </c>
      <c r="F848" s="50" t="str">
        <f>VLOOKUP(tabPontoPed[[#This Row],[GRUPO]],tabGrupos[#Data],2,FALSE)</f>
        <v>EQUIP. COMP. MAT. ELETRON. CELULAS E FIBRAS OTICAS</v>
      </c>
      <c r="G848" s="42" t="str">
        <f>VLOOKUP(tabPontoPed[[#This Row],[GRUPO]],tabGrupos[#Data],3,FALSE)</f>
        <v>INF</v>
      </c>
      <c r="H848" s="41" t="s">
        <v>1339</v>
      </c>
      <c r="I848" s="9">
        <v>4</v>
      </c>
      <c r="J848" s="51">
        <v>0</v>
      </c>
      <c r="K848" s="7">
        <f>tabPontoPed[[#This Row],[QTDMÊS]] * tabPontoPed[[#This Row],[MENSAL]]</f>
        <v>0</v>
      </c>
      <c r="L848" s="13" t="s">
        <v>1012</v>
      </c>
      <c r="M848" s="44"/>
      <c r="N848" s="45" t="str">
        <f>_xlfn.IFNA(IF(VLOOKUP(tabPontoPed[[#This Row],[CÓDIGO]],Excluir_do_Estoque!$A$4:$A$4004,1,FALSE),"sim",""),"")</f>
        <v/>
      </c>
      <c r="O848" s="10" t="str">
        <f t="shared" si="13"/>
        <v>*</v>
      </c>
    </row>
    <row r="849" spans="1:15" x14ac:dyDescent="0.25">
      <c r="A849" s="2">
        <v>128309</v>
      </c>
      <c r="B849" s="4" t="s">
        <v>701</v>
      </c>
      <c r="C849" s="41" t="s">
        <v>1345</v>
      </c>
      <c r="D849" s="42">
        <v>56</v>
      </c>
      <c r="E849" s="43">
        <v>1</v>
      </c>
      <c r="F849" s="50" t="str">
        <f>VLOOKUP(tabPontoPed[[#This Row],[GRUPO]],tabGrupos[#Data],2,FALSE)</f>
        <v>EQUIP. COMP. MAT. ELETRON. CELULAS E FIBRAS OTICAS</v>
      </c>
      <c r="G849" s="42" t="str">
        <f>VLOOKUP(tabPontoPed[[#This Row],[GRUPO]],tabGrupos[#Data],3,FALSE)</f>
        <v>INF</v>
      </c>
      <c r="H849" s="41" t="s">
        <v>1339</v>
      </c>
      <c r="I849" s="9">
        <v>4</v>
      </c>
      <c r="J849" s="51">
        <v>1</v>
      </c>
      <c r="K849" s="7">
        <f>tabPontoPed[[#This Row],[QTDMÊS]] * tabPontoPed[[#This Row],[MENSAL]]</f>
        <v>4</v>
      </c>
      <c r="L849" s="13" t="s">
        <v>1012</v>
      </c>
      <c r="M849" s="44"/>
      <c r="N849" s="45" t="str">
        <f>_xlfn.IFNA(IF(VLOOKUP(tabPontoPed[[#This Row],[CÓDIGO]],Excluir_do_Estoque!$A$4:$A$4004,1,FALSE),"sim",""),"")</f>
        <v/>
      </c>
      <c r="O849" s="10" t="str">
        <f t="shared" si="13"/>
        <v>*</v>
      </c>
    </row>
    <row r="850" spans="1:15" x14ac:dyDescent="0.25">
      <c r="A850" s="2">
        <v>128389</v>
      </c>
      <c r="B850" s="4" t="s">
        <v>618</v>
      </c>
      <c r="C850" s="41" t="s">
        <v>1345</v>
      </c>
      <c r="D850" s="42">
        <v>55</v>
      </c>
      <c r="E850" s="43">
        <v>5</v>
      </c>
      <c r="F850" s="50" t="str">
        <f>VLOOKUP(tabPontoPed[[#This Row],[GRUPO]],tabGrupos[#Data],2,FALSE)</f>
        <v>EQUIP. MAT. P/ GERACAO, TRANSM. DISTR. RETIF...</v>
      </c>
      <c r="G850" s="42" t="str">
        <f>VLOOKUP(tabPontoPed[[#This Row],[GRUPO]],tabGrupos[#Data],3,FALSE)</f>
        <v>MEL</v>
      </c>
      <c r="H850" s="41" t="s">
        <v>1339</v>
      </c>
      <c r="I850" s="9">
        <v>4</v>
      </c>
      <c r="J850" s="51">
        <v>1</v>
      </c>
      <c r="K850" s="7">
        <f>tabPontoPed[[#This Row],[QTDMÊS]] * tabPontoPed[[#This Row],[MENSAL]]</f>
        <v>4</v>
      </c>
      <c r="L850" s="13" t="s">
        <v>1012</v>
      </c>
      <c r="M850" s="44"/>
      <c r="N850" s="45" t="str">
        <f>_xlfn.IFNA(IF(VLOOKUP(tabPontoPed[[#This Row],[CÓDIGO]],Excluir_do_Estoque!$A$4:$A$4004,1,FALSE),"sim",""),"")</f>
        <v/>
      </c>
      <c r="O850" s="10" t="str">
        <f t="shared" si="13"/>
        <v>*</v>
      </c>
    </row>
    <row r="851" spans="1:15" x14ac:dyDescent="0.25">
      <c r="A851" s="2">
        <v>128458</v>
      </c>
      <c r="B851" s="4" t="s">
        <v>604</v>
      </c>
      <c r="C851" s="41" t="s">
        <v>1345</v>
      </c>
      <c r="D851" s="42">
        <v>54</v>
      </c>
      <c r="E851" s="43">
        <v>16</v>
      </c>
      <c r="F851" s="50" t="str">
        <f>VLOOKUP(tabPontoPed[[#This Row],[GRUPO]],tabGrupos[#Data],2,FALSE)</f>
        <v>EQUIP PROT IND, INST MAT P/ SINAL, CONTR, COMB ...</v>
      </c>
      <c r="G851" s="42" t="str">
        <f>VLOOKUP(tabPontoPed[[#This Row],[GRUPO]],tabGrupos[#Data],3,FALSE)</f>
        <v>MAN</v>
      </c>
      <c r="H851" s="41" t="s">
        <v>1339</v>
      </c>
      <c r="I851" s="9">
        <v>4</v>
      </c>
      <c r="J851" s="51">
        <v>0</v>
      </c>
      <c r="K851" s="7">
        <f>tabPontoPed[[#This Row],[QTDMÊS]] * tabPontoPed[[#This Row],[MENSAL]]</f>
        <v>0</v>
      </c>
      <c r="L851" s="13" t="s">
        <v>1012</v>
      </c>
      <c r="M851" s="44"/>
      <c r="N851" s="45" t="str">
        <f>_xlfn.IFNA(IF(VLOOKUP(tabPontoPed[[#This Row],[CÓDIGO]],Excluir_do_Estoque!$A$4:$A$4004,1,FALSE),"sim",""),"")</f>
        <v/>
      </c>
      <c r="O851" s="10" t="str">
        <f t="shared" si="13"/>
        <v>*</v>
      </c>
    </row>
    <row r="852" spans="1:15" x14ac:dyDescent="0.25">
      <c r="A852" s="2">
        <v>128782</v>
      </c>
      <c r="B852" s="4" t="s">
        <v>923</v>
      </c>
      <c r="C852" s="41" t="s">
        <v>1345</v>
      </c>
      <c r="D852" s="42">
        <v>70</v>
      </c>
      <c r="E852" s="43">
        <v>47</v>
      </c>
      <c r="F852" s="50" t="str">
        <f>VLOOKUP(tabPontoPed[[#This Row],[GRUPO]],tabGrupos[#Data],2,FALSE)</f>
        <v>FERRAMENTAS MAQ.FERRAMENTAS,ELETR.PECAS E ACESSORI</v>
      </c>
      <c r="G852" s="42" t="str">
        <f>VLOOKUP(tabPontoPed[[#This Row],[GRUPO]],tabGrupos[#Data],3,FALSE)</f>
        <v>MAN</v>
      </c>
      <c r="H852" s="41" t="s">
        <v>1339</v>
      </c>
      <c r="I852" s="9">
        <v>4</v>
      </c>
      <c r="J852" s="51">
        <v>6</v>
      </c>
      <c r="K852" s="7">
        <f>tabPontoPed[[#This Row],[QTDMÊS]] * tabPontoPed[[#This Row],[MENSAL]]</f>
        <v>24</v>
      </c>
      <c r="L852" s="13" t="s">
        <v>1012</v>
      </c>
      <c r="M852" s="44"/>
      <c r="N852" s="45" t="str">
        <f>_xlfn.IFNA(IF(VLOOKUP(tabPontoPed[[#This Row],[CÓDIGO]],Excluir_do_Estoque!$A$4:$A$4004,1,FALSE),"sim",""),"")</f>
        <v/>
      </c>
      <c r="O852" s="10" t="str">
        <f t="shared" si="13"/>
        <v>*</v>
      </c>
    </row>
    <row r="853" spans="1:15" x14ac:dyDescent="0.25">
      <c r="A853" s="2">
        <v>128815</v>
      </c>
      <c r="B853" s="4" t="s">
        <v>24</v>
      </c>
      <c r="C853" s="41" t="s">
        <v>1345</v>
      </c>
      <c r="D853" s="42">
        <v>55</v>
      </c>
      <c r="E853" s="43">
        <v>32</v>
      </c>
      <c r="F853" s="50" t="str">
        <f>VLOOKUP(tabPontoPed[[#This Row],[GRUPO]],tabGrupos[#Data],2,FALSE)</f>
        <v>EQUIP. MAT. P/ GERACAO, TRANSM. DISTR. RETIF...</v>
      </c>
      <c r="G853" s="42" t="str">
        <f>VLOOKUP(tabPontoPed[[#This Row],[GRUPO]],tabGrupos[#Data],3,FALSE)</f>
        <v>MEL</v>
      </c>
      <c r="H853" s="41" t="s">
        <v>1339</v>
      </c>
      <c r="I853" s="9">
        <v>4</v>
      </c>
      <c r="J853" s="51">
        <v>148</v>
      </c>
      <c r="K853" s="7">
        <f>tabPontoPed[[#This Row],[QTDMÊS]] * tabPontoPed[[#This Row],[MENSAL]]</f>
        <v>592</v>
      </c>
      <c r="L853" s="13" t="s">
        <v>1012</v>
      </c>
      <c r="M853" s="44"/>
      <c r="N853" s="45" t="str">
        <f>_xlfn.IFNA(IF(VLOOKUP(tabPontoPed[[#This Row],[CÓDIGO]],Excluir_do_Estoque!$A$4:$A$4004,1,FALSE),"sim",""),"")</f>
        <v/>
      </c>
      <c r="O853" s="10" t="str">
        <f t="shared" si="13"/>
        <v>*</v>
      </c>
    </row>
    <row r="854" spans="1:15" x14ac:dyDescent="0.25">
      <c r="A854" s="2">
        <v>128816</v>
      </c>
      <c r="B854" s="4" t="s">
        <v>25</v>
      </c>
      <c r="C854" s="41" t="s">
        <v>1345</v>
      </c>
      <c r="D854" s="42">
        <v>55</v>
      </c>
      <c r="E854" s="43">
        <v>32</v>
      </c>
      <c r="F854" s="50" t="str">
        <f>VLOOKUP(tabPontoPed[[#This Row],[GRUPO]],tabGrupos[#Data],2,FALSE)</f>
        <v>EQUIP. MAT. P/ GERACAO, TRANSM. DISTR. RETIF...</v>
      </c>
      <c r="G854" s="42" t="str">
        <f>VLOOKUP(tabPontoPed[[#This Row],[GRUPO]],tabGrupos[#Data],3,FALSE)</f>
        <v>MEL</v>
      </c>
      <c r="H854" s="41" t="s">
        <v>1339</v>
      </c>
      <c r="I854" s="9">
        <v>4</v>
      </c>
      <c r="J854" s="51">
        <v>2</v>
      </c>
      <c r="K854" s="7">
        <f>tabPontoPed[[#This Row],[QTDMÊS]] * tabPontoPed[[#This Row],[MENSAL]]</f>
        <v>8</v>
      </c>
      <c r="L854" s="13" t="s">
        <v>1012</v>
      </c>
      <c r="M854" s="44"/>
      <c r="N854" s="45" t="str">
        <f>_xlfn.IFNA(IF(VLOOKUP(tabPontoPed[[#This Row],[CÓDIGO]],Excluir_do_Estoque!$A$4:$A$4004,1,FALSE),"sim",""),"")</f>
        <v/>
      </c>
      <c r="O854" s="10" t="str">
        <f t="shared" si="13"/>
        <v>*</v>
      </c>
    </row>
    <row r="855" spans="1:15" x14ac:dyDescent="0.25">
      <c r="A855" s="2">
        <v>128817</v>
      </c>
      <c r="B855" s="4" t="s">
        <v>658</v>
      </c>
      <c r="C855" s="41" t="s">
        <v>1345</v>
      </c>
      <c r="D855" s="42">
        <v>55</v>
      </c>
      <c r="E855" s="43">
        <v>32</v>
      </c>
      <c r="F855" s="50" t="str">
        <f>VLOOKUP(tabPontoPed[[#This Row],[GRUPO]],tabGrupos[#Data],2,FALSE)</f>
        <v>EQUIP. MAT. P/ GERACAO, TRANSM. DISTR. RETIF...</v>
      </c>
      <c r="G855" s="42" t="str">
        <f>VLOOKUP(tabPontoPed[[#This Row],[GRUPO]],tabGrupos[#Data],3,FALSE)</f>
        <v>MEL</v>
      </c>
      <c r="H855" s="41" t="s">
        <v>1339</v>
      </c>
      <c r="I855" s="9">
        <v>4</v>
      </c>
      <c r="J855" s="51">
        <v>1</v>
      </c>
      <c r="K855" s="7">
        <f>tabPontoPed[[#This Row],[QTDMÊS]] * tabPontoPed[[#This Row],[MENSAL]]</f>
        <v>4</v>
      </c>
      <c r="L855" s="13" t="s">
        <v>1012</v>
      </c>
      <c r="M855" s="44"/>
      <c r="N855" s="45" t="str">
        <f>_xlfn.IFNA(IF(VLOOKUP(tabPontoPed[[#This Row],[CÓDIGO]],Excluir_do_Estoque!$A$4:$A$4004,1,FALSE),"sim",""),"")</f>
        <v/>
      </c>
      <c r="O855" s="10" t="str">
        <f t="shared" si="13"/>
        <v>*</v>
      </c>
    </row>
    <row r="856" spans="1:15" x14ac:dyDescent="0.25">
      <c r="A856" s="2">
        <v>128818</v>
      </c>
      <c r="B856" s="4" t="s">
        <v>28</v>
      </c>
      <c r="C856" s="41" t="s">
        <v>1345</v>
      </c>
      <c r="D856" s="42">
        <v>55</v>
      </c>
      <c r="E856" s="43">
        <v>34</v>
      </c>
      <c r="F856" s="50" t="str">
        <f>VLOOKUP(tabPontoPed[[#This Row],[GRUPO]],tabGrupos[#Data],2,FALSE)</f>
        <v>EQUIP. MAT. P/ GERACAO, TRANSM. DISTR. RETIF...</v>
      </c>
      <c r="G856" s="42" t="str">
        <f>VLOOKUP(tabPontoPed[[#This Row],[GRUPO]],tabGrupos[#Data],3,FALSE)</f>
        <v>MEL</v>
      </c>
      <c r="H856" s="41" t="s">
        <v>1339</v>
      </c>
      <c r="I856" s="9">
        <v>4</v>
      </c>
      <c r="J856" s="51">
        <v>102</v>
      </c>
      <c r="K856" s="7">
        <f>tabPontoPed[[#This Row],[QTDMÊS]] * tabPontoPed[[#This Row],[MENSAL]]</f>
        <v>408</v>
      </c>
      <c r="L856" s="13" t="s">
        <v>1012</v>
      </c>
      <c r="M856" s="44"/>
      <c r="N856" s="45" t="str">
        <f>_xlfn.IFNA(IF(VLOOKUP(tabPontoPed[[#This Row],[CÓDIGO]],Excluir_do_Estoque!$A$4:$A$4004,1,FALSE),"sim",""),"")</f>
        <v/>
      </c>
      <c r="O856" s="10" t="str">
        <f t="shared" si="13"/>
        <v>*</v>
      </c>
    </row>
    <row r="857" spans="1:15" x14ac:dyDescent="0.25">
      <c r="A857" s="2">
        <v>128819</v>
      </c>
      <c r="B857" s="4" t="s">
        <v>29</v>
      </c>
      <c r="C857" s="41" t="s">
        <v>1345</v>
      </c>
      <c r="D857" s="42">
        <v>55</v>
      </c>
      <c r="E857" s="43">
        <v>34</v>
      </c>
      <c r="F857" s="50" t="str">
        <f>VLOOKUP(tabPontoPed[[#This Row],[GRUPO]],tabGrupos[#Data],2,FALSE)</f>
        <v>EQUIP. MAT. P/ GERACAO, TRANSM. DISTR. RETIF...</v>
      </c>
      <c r="G857" s="42" t="str">
        <f>VLOOKUP(tabPontoPed[[#This Row],[GRUPO]],tabGrupos[#Data],3,FALSE)</f>
        <v>MEL</v>
      </c>
      <c r="H857" s="41" t="s">
        <v>1339</v>
      </c>
      <c r="I857" s="9">
        <v>4</v>
      </c>
      <c r="J857" s="51">
        <v>4</v>
      </c>
      <c r="K857" s="7">
        <f>tabPontoPed[[#This Row],[QTDMÊS]] * tabPontoPed[[#This Row],[MENSAL]]</f>
        <v>16</v>
      </c>
      <c r="L857" s="13" t="s">
        <v>1012</v>
      </c>
      <c r="M857" s="44"/>
      <c r="N857" s="45" t="str">
        <f>_xlfn.IFNA(IF(VLOOKUP(tabPontoPed[[#This Row],[CÓDIGO]],Excluir_do_Estoque!$A$4:$A$4004,1,FALSE),"sim",""),"")</f>
        <v/>
      </c>
      <c r="O857" s="10" t="str">
        <f t="shared" si="13"/>
        <v>*</v>
      </c>
    </row>
    <row r="858" spans="1:15" x14ac:dyDescent="0.25">
      <c r="A858" s="2">
        <v>129959</v>
      </c>
      <c r="B858" s="4" t="s">
        <v>116</v>
      </c>
      <c r="C858" s="41" t="s">
        <v>1345</v>
      </c>
      <c r="D858" s="42">
        <v>55</v>
      </c>
      <c r="E858" s="43">
        <v>19</v>
      </c>
      <c r="F858" s="50" t="str">
        <f>VLOOKUP(tabPontoPed[[#This Row],[GRUPO]],tabGrupos[#Data],2,FALSE)</f>
        <v>EQUIP. MAT. P/ GERACAO, TRANSM. DISTR. RETIF...</v>
      </c>
      <c r="G858" s="42" t="str">
        <f>VLOOKUP(tabPontoPed[[#This Row],[GRUPO]],tabGrupos[#Data],3,FALSE)</f>
        <v>MEL</v>
      </c>
      <c r="H858" s="41" t="s">
        <v>1339</v>
      </c>
      <c r="I858" s="9">
        <v>4</v>
      </c>
      <c r="J858" s="51">
        <v>8</v>
      </c>
      <c r="K858" s="7">
        <f>tabPontoPed[[#This Row],[QTDMÊS]] * tabPontoPed[[#This Row],[MENSAL]]</f>
        <v>32</v>
      </c>
      <c r="L858" s="13" t="s">
        <v>1012</v>
      </c>
      <c r="M858" s="44"/>
      <c r="N858" s="45" t="str">
        <f>_xlfn.IFNA(IF(VLOOKUP(tabPontoPed[[#This Row],[CÓDIGO]],Excluir_do_Estoque!$A$4:$A$4004,1,FALSE),"sim",""),"")</f>
        <v/>
      </c>
      <c r="O858" s="10" t="str">
        <f t="shared" si="13"/>
        <v>*</v>
      </c>
    </row>
    <row r="859" spans="1:15" x14ac:dyDescent="0.25">
      <c r="A859" s="2">
        <v>129960</v>
      </c>
      <c r="B859" s="4" t="s">
        <v>135</v>
      </c>
      <c r="C859" s="41" t="s">
        <v>1345</v>
      </c>
      <c r="D859" s="42">
        <v>55</v>
      </c>
      <c r="E859" s="43">
        <v>19</v>
      </c>
      <c r="F859" s="50" t="str">
        <f>VLOOKUP(tabPontoPed[[#This Row],[GRUPO]],tabGrupos[#Data],2,FALSE)</f>
        <v>EQUIP. MAT. P/ GERACAO, TRANSM. DISTR. RETIF...</v>
      </c>
      <c r="G859" s="42" t="str">
        <f>VLOOKUP(tabPontoPed[[#This Row],[GRUPO]],tabGrupos[#Data],3,FALSE)</f>
        <v>MEL</v>
      </c>
      <c r="H859" s="41" t="s">
        <v>1339</v>
      </c>
      <c r="I859" s="9">
        <v>4</v>
      </c>
      <c r="J859" s="51">
        <v>0</v>
      </c>
      <c r="K859" s="7">
        <f>tabPontoPed[[#This Row],[QTDMÊS]] * tabPontoPed[[#This Row],[MENSAL]]</f>
        <v>0</v>
      </c>
      <c r="L859" s="13" t="s">
        <v>1012</v>
      </c>
      <c r="M859" s="44"/>
      <c r="N859" s="45" t="str">
        <f>_xlfn.IFNA(IF(VLOOKUP(tabPontoPed[[#This Row],[CÓDIGO]],Excluir_do_Estoque!$A$4:$A$4004,1,FALSE),"sim",""),"")</f>
        <v/>
      </c>
      <c r="O859" s="10" t="str">
        <f t="shared" si="13"/>
        <v>*</v>
      </c>
    </row>
    <row r="860" spans="1:15" x14ac:dyDescent="0.25">
      <c r="A860" s="2">
        <v>129961</v>
      </c>
      <c r="B860" s="4" t="s">
        <v>357</v>
      </c>
      <c r="C860" s="41" t="s">
        <v>1345</v>
      </c>
      <c r="D860" s="42">
        <v>55</v>
      </c>
      <c r="E860" s="43">
        <v>26</v>
      </c>
      <c r="F860" s="50" t="str">
        <f>VLOOKUP(tabPontoPed[[#This Row],[GRUPO]],tabGrupos[#Data],2,FALSE)</f>
        <v>EQUIP. MAT. P/ GERACAO, TRANSM. DISTR. RETIF...</v>
      </c>
      <c r="G860" s="42" t="str">
        <f>VLOOKUP(tabPontoPed[[#This Row],[GRUPO]],tabGrupos[#Data],3,FALSE)</f>
        <v>MEL</v>
      </c>
      <c r="H860" s="41" t="s">
        <v>1339</v>
      </c>
      <c r="I860" s="9">
        <v>4</v>
      </c>
      <c r="J860" s="51">
        <v>0</v>
      </c>
      <c r="K860" s="7">
        <f>tabPontoPed[[#This Row],[QTDMÊS]] * tabPontoPed[[#This Row],[MENSAL]]</f>
        <v>0</v>
      </c>
      <c r="L860" s="13" t="s">
        <v>1012</v>
      </c>
      <c r="M860" s="44"/>
      <c r="N860" s="45" t="str">
        <f>_xlfn.IFNA(IF(VLOOKUP(tabPontoPed[[#This Row],[CÓDIGO]],Excluir_do_Estoque!$A$4:$A$4004,1,FALSE),"sim",""),"")</f>
        <v/>
      </c>
      <c r="O860" s="10" t="str">
        <f t="shared" si="13"/>
        <v>*</v>
      </c>
    </row>
    <row r="861" spans="1:15" x14ac:dyDescent="0.25">
      <c r="A861" s="2">
        <v>129962</v>
      </c>
      <c r="B861" s="4" t="s">
        <v>636</v>
      </c>
      <c r="C861" s="41" t="s">
        <v>1345</v>
      </c>
      <c r="D861" s="42">
        <v>55</v>
      </c>
      <c r="E861" s="43">
        <v>26</v>
      </c>
      <c r="F861" s="50" t="str">
        <f>VLOOKUP(tabPontoPed[[#This Row],[GRUPO]],tabGrupos[#Data],2,FALSE)</f>
        <v>EQUIP. MAT. P/ GERACAO, TRANSM. DISTR. RETIF...</v>
      </c>
      <c r="G861" s="42" t="str">
        <f>VLOOKUP(tabPontoPed[[#This Row],[GRUPO]],tabGrupos[#Data],3,FALSE)</f>
        <v>MEL</v>
      </c>
      <c r="H861" s="41" t="s">
        <v>1339</v>
      </c>
      <c r="I861" s="9">
        <v>4</v>
      </c>
      <c r="J861" s="51">
        <v>0</v>
      </c>
      <c r="K861" s="7">
        <f>tabPontoPed[[#This Row],[QTDMÊS]] * tabPontoPed[[#This Row],[MENSAL]]</f>
        <v>0</v>
      </c>
      <c r="L861" s="13" t="s">
        <v>1012</v>
      </c>
      <c r="M861" s="44"/>
      <c r="N861" s="45" t="str">
        <f>_xlfn.IFNA(IF(VLOOKUP(tabPontoPed[[#This Row],[CÓDIGO]],Excluir_do_Estoque!$A$4:$A$4004,1,FALSE),"sim",""),"")</f>
        <v/>
      </c>
      <c r="O861" s="10" t="str">
        <f t="shared" si="13"/>
        <v>*</v>
      </c>
    </row>
    <row r="862" spans="1:15" x14ac:dyDescent="0.25">
      <c r="A862" s="2">
        <v>129979</v>
      </c>
      <c r="B862" s="4" t="s">
        <v>775</v>
      </c>
      <c r="C862" s="41" t="s">
        <v>1345</v>
      </c>
      <c r="D862" s="42">
        <v>61</v>
      </c>
      <c r="E862" s="43">
        <v>8</v>
      </c>
      <c r="F862" s="50" t="str">
        <f>VLOOKUP(tabPontoPed[[#This Row],[GRUPO]],tabGrupos[#Data],2,FALSE)</f>
        <v>MATERIAL HIDRAULICO, CANOS, TUBOS, MANGUEIRAS, CONEXOES E ACESS.</v>
      </c>
      <c r="G862" s="42" t="str">
        <f>VLOOKUP(tabPontoPed[[#This Row],[GRUPO]],tabGrupos[#Data],3,FALSE)</f>
        <v>MHI</v>
      </c>
      <c r="H862" s="41" t="s">
        <v>1339</v>
      </c>
      <c r="I862" s="9">
        <v>4</v>
      </c>
      <c r="J862" s="51">
        <v>1</v>
      </c>
      <c r="K862" s="7">
        <f>tabPontoPed[[#This Row],[QTDMÊS]] * tabPontoPed[[#This Row],[MENSAL]]</f>
        <v>4</v>
      </c>
      <c r="L862" s="13" t="s">
        <v>1012</v>
      </c>
      <c r="M862" s="44"/>
      <c r="N862" s="45" t="str">
        <f>_xlfn.IFNA(IF(VLOOKUP(tabPontoPed[[#This Row],[CÓDIGO]],Excluir_do_Estoque!$A$4:$A$4004,1,FALSE),"sim",""),"")</f>
        <v/>
      </c>
      <c r="O862" s="10" t="str">
        <f t="shared" si="13"/>
        <v>*</v>
      </c>
    </row>
    <row r="863" spans="1:15" x14ac:dyDescent="0.25">
      <c r="A863" s="2">
        <v>129991</v>
      </c>
      <c r="B863" s="4" t="s">
        <v>138</v>
      </c>
      <c r="C863" s="41" t="s">
        <v>1345</v>
      </c>
      <c r="D863" s="42">
        <v>55</v>
      </c>
      <c r="E863" s="43">
        <v>32</v>
      </c>
      <c r="F863" s="50" t="str">
        <f>VLOOKUP(tabPontoPed[[#This Row],[GRUPO]],tabGrupos[#Data],2,FALSE)</f>
        <v>EQUIP. MAT. P/ GERACAO, TRANSM. DISTR. RETIF...</v>
      </c>
      <c r="G863" s="42" t="str">
        <f>VLOOKUP(tabPontoPed[[#This Row],[GRUPO]],tabGrupos[#Data],3,FALSE)</f>
        <v>MEL</v>
      </c>
      <c r="H863" s="41" t="s">
        <v>1339</v>
      </c>
      <c r="I863" s="9">
        <v>4</v>
      </c>
      <c r="J863" s="51">
        <v>129</v>
      </c>
      <c r="K863" s="7">
        <f>tabPontoPed[[#This Row],[QTDMÊS]] * tabPontoPed[[#This Row],[MENSAL]]</f>
        <v>516</v>
      </c>
      <c r="L863" s="13" t="s">
        <v>1012</v>
      </c>
      <c r="M863" s="44"/>
      <c r="N863" s="45" t="str">
        <f>_xlfn.IFNA(IF(VLOOKUP(tabPontoPed[[#This Row],[CÓDIGO]],Excluir_do_Estoque!$A$4:$A$4004,1,FALSE),"sim",""),"")</f>
        <v/>
      </c>
      <c r="O863" s="10" t="str">
        <f t="shared" si="13"/>
        <v>*</v>
      </c>
    </row>
    <row r="864" spans="1:15" x14ac:dyDescent="0.25">
      <c r="A864" s="2">
        <v>130024</v>
      </c>
      <c r="B864" s="4" t="s">
        <v>212</v>
      </c>
      <c r="C864" s="41" t="s">
        <v>1345</v>
      </c>
      <c r="D864" s="42">
        <v>52</v>
      </c>
      <c r="E864" s="43">
        <v>8</v>
      </c>
      <c r="F864" s="50" t="str">
        <f>VLOOKUP(tabPontoPed[[#This Row],[GRUPO]],tabGrupos[#Data],2,FALSE)</f>
        <v>EQUIP.E MAT. P/REFEITORIO, COPA E COZINHA</v>
      </c>
      <c r="G864" s="42" t="str">
        <f>VLOOKUP(tabPontoPed[[#This Row],[GRUPO]],tabGrupos[#Data],3,FALSE)</f>
        <v>ADM</v>
      </c>
      <c r="H864" s="41" t="s">
        <v>1339</v>
      </c>
      <c r="I864" s="9">
        <v>4</v>
      </c>
      <c r="J864" s="51">
        <v>201</v>
      </c>
      <c r="K864" s="7">
        <f>tabPontoPed[[#This Row],[QTDMÊS]] * tabPontoPed[[#This Row],[MENSAL]]</f>
        <v>804</v>
      </c>
      <c r="L864" s="13" t="s">
        <v>1012</v>
      </c>
      <c r="M864" s="44"/>
      <c r="N864" s="45" t="str">
        <f>_xlfn.IFNA(IF(VLOOKUP(tabPontoPed[[#This Row],[CÓDIGO]],Excluir_do_Estoque!$A$4:$A$4004,1,FALSE),"sim",""),"")</f>
        <v/>
      </c>
      <c r="O864" s="10" t="str">
        <f t="shared" si="13"/>
        <v>*</v>
      </c>
    </row>
    <row r="865" spans="1:15" x14ac:dyDescent="0.25">
      <c r="A865" s="2">
        <v>130157</v>
      </c>
      <c r="B865" s="4" t="s">
        <v>702</v>
      </c>
      <c r="C865" s="41" t="s">
        <v>1345</v>
      </c>
      <c r="D865" s="42">
        <v>56</v>
      </c>
      <c r="E865" s="43">
        <v>9</v>
      </c>
      <c r="F865" s="50" t="str">
        <f>VLOOKUP(tabPontoPed[[#This Row],[GRUPO]],tabGrupos[#Data],2,FALSE)</f>
        <v>EQUIP. COMP. MAT. ELETRON. CELULAS E FIBRAS OTICAS</v>
      </c>
      <c r="G865" s="42" t="str">
        <f>VLOOKUP(tabPontoPed[[#This Row],[GRUPO]],tabGrupos[#Data],3,FALSE)</f>
        <v>INF</v>
      </c>
      <c r="H865" s="41" t="s">
        <v>1339</v>
      </c>
      <c r="I865" s="9">
        <v>4</v>
      </c>
      <c r="J865" s="51">
        <v>25</v>
      </c>
      <c r="K865" s="7">
        <f>tabPontoPed[[#This Row],[QTDMÊS]] * tabPontoPed[[#This Row],[MENSAL]]</f>
        <v>100</v>
      </c>
      <c r="L865" s="13" t="s">
        <v>1012</v>
      </c>
      <c r="M865" s="44"/>
      <c r="N865" s="45" t="str">
        <f>_xlfn.IFNA(IF(VLOOKUP(tabPontoPed[[#This Row],[CÓDIGO]],Excluir_do_Estoque!$A$4:$A$4004,1,FALSE),"sim",""),"")</f>
        <v/>
      </c>
      <c r="O865" s="10" t="str">
        <f t="shared" si="13"/>
        <v>*</v>
      </c>
    </row>
    <row r="866" spans="1:15" x14ac:dyDescent="0.25">
      <c r="A866" s="2">
        <v>130564</v>
      </c>
      <c r="B866" s="4" t="s">
        <v>593</v>
      </c>
      <c r="C866" s="41" t="s">
        <v>1345</v>
      </c>
      <c r="D866" s="42">
        <v>54</v>
      </c>
      <c r="E866" s="43">
        <v>4</v>
      </c>
      <c r="F866" s="50" t="str">
        <f>VLOOKUP(tabPontoPed[[#This Row],[GRUPO]],tabGrupos[#Data],2,FALSE)</f>
        <v>EQUIP PROT IND, INST MAT P/ SINAL, CONTR, COMB ...</v>
      </c>
      <c r="G866" s="42" t="str">
        <f>VLOOKUP(tabPontoPed[[#This Row],[GRUPO]],tabGrupos[#Data],3,FALSE)</f>
        <v>MAN</v>
      </c>
      <c r="H866" s="41" t="s">
        <v>1339</v>
      </c>
      <c r="I866" s="9">
        <v>4</v>
      </c>
      <c r="J866" s="51">
        <v>1</v>
      </c>
      <c r="K866" s="7">
        <f>tabPontoPed[[#This Row],[QTDMÊS]] * tabPontoPed[[#This Row],[MENSAL]]</f>
        <v>4</v>
      </c>
      <c r="L866" s="13" t="s">
        <v>1012</v>
      </c>
      <c r="M866" s="44"/>
      <c r="N866" s="45" t="str">
        <f>_xlfn.IFNA(IF(VLOOKUP(tabPontoPed[[#This Row],[CÓDIGO]],Excluir_do_Estoque!$A$4:$A$4004,1,FALSE),"sim",""),"")</f>
        <v/>
      </c>
      <c r="O866" s="10" t="str">
        <f t="shared" si="13"/>
        <v>*</v>
      </c>
    </row>
    <row r="867" spans="1:15" x14ac:dyDescent="0.25">
      <c r="A867" s="2">
        <v>130614</v>
      </c>
      <c r="B867" s="4" t="s">
        <v>956</v>
      </c>
      <c r="C867" s="41" t="s">
        <v>1345</v>
      </c>
      <c r="D867" s="42">
        <v>75</v>
      </c>
      <c r="E867" s="43">
        <v>5</v>
      </c>
      <c r="F867" s="50" t="e">
        <f>VLOOKUP(tabPontoPed[[#This Row],[GRUPO]],tabGrupos[#Data],2,FALSE)</f>
        <v>#N/A</v>
      </c>
      <c r="G867" s="42" t="e">
        <f>VLOOKUP(tabPontoPed[[#This Row],[GRUPO]],tabGrupos[#Data],3,FALSE)</f>
        <v>#N/A</v>
      </c>
      <c r="H867" s="41" t="s">
        <v>1339</v>
      </c>
      <c r="I867" s="9">
        <v>4</v>
      </c>
      <c r="J867" s="51">
        <v>39</v>
      </c>
      <c r="K867" s="7">
        <f>tabPontoPed[[#This Row],[QTDMÊS]] * tabPontoPed[[#This Row],[MENSAL]]</f>
        <v>156</v>
      </c>
      <c r="L867" s="13" t="s">
        <v>1012</v>
      </c>
      <c r="M867" s="44"/>
      <c r="N867" s="45" t="str">
        <f>_xlfn.IFNA(IF(VLOOKUP(tabPontoPed[[#This Row],[CÓDIGO]],Excluir_do_Estoque!$A$4:$A$4004,1,FALSE),"sim",""),"")</f>
        <v/>
      </c>
      <c r="O867" s="10" t="str">
        <f t="shared" si="13"/>
        <v>*</v>
      </c>
    </row>
    <row r="868" spans="1:15" x14ac:dyDescent="0.25">
      <c r="A868" s="2">
        <v>130618</v>
      </c>
      <c r="B868" s="4" t="s">
        <v>946</v>
      </c>
      <c r="C868" s="41" t="s">
        <v>1345</v>
      </c>
      <c r="D868" s="42">
        <v>74</v>
      </c>
      <c r="E868" s="43">
        <v>2</v>
      </c>
      <c r="F868" s="50" t="str">
        <f>VLOOKUP(tabPontoPed[[#This Row],[GRUPO]],tabGrupos[#Data],2,FALSE)</f>
        <v>MADEIRAS,LAMINADOS,COMPENSADOS E AGLOMERADOS</v>
      </c>
      <c r="G868" s="42" t="str">
        <f>VLOOKUP(tabPontoPed[[#This Row],[GRUPO]],tabGrupos[#Data],3,FALSE)</f>
        <v>MCO</v>
      </c>
      <c r="H868" s="41" t="s">
        <v>1339</v>
      </c>
      <c r="I868" s="9">
        <v>4</v>
      </c>
      <c r="J868" s="51">
        <v>2</v>
      </c>
      <c r="K868" s="7">
        <f>tabPontoPed[[#This Row],[QTDMÊS]] * tabPontoPed[[#This Row],[MENSAL]]</f>
        <v>8</v>
      </c>
      <c r="L868" s="13" t="s">
        <v>1012</v>
      </c>
      <c r="M868" s="44"/>
      <c r="N868" s="45" t="str">
        <f>_xlfn.IFNA(IF(VLOOKUP(tabPontoPed[[#This Row],[CÓDIGO]],Excluir_do_Estoque!$A$4:$A$4004,1,FALSE),"sim",""),"")</f>
        <v/>
      </c>
      <c r="O868" s="10" t="str">
        <f t="shared" si="13"/>
        <v>*</v>
      </c>
    </row>
    <row r="869" spans="1:15" x14ac:dyDescent="0.25">
      <c r="A869" s="2">
        <v>130624</v>
      </c>
      <c r="B869" s="4" t="s">
        <v>97</v>
      </c>
      <c r="C869" s="41" t="s">
        <v>1345</v>
      </c>
      <c r="D869" s="42">
        <v>57</v>
      </c>
      <c r="E869" s="43">
        <v>17</v>
      </c>
      <c r="F869" s="50" t="str">
        <f>VLOOKUP(tabPontoPed[[#This Row],[GRUPO]],tabGrupos[#Data],2,FALSE)</f>
        <v>MAQ. E EQUIP. P/ IND. GRAFICA COMP. ACESS. E PAPEI</v>
      </c>
      <c r="G869" s="42" t="str">
        <f>VLOOKUP(tabPontoPed[[#This Row],[GRUPO]],tabGrupos[#Data],3,FALSE)</f>
        <v>EDU</v>
      </c>
      <c r="H869" s="41" t="s">
        <v>1339</v>
      </c>
      <c r="I869" s="9">
        <v>4</v>
      </c>
      <c r="J869" s="51">
        <v>824</v>
      </c>
      <c r="K869" s="7">
        <f>tabPontoPed[[#This Row],[QTDMÊS]] * tabPontoPed[[#This Row],[MENSAL]]</f>
        <v>3296</v>
      </c>
      <c r="L869" s="13" t="s">
        <v>1012</v>
      </c>
      <c r="M869" s="44"/>
      <c r="N869" s="45" t="str">
        <f>_xlfn.IFNA(IF(VLOOKUP(tabPontoPed[[#This Row],[CÓDIGO]],Excluir_do_Estoque!$A$4:$A$4004,1,FALSE),"sim",""),"")</f>
        <v/>
      </c>
      <c r="O869" s="10" t="str">
        <f t="shared" si="13"/>
        <v>*</v>
      </c>
    </row>
    <row r="870" spans="1:15" x14ac:dyDescent="0.25">
      <c r="A870" s="2">
        <v>130632</v>
      </c>
      <c r="B870" s="4" t="s">
        <v>500</v>
      </c>
      <c r="C870" s="41" t="s">
        <v>1345</v>
      </c>
      <c r="D870" s="42">
        <v>51</v>
      </c>
      <c r="E870" s="43">
        <v>3</v>
      </c>
      <c r="F870" s="50" t="str">
        <f>VLOOKUP(tabPontoPed[[#This Row],[GRUPO]],tabGrupos[#Data],2,FALSE)</f>
        <v>MAT.E EQUIP. P/ CONSTR.CIVIL E CONSERV. DE VIAS PUBL.</v>
      </c>
      <c r="G870" s="42" t="str">
        <f>VLOOKUP(tabPontoPed[[#This Row],[GRUPO]],tabGrupos[#Data],3,FALSE)</f>
        <v>MCO</v>
      </c>
      <c r="H870" s="41" t="s">
        <v>1339</v>
      </c>
      <c r="I870" s="9">
        <v>4</v>
      </c>
      <c r="J870" s="51">
        <v>2</v>
      </c>
      <c r="K870" s="7">
        <f>tabPontoPed[[#This Row],[QTDMÊS]] * tabPontoPed[[#This Row],[MENSAL]]</f>
        <v>8</v>
      </c>
      <c r="L870" s="13" t="s">
        <v>1012</v>
      </c>
      <c r="M870" s="44"/>
      <c r="N870" s="45" t="str">
        <f>_xlfn.IFNA(IF(VLOOKUP(tabPontoPed[[#This Row],[CÓDIGO]],Excluir_do_Estoque!$A$4:$A$4004,1,FALSE),"sim",""),"")</f>
        <v/>
      </c>
      <c r="O870" s="10" t="str">
        <f t="shared" si="13"/>
        <v>*</v>
      </c>
    </row>
    <row r="871" spans="1:15" x14ac:dyDescent="0.25">
      <c r="A871" s="2">
        <v>130634</v>
      </c>
      <c r="B871" s="4" t="s">
        <v>538</v>
      </c>
      <c r="C871" s="41" t="s">
        <v>1345</v>
      </c>
      <c r="D871" s="42">
        <v>51</v>
      </c>
      <c r="E871" s="43">
        <v>24</v>
      </c>
      <c r="F871" s="50" t="str">
        <f>VLOOKUP(tabPontoPed[[#This Row],[GRUPO]],tabGrupos[#Data],2,FALSE)</f>
        <v>MAT.E EQUIP. P/ CONSTR.CIVIL E CONSERV. DE VIAS PUBL.</v>
      </c>
      <c r="G871" s="42" t="str">
        <f>VLOOKUP(tabPontoPed[[#This Row],[GRUPO]],tabGrupos[#Data],3,FALSE)</f>
        <v>MCO</v>
      </c>
      <c r="H871" s="41" t="s">
        <v>1339</v>
      </c>
      <c r="I871" s="9">
        <v>4</v>
      </c>
      <c r="J871" s="51">
        <v>73</v>
      </c>
      <c r="K871" s="7">
        <f>tabPontoPed[[#This Row],[QTDMÊS]] * tabPontoPed[[#This Row],[MENSAL]]</f>
        <v>292</v>
      </c>
      <c r="L871" s="13" t="s">
        <v>1012</v>
      </c>
      <c r="M871" s="44"/>
      <c r="N871" s="45" t="str">
        <f>_xlfn.IFNA(IF(VLOOKUP(tabPontoPed[[#This Row],[CÓDIGO]],Excluir_do_Estoque!$A$4:$A$4004,1,FALSE),"sim",""),"")</f>
        <v/>
      </c>
      <c r="O871" s="10" t="str">
        <f t="shared" si="13"/>
        <v>*</v>
      </c>
    </row>
    <row r="872" spans="1:15" x14ac:dyDescent="0.25">
      <c r="A872" s="2">
        <v>130695</v>
      </c>
      <c r="B872" s="4" t="s">
        <v>146</v>
      </c>
      <c r="C872" s="41" t="s">
        <v>1345</v>
      </c>
      <c r="D872" s="42">
        <v>62</v>
      </c>
      <c r="E872" s="43">
        <v>26</v>
      </c>
      <c r="F872" s="50" t="str">
        <f>VLOOKUP(tabPontoPed[[#This Row],[GRUPO]],tabGrupos[#Data],2,FALSE)</f>
        <v>VEST., ART.P/ TOUC.E HIG. PES. MAQ., EQUIP., MAT.E ACES.</v>
      </c>
      <c r="G872" s="42" t="str">
        <f>VLOOKUP(tabPontoPed[[#This Row],[GRUPO]],tabGrupos[#Data],3,FALSE)</f>
        <v>ADM</v>
      </c>
      <c r="H872" s="41" t="s">
        <v>1339</v>
      </c>
      <c r="I872" s="9">
        <v>4</v>
      </c>
      <c r="J872" s="51">
        <v>652</v>
      </c>
      <c r="K872" s="7">
        <f>tabPontoPed[[#This Row],[QTDMÊS]] * tabPontoPed[[#This Row],[MENSAL]]</f>
        <v>2608</v>
      </c>
      <c r="L872" s="13" t="s">
        <v>1012</v>
      </c>
      <c r="M872" s="44"/>
      <c r="N872" s="45" t="str">
        <f>_xlfn.IFNA(IF(VLOOKUP(tabPontoPed[[#This Row],[CÓDIGO]],Excluir_do_Estoque!$A$4:$A$4004,1,FALSE),"sim",""),"")</f>
        <v/>
      </c>
      <c r="O872" s="10" t="str">
        <f t="shared" si="13"/>
        <v>*</v>
      </c>
    </row>
    <row r="873" spans="1:15" x14ac:dyDescent="0.25">
      <c r="A873" s="2">
        <v>130740</v>
      </c>
      <c r="B873" s="4" t="s">
        <v>594</v>
      </c>
      <c r="C873" s="41" t="s">
        <v>1345</v>
      </c>
      <c r="D873" s="42">
        <v>54</v>
      </c>
      <c r="E873" s="43">
        <v>4</v>
      </c>
      <c r="F873" s="50" t="str">
        <f>VLOOKUP(tabPontoPed[[#This Row],[GRUPO]],tabGrupos[#Data],2,FALSE)</f>
        <v>EQUIP PROT IND, INST MAT P/ SINAL, CONTR, COMB ...</v>
      </c>
      <c r="G873" s="42" t="str">
        <f>VLOOKUP(tabPontoPed[[#This Row],[GRUPO]],tabGrupos[#Data],3,FALSE)</f>
        <v>MAN</v>
      </c>
      <c r="H873" s="41" t="s">
        <v>1339</v>
      </c>
      <c r="I873" s="9">
        <v>4</v>
      </c>
      <c r="J873" s="51">
        <v>2</v>
      </c>
      <c r="K873" s="7">
        <f>tabPontoPed[[#This Row],[QTDMÊS]] * tabPontoPed[[#This Row],[MENSAL]]</f>
        <v>8</v>
      </c>
      <c r="L873" s="13" t="s">
        <v>1012</v>
      </c>
      <c r="M873" s="44"/>
      <c r="N873" s="45" t="str">
        <f>_xlfn.IFNA(IF(VLOOKUP(tabPontoPed[[#This Row],[CÓDIGO]],Excluir_do_Estoque!$A$4:$A$4004,1,FALSE),"sim",""),"")</f>
        <v/>
      </c>
      <c r="O873" s="10" t="str">
        <f t="shared" si="13"/>
        <v>*</v>
      </c>
    </row>
    <row r="874" spans="1:15" x14ac:dyDescent="0.25">
      <c r="A874" s="2">
        <v>131138</v>
      </c>
      <c r="B874" s="4" t="s">
        <v>867</v>
      </c>
      <c r="C874" s="41" t="s">
        <v>1345</v>
      </c>
      <c r="D874" s="42">
        <v>67</v>
      </c>
      <c r="E874" s="43">
        <v>16</v>
      </c>
      <c r="F874" s="50" t="str">
        <f>VLOOKUP(tabPontoPed[[#This Row],[GRUPO]],tabGrupos[#Data],2,FALSE)</f>
        <v>PARAFUSOS ELEM. VEDACAO UNIAO CONEX . FIXACAO</v>
      </c>
      <c r="G874" s="42" t="str">
        <f>VLOOKUP(tabPontoPed[[#This Row],[GRUPO]],tabGrupos[#Data],3,FALSE)</f>
        <v>MSE</v>
      </c>
      <c r="H874" s="41" t="s">
        <v>1339</v>
      </c>
      <c r="I874" s="9">
        <v>4</v>
      </c>
      <c r="J874" s="51">
        <v>0</v>
      </c>
      <c r="K874" s="7">
        <f>tabPontoPed[[#This Row],[QTDMÊS]] * tabPontoPed[[#This Row],[MENSAL]]</f>
        <v>0</v>
      </c>
      <c r="L874" s="13" t="s">
        <v>1012</v>
      </c>
      <c r="M874" s="44"/>
      <c r="N874" s="45" t="str">
        <f>_xlfn.IFNA(IF(VLOOKUP(tabPontoPed[[#This Row],[CÓDIGO]],Excluir_do_Estoque!$A$4:$A$4004,1,FALSE),"sim",""),"")</f>
        <v/>
      </c>
      <c r="O874" s="10" t="str">
        <f t="shared" si="13"/>
        <v>*</v>
      </c>
    </row>
    <row r="875" spans="1:15" x14ac:dyDescent="0.25">
      <c r="A875" s="2">
        <v>131221</v>
      </c>
      <c r="B875" s="4" t="s">
        <v>719</v>
      </c>
      <c r="C875" s="41" t="s">
        <v>1345</v>
      </c>
      <c r="D875" s="42">
        <v>59</v>
      </c>
      <c r="E875" s="43">
        <v>35</v>
      </c>
      <c r="F875" s="50" t="str">
        <f>VLOOKUP(tabPontoPed[[#This Row],[GRUPO]],tabGrupos[#Data],2,FALSE)</f>
        <v>EQUIP.MAT.E ACESS.COMUNIC.CINE FOTO OTICA SOM</v>
      </c>
      <c r="G875" s="42" t="str">
        <f>VLOOKUP(tabPontoPed[[#This Row],[GRUPO]],tabGrupos[#Data],3,FALSE)</f>
        <v>INF</v>
      </c>
      <c r="H875" s="41" t="s">
        <v>1339</v>
      </c>
      <c r="I875" s="9">
        <v>4</v>
      </c>
      <c r="J875" s="51">
        <v>1</v>
      </c>
      <c r="K875" s="7">
        <f>tabPontoPed[[#This Row],[QTDMÊS]] * tabPontoPed[[#This Row],[MENSAL]]</f>
        <v>4</v>
      </c>
      <c r="L875" s="13" t="s">
        <v>1012</v>
      </c>
      <c r="M875" s="44"/>
      <c r="N875" s="45" t="str">
        <f>_xlfn.IFNA(IF(VLOOKUP(tabPontoPed[[#This Row],[CÓDIGO]],Excluir_do_Estoque!$A$4:$A$4004,1,FALSE),"sim",""),"")</f>
        <v/>
      </c>
      <c r="O875" s="10" t="str">
        <f t="shared" si="13"/>
        <v>*</v>
      </c>
    </row>
    <row r="876" spans="1:15" x14ac:dyDescent="0.25">
      <c r="A876" s="2">
        <v>131344</v>
      </c>
      <c r="B876" s="4" t="s">
        <v>566</v>
      </c>
      <c r="C876" s="41" t="s">
        <v>1345</v>
      </c>
      <c r="D876" s="42">
        <v>51</v>
      </c>
      <c r="E876" s="43">
        <v>41</v>
      </c>
      <c r="F876" s="50" t="str">
        <f>VLOOKUP(tabPontoPed[[#This Row],[GRUPO]],tabGrupos[#Data],2,FALSE)</f>
        <v>MAT.E EQUIP. P/ CONSTR.CIVIL E CONSERV. DE VIAS PUBL.</v>
      </c>
      <c r="G876" s="42" t="str">
        <f>VLOOKUP(tabPontoPed[[#This Row],[GRUPO]],tabGrupos[#Data],3,FALSE)</f>
        <v>MCO</v>
      </c>
      <c r="H876" s="41" t="s">
        <v>1339</v>
      </c>
      <c r="I876" s="9">
        <v>4</v>
      </c>
      <c r="J876" s="51">
        <v>6</v>
      </c>
      <c r="K876" s="7">
        <f>tabPontoPed[[#This Row],[QTDMÊS]] * tabPontoPed[[#This Row],[MENSAL]]</f>
        <v>24</v>
      </c>
      <c r="L876" s="13" t="s">
        <v>1012</v>
      </c>
      <c r="M876" s="44"/>
      <c r="N876" s="45" t="str">
        <f>_xlfn.IFNA(IF(VLOOKUP(tabPontoPed[[#This Row],[CÓDIGO]],Excluir_do_Estoque!$A$4:$A$4004,1,FALSE),"sim",""),"")</f>
        <v/>
      </c>
      <c r="O876" s="10" t="str">
        <f t="shared" si="13"/>
        <v>*</v>
      </c>
    </row>
    <row r="877" spans="1:15" x14ac:dyDescent="0.25">
      <c r="A877" s="2">
        <v>131482</v>
      </c>
      <c r="B877" s="4" t="s">
        <v>188</v>
      </c>
      <c r="C877" s="41" t="s">
        <v>1345</v>
      </c>
      <c r="D877" s="42">
        <v>72</v>
      </c>
      <c r="E877" s="43">
        <v>5</v>
      </c>
      <c r="F877" s="50" t="str">
        <f>VLOOKUP(tabPontoPed[[#This Row],[GRUPO]],tabGrupos[#Data],2,FALSE)</f>
        <v>MAQ.EQUIP.E MATERIAIS P/ HIGIEN.LIMP.POLIM.E LUBR.</v>
      </c>
      <c r="G877" s="42" t="str">
        <f>VLOOKUP(tabPontoPed[[#This Row],[GRUPO]],tabGrupos[#Data],3,FALSE)</f>
        <v>ADM</v>
      </c>
      <c r="H877" s="41" t="s">
        <v>1339</v>
      </c>
      <c r="I877" s="9">
        <v>4</v>
      </c>
      <c r="J877" s="51">
        <v>17</v>
      </c>
      <c r="K877" s="7">
        <f>tabPontoPed[[#This Row],[QTDMÊS]] * tabPontoPed[[#This Row],[MENSAL]]</f>
        <v>68</v>
      </c>
      <c r="L877" s="13" t="s">
        <v>1012</v>
      </c>
      <c r="M877" s="44"/>
      <c r="N877" s="45" t="str">
        <f>_xlfn.IFNA(IF(VLOOKUP(tabPontoPed[[#This Row],[CÓDIGO]],Excluir_do_Estoque!$A$4:$A$4004,1,FALSE),"sim",""),"")</f>
        <v/>
      </c>
      <c r="O877" s="10" t="str">
        <f t="shared" si="13"/>
        <v>*</v>
      </c>
    </row>
    <row r="878" spans="1:15" x14ac:dyDescent="0.25">
      <c r="A878" s="2">
        <v>131579</v>
      </c>
      <c r="B878" s="4" t="s">
        <v>595</v>
      </c>
      <c r="C878" s="41" t="s">
        <v>1345</v>
      </c>
      <c r="D878" s="42">
        <v>54</v>
      </c>
      <c r="E878" s="43">
        <v>4</v>
      </c>
      <c r="F878" s="50" t="str">
        <f>VLOOKUP(tabPontoPed[[#This Row],[GRUPO]],tabGrupos[#Data],2,FALSE)</f>
        <v>EQUIP PROT IND, INST MAT P/ SINAL, CONTR, COMB ...</v>
      </c>
      <c r="G878" s="42" t="str">
        <f>VLOOKUP(tabPontoPed[[#This Row],[GRUPO]],tabGrupos[#Data],3,FALSE)</f>
        <v>MAN</v>
      </c>
      <c r="H878" s="41" t="s">
        <v>1339</v>
      </c>
      <c r="I878" s="9">
        <v>4</v>
      </c>
      <c r="J878" s="51">
        <v>1</v>
      </c>
      <c r="K878" s="7">
        <f>tabPontoPed[[#This Row],[QTDMÊS]] * tabPontoPed[[#This Row],[MENSAL]]</f>
        <v>4</v>
      </c>
      <c r="L878" s="13" t="s">
        <v>1012</v>
      </c>
      <c r="M878" s="44"/>
      <c r="N878" s="45" t="str">
        <f>_xlfn.IFNA(IF(VLOOKUP(tabPontoPed[[#This Row],[CÓDIGO]],Excluir_do_Estoque!$A$4:$A$4004,1,FALSE),"sim",""),"")</f>
        <v/>
      </c>
      <c r="O878" s="10" t="str">
        <f t="shared" si="13"/>
        <v>*</v>
      </c>
    </row>
    <row r="879" spans="1:15" x14ac:dyDescent="0.25">
      <c r="A879" s="2">
        <v>131917</v>
      </c>
      <c r="B879" s="4" t="s">
        <v>405</v>
      </c>
      <c r="C879" s="41" t="s">
        <v>1345</v>
      </c>
      <c r="D879" s="42">
        <v>45</v>
      </c>
      <c r="E879" s="43">
        <v>9</v>
      </c>
      <c r="F879" s="50" t="str">
        <f>VLOOKUP(tabPontoPed[[#This Row],[GRUPO]],tabGrupos[#Data],2,FALSE)</f>
        <v>MAQ., EQUIP., COMP., ACES., MAT. PARA ESCRIT.E ESCOLAR</v>
      </c>
      <c r="G879" s="42" t="str">
        <f>VLOOKUP(tabPontoPed[[#This Row],[GRUPO]],tabGrupos[#Data],3,FALSE)</f>
        <v>EDU</v>
      </c>
      <c r="H879" s="41" t="s">
        <v>1339</v>
      </c>
      <c r="I879" s="9">
        <v>4</v>
      </c>
      <c r="J879" s="51">
        <v>661</v>
      </c>
      <c r="K879" s="7">
        <f>tabPontoPed[[#This Row],[QTDMÊS]] * tabPontoPed[[#This Row],[MENSAL]]</f>
        <v>2644</v>
      </c>
      <c r="L879" s="13" t="s">
        <v>1012</v>
      </c>
      <c r="M879" s="44"/>
      <c r="N879" s="45" t="str">
        <f>_xlfn.IFNA(IF(VLOOKUP(tabPontoPed[[#This Row],[CÓDIGO]],Excluir_do_Estoque!$A$4:$A$4004,1,FALSE),"sim",""),"")</f>
        <v/>
      </c>
      <c r="O879" s="10" t="str">
        <f t="shared" si="13"/>
        <v>*</v>
      </c>
    </row>
    <row r="880" spans="1:15" x14ac:dyDescent="0.25">
      <c r="A880" s="2">
        <v>131926</v>
      </c>
      <c r="B880" s="4" t="s">
        <v>406</v>
      </c>
      <c r="C880" s="41" t="s">
        <v>1345</v>
      </c>
      <c r="D880" s="42">
        <v>45</v>
      </c>
      <c r="E880" s="43">
        <v>9</v>
      </c>
      <c r="F880" s="50" t="str">
        <f>VLOOKUP(tabPontoPed[[#This Row],[GRUPO]],tabGrupos[#Data],2,FALSE)</f>
        <v>MAQ., EQUIP., COMP., ACES., MAT. PARA ESCRIT.E ESCOLAR</v>
      </c>
      <c r="G880" s="42" t="str">
        <f>VLOOKUP(tabPontoPed[[#This Row],[GRUPO]],tabGrupos[#Data],3,FALSE)</f>
        <v>EDU</v>
      </c>
      <c r="H880" s="41" t="s">
        <v>1339</v>
      </c>
      <c r="I880" s="9">
        <v>4</v>
      </c>
      <c r="J880" s="51">
        <v>282</v>
      </c>
      <c r="K880" s="7">
        <f>tabPontoPed[[#This Row],[QTDMÊS]] * tabPontoPed[[#This Row],[MENSAL]]</f>
        <v>1128</v>
      </c>
      <c r="L880" s="13" t="s">
        <v>1012</v>
      </c>
      <c r="M880" s="44"/>
      <c r="N880" s="45" t="str">
        <f>_xlfn.IFNA(IF(VLOOKUP(tabPontoPed[[#This Row],[CÓDIGO]],Excluir_do_Estoque!$A$4:$A$4004,1,FALSE),"sim",""),"")</f>
        <v/>
      </c>
      <c r="O880" s="10" t="str">
        <f t="shared" si="13"/>
        <v>*</v>
      </c>
    </row>
    <row r="881" spans="1:15" x14ac:dyDescent="0.25">
      <c r="A881" s="2">
        <v>131927</v>
      </c>
      <c r="B881" s="4" t="s">
        <v>407</v>
      </c>
      <c r="C881" s="41" t="s">
        <v>1345</v>
      </c>
      <c r="D881" s="42">
        <v>45</v>
      </c>
      <c r="E881" s="43">
        <v>9</v>
      </c>
      <c r="F881" s="50" t="str">
        <f>VLOOKUP(tabPontoPed[[#This Row],[GRUPO]],tabGrupos[#Data],2,FALSE)</f>
        <v>MAQ., EQUIP., COMP., ACES., MAT. PARA ESCRIT.E ESCOLAR</v>
      </c>
      <c r="G881" s="42" t="str">
        <f>VLOOKUP(tabPontoPed[[#This Row],[GRUPO]],tabGrupos[#Data],3,FALSE)</f>
        <v>EDU</v>
      </c>
      <c r="H881" s="41" t="s">
        <v>1339</v>
      </c>
      <c r="I881" s="9">
        <v>4</v>
      </c>
      <c r="J881" s="51">
        <v>188</v>
      </c>
      <c r="K881" s="7">
        <f>tabPontoPed[[#This Row],[QTDMÊS]] * tabPontoPed[[#This Row],[MENSAL]]</f>
        <v>752</v>
      </c>
      <c r="L881" s="13" t="s">
        <v>1012</v>
      </c>
      <c r="M881" s="44"/>
      <c r="N881" s="45" t="str">
        <f>_xlfn.IFNA(IF(VLOOKUP(tabPontoPed[[#This Row],[CÓDIGO]],Excluir_do_Estoque!$A$4:$A$4004,1,FALSE),"sim",""),"")</f>
        <v/>
      </c>
      <c r="O881" s="10" t="str">
        <f t="shared" si="13"/>
        <v>*</v>
      </c>
    </row>
    <row r="882" spans="1:15" x14ac:dyDescent="0.25">
      <c r="A882" s="2">
        <v>131930</v>
      </c>
      <c r="B882" s="4" t="s">
        <v>408</v>
      </c>
      <c r="C882" s="41" t="s">
        <v>1345</v>
      </c>
      <c r="D882" s="42">
        <v>45</v>
      </c>
      <c r="E882" s="43">
        <v>9</v>
      </c>
      <c r="F882" s="50" t="str">
        <f>VLOOKUP(tabPontoPed[[#This Row],[GRUPO]],tabGrupos[#Data],2,FALSE)</f>
        <v>MAQ., EQUIP., COMP., ACES., MAT. PARA ESCRIT.E ESCOLAR</v>
      </c>
      <c r="G882" s="42" t="str">
        <f>VLOOKUP(tabPontoPed[[#This Row],[GRUPO]],tabGrupos[#Data],3,FALSE)</f>
        <v>EDU</v>
      </c>
      <c r="H882" s="41" t="s">
        <v>1339</v>
      </c>
      <c r="I882" s="9">
        <v>4</v>
      </c>
      <c r="J882" s="51">
        <v>387</v>
      </c>
      <c r="K882" s="7">
        <f>tabPontoPed[[#This Row],[QTDMÊS]] * tabPontoPed[[#This Row],[MENSAL]]</f>
        <v>1548</v>
      </c>
      <c r="L882" s="13" t="s">
        <v>1012</v>
      </c>
      <c r="M882" s="44"/>
      <c r="N882" s="45" t="str">
        <f>_xlfn.IFNA(IF(VLOOKUP(tabPontoPed[[#This Row],[CÓDIGO]],Excluir_do_Estoque!$A$4:$A$4004,1,FALSE),"sim",""),"")</f>
        <v/>
      </c>
      <c r="O882" s="10" t="str">
        <f t="shared" si="13"/>
        <v>*</v>
      </c>
    </row>
    <row r="883" spans="1:15" x14ac:dyDescent="0.25">
      <c r="A883" s="2">
        <v>131931</v>
      </c>
      <c r="B883" s="4" t="s">
        <v>409</v>
      </c>
      <c r="C883" s="41" t="s">
        <v>1345</v>
      </c>
      <c r="D883" s="42">
        <v>45</v>
      </c>
      <c r="E883" s="43">
        <v>9</v>
      </c>
      <c r="F883" s="50" t="str">
        <f>VLOOKUP(tabPontoPed[[#This Row],[GRUPO]],tabGrupos[#Data],2,FALSE)</f>
        <v>MAQ., EQUIP., COMP., ACES., MAT. PARA ESCRIT.E ESCOLAR</v>
      </c>
      <c r="G883" s="42" t="str">
        <f>VLOOKUP(tabPontoPed[[#This Row],[GRUPO]],tabGrupos[#Data],3,FALSE)</f>
        <v>EDU</v>
      </c>
      <c r="H883" s="41" t="s">
        <v>1339</v>
      </c>
      <c r="I883" s="9">
        <v>4</v>
      </c>
      <c r="J883" s="51">
        <v>81</v>
      </c>
      <c r="K883" s="7">
        <f>tabPontoPed[[#This Row],[QTDMÊS]] * tabPontoPed[[#This Row],[MENSAL]]</f>
        <v>324</v>
      </c>
      <c r="L883" s="13" t="s">
        <v>1012</v>
      </c>
      <c r="M883" s="44"/>
      <c r="N883" s="45" t="str">
        <f>_xlfn.IFNA(IF(VLOOKUP(tabPontoPed[[#This Row],[CÓDIGO]],Excluir_do_Estoque!$A$4:$A$4004,1,FALSE),"sim",""),"")</f>
        <v/>
      </c>
      <c r="O883" s="10" t="str">
        <f t="shared" si="13"/>
        <v>*</v>
      </c>
    </row>
    <row r="884" spans="1:15" x14ac:dyDescent="0.25">
      <c r="A884" s="2">
        <v>131933</v>
      </c>
      <c r="B884" s="4" t="s">
        <v>410</v>
      </c>
      <c r="C884" s="41" t="s">
        <v>1345</v>
      </c>
      <c r="D884" s="42">
        <v>45</v>
      </c>
      <c r="E884" s="43">
        <v>9</v>
      </c>
      <c r="F884" s="50" t="str">
        <f>VLOOKUP(tabPontoPed[[#This Row],[GRUPO]],tabGrupos[#Data],2,FALSE)</f>
        <v>MAQ., EQUIP., COMP., ACES., MAT. PARA ESCRIT.E ESCOLAR</v>
      </c>
      <c r="G884" s="42" t="str">
        <f>VLOOKUP(tabPontoPed[[#This Row],[GRUPO]],tabGrupos[#Data],3,FALSE)</f>
        <v>EDU</v>
      </c>
      <c r="H884" s="41" t="s">
        <v>1339</v>
      </c>
      <c r="I884" s="9">
        <v>4</v>
      </c>
      <c r="J884" s="51">
        <v>511</v>
      </c>
      <c r="K884" s="7">
        <f>tabPontoPed[[#This Row],[QTDMÊS]] * tabPontoPed[[#This Row],[MENSAL]]</f>
        <v>2044</v>
      </c>
      <c r="L884" s="13" t="s">
        <v>1012</v>
      </c>
      <c r="M884" s="44"/>
      <c r="N884" s="45" t="str">
        <f>_xlfn.IFNA(IF(VLOOKUP(tabPontoPed[[#This Row],[CÓDIGO]],Excluir_do_Estoque!$A$4:$A$4004,1,FALSE),"sim",""),"")</f>
        <v/>
      </c>
      <c r="O884" s="10" t="str">
        <f t="shared" si="13"/>
        <v>*</v>
      </c>
    </row>
    <row r="885" spans="1:15" x14ac:dyDescent="0.25">
      <c r="A885" s="2">
        <v>131935</v>
      </c>
      <c r="B885" s="4" t="s">
        <v>411</v>
      </c>
      <c r="C885" s="41" t="s">
        <v>1345</v>
      </c>
      <c r="D885" s="42">
        <v>45</v>
      </c>
      <c r="E885" s="43">
        <v>9</v>
      </c>
      <c r="F885" s="50" t="str">
        <f>VLOOKUP(tabPontoPed[[#This Row],[GRUPO]],tabGrupos[#Data],2,FALSE)</f>
        <v>MAQ., EQUIP., COMP., ACES., MAT. PARA ESCRIT.E ESCOLAR</v>
      </c>
      <c r="G885" s="42" t="str">
        <f>VLOOKUP(tabPontoPed[[#This Row],[GRUPO]],tabGrupos[#Data],3,FALSE)</f>
        <v>EDU</v>
      </c>
      <c r="H885" s="41" t="s">
        <v>1339</v>
      </c>
      <c r="I885" s="9">
        <v>4</v>
      </c>
      <c r="J885" s="51">
        <v>396</v>
      </c>
      <c r="K885" s="7">
        <f>tabPontoPed[[#This Row],[QTDMÊS]] * tabPontoPed[[#This Row],[MENSAL]]</f>
        <v>1584</v>
      </c>
      <c r="L885" s="13" t="s">
        <v>1012</v>
      </c>
      <c r="M885" s="44"/>
      <c r="N885" s="45" t="str">
        <f>_xlfn.IFNA(IF(VLOOKUP(tabPontoPed[[#This Row],[CÓDIGO]],Excluir_do_Estoque!$A$4:$A$4004,1,FALSE),"sim",""),"")</f>
        <v/>
      </c>
      <c r="O885" s="10" t="str">
        <f t="shared" si="13"/>
        <v>*</v>
      </c>
    </row>
    <row r="886" spans="1:15" x14ac:dyDescent="0.25">
      <c r="A886" s="2">
        <v>131937</v>
      </c>
      <c r="B886" s="4" t="s">
        <v>412</v>
      </c>
      <c r="C886" s="41" t="s">
        <v>1345</v>
      </c>
      <c r="D886" s="42">
        <v>45</v>
      </c>
      <c r="E886" s="43">
        <v>9</v>
      </c>
      <c r="F886" s="50" t="str">
        <f>VLOOKUP(tabPontoPed[[#This Row],[GRUPO]],tabGrupos[#Data],2,FALSE)</f>
        <v>MAQ., EQUIP., COMP., ACES., MAT. PARA ESCRIT.E ESCOLAR</v>
      </c>
      <c r="G886" s="42" t="str">
        <f>VLOOKUP(tabPontoPed[[#This Row],[GRUPO]],tabGrupos[#Data],3,FALSE)</f>
        <v>EDU</v>
      </c>
      <c r="H886" s="41" t="s">
        <v>1339</v>
      </c>
      <c r="I886" s="9">
        <v>4</v>
      </c>
      <c r="J886" s="51">
        <v>23</v>
      </c>
      <c r="K886" s="7">
        <f>tabPontoPed[[#This Row],[QTDMÊS]] * tabPontoPed[[#This Row],[MENSAL]]</f>
        <v>92</v>
      </c>
      <c r="L886" s="13" t="s">
        <v>1012</v>
      </c>
      <c r="M886" s="44"/>
      <c r="N886" s="45" t="str">
        <f>_xlfn.IFNA(IF(VLOOKUP(tabPontoPed[[#This Row],[CÓDIGO]],Excluir_do_Estoque!$A$4:$A$4004,1,FALSE),"sim",""),"")</f>
        <v/>
      </c>
      <c r="O886" s="10" t="str">
        <f t="shared" si="13"/>
        <v>*</v>
      </c>
    </row>
    <row r="887" spans="1:15" x14ac:dyDescent="0.25">
      <c r="A887" s="2">
        <v>131938</v>
      </c>
      <c r="B887" s="4" t="s">
        <v>413</v>
      </c>
      <c r="C887" s="41" t="s">
        <v>1345</v>
      </c>
      <c r="D887" s="42">
        <v>45</v>
      </c>
      <c r="E887" s="43">
        <v>9</v>
      </c>
      <c r="F887" s="50" t="str">
        <f>VLOOKUP(tabPontoPed[[#This Row],[GRUPO]],tabGrupos[#Data],2,FALSE)</f>
        <v>MAQ., EQUIP., COMP., ACES., MAT. PARA ESCRIT.E ESCOLAR</v>
      </c>
      <c r="G887" s="42" t="str">
        <f>VLOOKUP(tabPontoPed[[#This Row],[GRUPO]],tabGrupos[#Data],3,FALSE)</f>
        <v>EDU</v>
      </c>
      <c r="H887" s="41" t="s">
        <v>1339</v>
      </c>
      <c r="I887" s="9">
        <v>4</v>
      </c>
      <c r="J887" s="51">
        <v>67</v>
      </c>
      <c r="K887" s="7">
        <f>tabPontoPed[[#This Row],[QTDMÊS]] * tabPontoPed[[#This Row],[MENSAL]]</f>
        <v>268</v>
      </c>
      <c r="L887" s="13" t="s">
        <v>1012</v>
      </c>
      <c r="M887" s="44"/>
      <c r="N887" s="45" t="str">
        <f>_xlfn.IFNA(IF(VLOOKUP(tabPontoPed[[#This Row],[CÓDIGO]],Excluir_do_Estoque!$A$4:$A$4004,1,FALSE),"sim",""),"")</f>
        <v/>
      </c>
      <c r="O887" s="10" t="str">
        <f t="shared" si="13"/>
        <v>*</v>
      </c>
    </row>
    <row r="888" spans="1:15" x14ac:dyDescent="0.25">
      <c r="A888" s="2">
        <v>131939</v>
      </c>
      <c r="B888" s="4" t="s">
        <v>414</v>
      </c>
      <c r="C888" s="41" t="s">
        <v>1345</v>
      </c>
      <c r="D888" s="42">
        <v>45</v>
      </c>
      <c r="E888" s="43">
        <v>9</v>
      </c>
      <c r="F888" s="50" t="str">
        <f>VLOOKUP(tabPontoPed[[#This Row],[GRUPO]],tabGrupos[#Data],2,FALSE)</f>
        <v>MAQ., EQUIP., COMP., ACES., MAT. PARA ESCRIT.E ESCOLAR</v>
      </c>
      <c r="G888" s="42" t="str">
        <f>VLOOKUP(tabPontoPed[[#This Row],[GRUPO]],tabGrupos[#Data],3,FALSE)</f>
        <v>EDU</v>
      </c>
      <c r="H888" s="41" t="s">
        <v>1339</v>
      </c>
      <c r="I888" s="9">
        <v>4</v>
      </c>
      <c r="J888" s="51">
        <v>66</v>
      </c>
      <c r="K888" s="7">
        <f>tabPontoPed[[#This Row],[QTDMÊS]] * tabPontoPed[[#This Row],[MENSAL]]</f>
        <v>264</v>
      </c>
      <c r="L888" s="13" t="s">
        <v>1012</v>
      </c>
      <c r="M888" s="44"/>
      <c r="N888" s="45" t="str">
        <f>_xlfn.IFNA(IF(VLOOKUP(tabPontoPed[[#This Row],[CÓDIGO]],Excluir_do_Estoque!$A$4:$A$4004,1,FALSE),"sim",""),"")</f>
        <v/>
      </c>
      <c r="O888" s="10" t="str">
        <f t="shared" si="13"/>
        <v>*</v>
      </c>
    </row>
    <row r="889" spans="1:15" x14ac:dyDescent="0.25">
      <c r="A889" s="2">
        <v>131940</v>
      </c>
      <c r="B889" s="4" t="s">
        <v>415</v>
      </c>
      <c r="C889" s="41" t="s">
        <v>1345</v>
      </c>
      <c r="D889" s="42">
        <v>45</v>
      </c>
      <c r="E889" s="43">
        <v>9</v>
      </c>
      <c r="F889" s="50" t="str">
        <f>VLOOKUP(tabPontoPed[[#This Row],[GRUPO]],tabGrupos[#Data],2,FALSE)</f>
        <v>MAQ., EQUIP., COMP., ACES., MAT. PARA ESCRIT.E ESCOLAR</v>
      </c>
      <c r="G889" s="42" t="str">
        <f>VLOOKUP(tabPontoPed[[#This Row],[GRUPO]],tabGrupos[#Data],3,FALSE)</f>
        <v>EDU</v>
      </c>
      <c r="H889" s="41" t="s">
        <v>1339</v>
      </c>
      <c r="I889" s="9">
        <v>4</v>
      </c>
      <c r="J889" s="51">
        <v>39</v>
      </c>
      <c r="K889" s="7">
        <f>tabPontoPed[[#This Row],[QTDMÊS]] * tabPontoPed[[#This Row],[MENSAL]]</f>
        <v>156</v>
      </c>
      <c r="L889" s="13" t="s">
        <v>1012</v>
      </c>
      <c r="M889" s="44"/>
      <c r="N889" s="45" t="str">
        <f>_xlfn.IFNA(IF(VLOOKUP(tabPontoPed[[#This Row],[CÓDIGO]],Excluir_do_Estoque!$A$4:$A$4004,1,FALSE),"sim",""),"")</f>
        <v/>
      </c>
      <c r="O889" s="10" t="str">
        <f t="shared" si="13"/>
        <v>*</v>
      </c>
    </row>
    <row r="890" spans="1:15" x14ac:dyDescent="0.25">
      <c r="A890" s="2">
        <v>132229</v>
      </c>
      <c r="B890" s="4" t="s">
        <v>629</v>
      </c>
      <c r="C890" s="41" t="s">
        <v>1345</v>
      </c>
      <c r="D890" s="42">
        <v>55</v>
      </c>
      <c r="E890" s="43">
        <v>19</v>
      </c>
      <c r="F890" s="50" t="str">
        <f>VLOOKUP(tabPontoPed[[#This Row],[GRUPO]],tabGrupos[#Data],2,FALSE)</f>
        <v>EQUIP. MAT. P/ GERACAO, TRANSM. DISTR. RETIF...</v>
      </c>
      <c r="G890" s="42" t="str">
        <f>VLOOKUP(tabPontoPed[[#This Row],[GRUPO]],tabGrupos[#Data],3,FALSE)</f>
        <v>MEL</v>
      </c>
      <c r="H890" s="41" t="s">
        <v>1339</v>
      </c>
      <c r="I890" s="9">
        <v>4</v>
      </c>
      <c r="J890" s="51">
        <v>0</v>
      </c>
      <c r="K890" s="7">
        <f>tabPontoPed[[#This Row],[QTDMÊS]] * tabPontoPed[[#This Row],[MENSAL]]</f>
        <v>0</v>
      </c>
      <c r="L890" s="13" t="s">
        <v>1012</v>
      </c>
      <c r="M890" s="44"/>
      <c r="N890" s="45" t="str">
        <f>_xlfn.IFNA(IF(VLOOKUP(tabPontoPed[[#This Row],[CÓDIGO]],Excluir_do_Estoque!$A$4:$A$4004,1,FALSE),"sim",""),"")</f>
        <v/>
      </c>
      <c r="O890" s="10" t="str">
        <f t="shared" si="13"/>
        <v>*</v>
      </c>
    </row>
    <row r="891" spans="1:15" x14ac:dyDescent="0.25">
      <c r="A891" s="2">
        <v>132230</v>
      </c>
      <c r="B891" s="4" t="s">
        <v>136</v>
      </c>
      <c r="C891" s="41" t="s">
        <v>1345</v>
      </c>
      <c r="D891" s="42">
        <v>55</v>
      </c>
      <c r="E891" s="43">
        <v>19</v>
      </c>
      <c r="F891" s="50" t="str">
        <f>VLOOKUP(tabPontoPed[[#This Row],[GRUPO]],tabGrupos[#Data],2,FALSE)</f>
        <v>EQUIP. MAT. P/ GERACAO, TRANSM. DISTR. RETIF...</v>
      </c>
      <c r="G891" s="42" t="str">
        <f>VLOOKUP(tabPontoPed[[#This Row],[GRUPO]],tabGrupos[#Data],3,FALSE)</f>
        <v>MEL</v>
      </c>
      <c r="H891" s="41" t="s">
        <v>1339</v>
      </c>
      <c r="I891" s="9">
        <v>4</v>
      </c>
      <c r="J891" s="51">
        <v>0</v>
      </c>
      <c r="K891" s="7">
        <f>tabPontoPed[[#This Row],[QTDMÊS]] * tabPontoPed[[#This Row],[MENSAL]]</f>
        <v>0</v>
      </c>
      <c r="L891" s="13" t="s">
        <v>1012</v>
      </c>
      <c r="M891" s="44"/>
      <c r="N891" s="45" t="str">
        <f>_xlfn.IFNA(IF(VLOOKUP(tabPontoPed[[#This Row],[CÓDIGO]],Excluir_do_Estoque!$A$4:$A$4004,1,FALSE),"sim",""),"")</f>
        <v/>
      </c>
      <c r="O891" s="10" t="str">
        <f t="shared" si="13"/>
        <v>*</v>
      </c>
    </row>
    <row r="892" spans="1:15" x14ac:dyDescent="0.25">
      <c r="A892" s="2">
        <v>132231</v>
      </c>
      <c r="B892" s="4" t="s">
        <v>117</v>
      </c>
      <c r="C892" s="41" t="s">
        <v>1345</v>
      </c>
      <c r="D892" s="42">
        <v>55</v>
      </c>
      <c r="E892" s="43">
        <v>19</v>
      </c>
      <c r="F892" s="50" t="str">
        <f>VLOOKUP(tabPontoPed[[#This Row],[GRUPO]],tabGrupos[#Data],2,FALSE)</f>
        <v>EQUIP. MAT. P/ GERACAO, TRANSM. DISTR. RETIF...</v>
      </c>
      <c r="G892" s="42" t="str">
        <f>VLOOKUP(tabPontoPed[[#This Row],[GRUPO]],tabGrupos[#Data],3,FALSE)</f>
        <v>MEL</v>
      </c>
      <c r="H892" s="41" t="s">
        <v>1339</v>
      </c>
      <c r="I892" s="9">
        <v>4</v>
      </c>
      <c r="J892" s="51">
        <v>26</v>
      </c>
      <c r="K892" s="7">
        <f>tabPontoPed[[#This Row],[QTDMÊS]] * tabPontoPed[[#This Row],[MENSAL]]</f>
        <v>104</v>
      </c>
      <c r="L892" s="13" t="s">
        <v>1012</v>
      </c>
      <c r="M892" s="44"/>
      <c r="N892" s="45" t="str">
        <f>_xlfn.IFNA(IF(VLOOKUP(tabPontoPed[[#This Row],[CÓDIGO]],Excluir_do_Estoque!$A$4:$A$4004,1,FALSE),"sim",""),"")</f>
        <v/>
      </c>
      <c r="O892" s="10" t="str">
        <f t="shared" si="13"/>
        <v>*</v>
      </c>
    </row>
    <row r="893" spans="1:15" x14ac:dyDescent="0.25">
      <c r="A893" s="2">
        <v>132232</v>
      </c>
      <c r="B893" s="4" t="s">
        <v>523</v>
      </c>
      <c r="C893" s="41" t="s">
        <v>1345</v>
      </c>
      <c r="D893" s="42">
        <v>51</v>
      </c>
      <c r="E893" s="43">
        <v>13</v>
      </c>
      <c r="F893" s="50" t="str">
        <f>VLOOKUP(tabPontoPed[[#This Row],[GRUPO]],tabGrupos[#Data],2,FALSE)</f>
        <v>MAT.E EQUIP. P/ CONSTR.CIVIL E CONSERV. DE VIAS PUBL.</v>
      </c>
      <c r="G893" s="42" t="str">
        <f>VLOOKUP(tabPontoPed[[#This Row],[GRUPO]],tabGrupos[#Data],3,FALSE)</f>
        <v>MCO</v>
      </c>
      <c r="H893" s="41" t="s">
        <v>1339</v>
      </c>
      <c r="I893" s="9">
        <v>4</v>
      </c>
      <c r="J893" s="51">
        <v>2</v>
      </c>
      <c r="K893" s="7">
        <f>tabPontoPed[[#This Row],[QTDMÊS]] * tabPontoPed[[#This Row],[MENSAL]]</f>
        <v>8</v>
      </c>
      <c r="L893" s="13" t="s">
        <v>1012</v>
      </c>
      <c r="M893" s="44"/>
      <c r="N893" s="45" t="str">
        <f>_xlfn.IFNA(IF(VLOOKUP(tabPontoPed[[#This Row],[CÓDIGO]],Excluir_do_Estoque!$A$4:$A$4004,1,FALSE),"sim",""),"")</f>
        <v/>
      </c>
      <c r="O893" s="10" t="str">
        <f t="shared" si="13"/>
        <v>*</v>
      </c>
    </row>
    <row r="894" spans="1:15" x14ac:dyDescent="0.25">
      <c r="A894" s="2">
        <v>132290</v>
      </c>
      <c r="B894" s="4" t="s">
        <v>467</v>
      </c>
      <c r="C894" s="41" t="s">
        <v>1345</v>
      </c>
      <c r="D894" s="42">
        <v>45</v>
      </c>
      <c r="E894" s="43">
        <v>14</v>
      </c>
      <c r="F894" s="50" t="str">
        <f>VLOOKUP(tabPontoPed[[#This Row],[GRUPO]],tabGrupos[#Data],2,FALSE)</f>
        <v>MAQ., EQUIP., COMP., ACES., MAT. PARA ESCRIT.E ESCOLAR</v>
      </c>
      <c r="G894" s="42" t="str">
        <f>VLOOKUP(tabPontoPed[[#This Row],[GRUPO]],tabGrupos[#Data],3,FALSE)</f>
        <v>EDU</v>
      </c>
      <c r="H894" s="41" t="s">
        <v>1339</v>
      </c>
      <c r="I894" s="9">
        <v>4</v>
      </c>
      <c r="J894" s="51">
        <v>286</v>
      </c>
      <c r="K894" s="7">
        <f>tabPontoPed[[#This Row],[QTDMÊS]] * tabPontoPed[[#This Row],[MENSAL]]</f>
        <v>1144</v>
      </c>
      <c r="L894" s="13" t="s">
        <v>1012</v>
      </c>
      <c r="M894" s="44"/>
      <c r="N894" s="45" t="str">
        <f>_xlfn.IFNA(IF(VLOOKUP(tabPontoPed[[#This Row],[CÓDIGO]],Excluir_do_Estoque!$A$4:$A$4004,1,FALSE),"sim",""),"")</f>
        <v/>
      </c>
      <c r="O894" s="10" t="str">
        <f t="shared" si="13"/>
        <v>*</v>
      </c>
    </row>
    <row r="895" spans="1:15" x14ac:dyDescent="0.25">
      <c r="A895" s="2">
        <v>132296</v>
      </c>
      <c r="B895" s="4" t="s">
        <v>468</v>
      </c>
      <c r="C895" s="41" t="s">
        <v>1345</v>
      </c>
      <c r="D895" s="42">
        <v>45</v>
      </c>
      <c r="E895" s="43">
        <v>14</v>
      </c>
      <c r="F895" s="50" t="str">
        <f>VLOOKUP(tabPontoPed[[#This Row],[GRUPO]],tabGrupos[#Data],2,FALSE)</f>
        <v>MAQ., EQUIP., COMP., ACES., MAT. PARA ESCRIT.E ESCOLAR</v>
      </c>
      <c r="G895" s="42" t="str">
        <f>VLOOKUP(tabPontoPed[[#This Row],[GRUPO]],tabGrupos[#Data],3,FALSE)</f>
        <v>EDU</v>
      </c>
      <c r="H895" s="41" t="s">
        <v>1339</v>
      </c>
      <c r="I895" s="9">
        <v>4</v>
      </c>
      <c r="J895" s="51">
        <v>742</v>
      </c>
      <c r="K895" s="7">
        <f>tabPontoPed[[#This Row],[QTDMÊS]] * tabPontoPed[[#This Row],[MENSAL]]</f>
        <v>2968</v>
      </c>
      <c r="L895" s="13" t="s">
        <v>1012</v>
      </c>
      <c r="M895" s="44"/>
      <c r="N895" s="45" t="str">
        <f>_xlfn.IFNA(IF(VLOOKUP(tabPontoPed[[#This Row],[CÓDIGO]],Excluir_do_Estoque!$A$4:$A$4004,1,FALSE),"sim",""),"")</f>
        <v/>
      </c>
      <c r="O895" s="10" t="str">
        <f t="shared" si="13"/>
        <v>*</v>
      </c>
    </row>
    <row r="896" spans="1:15" x14ac:dyDescent="0.25">
      <c r="A896" s="2">
        <v>132297</v>
      </c>
      <c r="B896" s="4" t="s">
        <v>469</v>
      </c>
      <c r="C896" s="41" t="s">
        <v>1345</v>
      </c>
      <c r="D896" s="42">
        <v>45</v>
      </c>
      <c r="E896" s="43">
        <v>14</v>
      </c>
      <c r="F896" s="50" t="str">
        <f>VLOOKUP(tabPontoPed[[#This Row],[GRUPO]],tabGrupos[#Data],2,FALSE)</f>
        <v>MAQ., EQUIP., COMP., ACES., MAT. PARA ESCRIT.E ESCOLAR</v>
      </c>
      <c r="G896" s="42" t="str">
        <f>VLOOKUP(tabPontoPed[[#This Row],[GRUPO]],tabGrupos[#Data],3,FALSE)</f>
        <v>EDU</v>
      </c>
      <c r="H896" s="41" t="s">
        <v>1339</v>
      </c>
      <c r="I896" s="9">
        <v>4</v>
      </c>
      <c r="J896" s="51">
        <v>1363</v>
      </c>
      <c r="K896" s="7">
        <f>tabPontoPed[[#This Row],[QTDMÊS]] * tabPontoPed[[#This Row],[MENSAL]]</f>
        <v>5452</v>
      </c>
      <c r="L896" s="13" t="s">
        <v>1012</v>
      </c>
      <c r="M896" s="44"/>
      <c r="N896" s="45" t="str">
        <f>_xlfn.IFNA(IF(VLOOKUP(tabPontoPed[[#This Row],[CÓDIGO]],Excluir_do_Estoque!$A$4:$A$4004,1,FALSE),"sim",""),"")</f>
        <v/>
      </c>
      <c r="O896" s="10" t="str">
        <f t="shared" si="13"/>
        <v>*</v>
      </c>
    </row>
    <row r="897" spans="1:15" x14ac:dyDescent="0.25">
      <c r="A897" s="2">
        <v>132300</v>
      </c>
      <c r="B897" s="4" t="s">
        <v>474</v>
      </c>
      <c r="C897" s="41" t="s">
        <v>1345</v>
      </c>
      <c r="D897" s="42">
        <v>45</v>
      </c>
      <c r="E897" s="43">
        <v>16</v>
      </c>
      <c r="F897" s="50" t="str">
        <f>VLOOKUP(tabPontoPed[[#This Row],[GRUPO]],tabGrupos[#Data],2,FALSE)</f>
        <v>MAQ., EQUIP., COMP., ACES., MAT. PARA ESCRIT.E ESCOLAR</v>
      </c>
      <c r="G897" s="42" t="str">
        <f>VLOOKUP(tabPontoPed[[#This Row],[GRUPO]],tabGrupos[#Data],3,FALSE)</f>
        <v>EDU</v>
      </c>
      <c r="H897" s="41" t="s">
        <v>1339</v>
      </c>
      <c r="I897" s="9">
        <v>4</v>
      </c>
      <c r="J897" s="51">
        <v>596</v>
      </c>
      <c r="K897" s="7">
        <f>tabPontoPed[[#This Row],[QTDMÊS]] * tabPontoPed[[#This Row],[MENSAL]]</f>
        <v>2384</v>
      </c>
      <c r="L897" s="13" t="s">
        <v>1012</v>
      </c>
      <c r="M897" s="44"/>
      <c r="N897" s="45" t="str">
        <f>_xlfn.IFNA(IF(VLOOKUP(tabPontoPed[[#This Row],[CÓDIGO]],Excluir_do_Estoque!$A$4:$A$4004,1,FALSE),"sim",""),"")</f>
        <v/>
      </c>
      <c r="O897" s="10" t="str">
        <f t="shared" si="13"/>
        <v>*</v>
      </c>
    </row>
    <row r="898" spans="1:15" x14ac:dyDescent="0.25">
      <c r="A898" s="2">
        <v>132303</v>
      </c>
      <c r="B898" s="4" t="s">
        <v>98</v>
      </c>
      <c r="C898" s="41" t="s">
        <v>1345</v>
      </c>
      <c r="D898" s="42">
        <v>57</v>
      </c>
      <c r="E898" s="43">
        <v>17</v>
      </c>
      <c r="F898" s="50" t="str">
        <f>VLOOKUP(tabPontoPed[[#This Row],[GRUPO]],tabGrupos[#Data],2,FALSE)</f>
        <v>MAQ. E EQUIP. P/ IND. GRAFICA COMP. ACESS. E PAPEI</v>
      </c>
      <c r="G898" s="42" t="str">
        <f>VLOOKUP(tabPontoPed[[#This Row],[GRUPO]],tabGrupos[#Data],3,FALSE)</f>
        <v>EDU</v>
      </c>
      <c r="H898" s="41" t="s">
        <v>1339</v>
      </c>
      <c r="I898" s="9">
        <v>4</v>
      </c>
      <c r="J898" s="51">
        <v>1032</v>
      </c>
      <c r="K898" s="7">
        <f>tabPontoPed[[#This Row],[QTDMÊS]] * tabPontoPed[[#This Row],[MENSAL]]</f>
        <v>4128</v>
      </c>
      <c r="L898" s="13" t="s">
        <v>1012</v>
      </c>
      <c r="M898" s="44"/>
      <c r="N898" s="45" t="str">
        <f>_xlfn.IFNA(IF(VLOOKUP(tabPontoPed[[#This Row],[CÓDIGO]],Excluir_do_Estoque!$A$4:$A$4004,1,FALSE),"sim",""),"")</f>
        <v/>
      </c>
      <c r="O898" s="10" t="str">
        <f t="shared" si="13"/>
        <v>*</v>
      </c>
    </row>
    <row r="899" spans="1:15" x14ac:dyDescent="0.25">
      <c r="A899" s="2">
        <v>132305</v>
      </c>
      <c r="B899" s="4" t="s">
        <v>416</v>
      </c>
      <c r="C899" s="41" t="s">
        <v>1345</v>
      </c>
      <c r="D899" s="42">
        <v>45</v>
      </c>
      <c r="E899" s="43">
        <v>9</v>
      </c>
      <c r="F899" s="50" t="str">
        <f>VLOOKUP(tabPontoPed[[#This Row],[GRUPO]],tabGrupos[#Data],2,FALSE)</f>
        <v>MAQ., EQUIP., COMP., ACES., MAT. PARA ESCRIT.E ESCOLAR</v>
      </c>
      <c r="G899" s="42" t="str">
        <f>VLOOKUP(tabPontoPed[[#This Row],[GRUPO]],tabGrupos[#Data],3,FALSE)</f>
        <v>EDU</v>
      </c>
      <c r="H899" s="41" t="s">
        <v>1339</v>
      </c>
      <c r="I899" s="9">
        <v>4</v>
      </c>
      <c r="J899" s="51">
        <v>22</v>
      </c>
      <c r="K899" s="7">
        <f>tabPontoPed[[#This Row],[QTDMÊS]] * tabPontoPed[[#This Row],[MENSAL]]</f>
        <v>88</v>
      </c>
      <c r="L899" s="13" t="s">
        <v>1012</v>
      </c>
      <c r="M899" s="44"/>
      <c r="N899" s="45" t="str">
        <f>_xlfn.IFNA(IF(VLOOKUP(tabPontoPed[[#This Row],[CÓDIGO]],Excluir_do_Estoque!$A$4:$A$4004,1,FALSE),"sim",""),"")</f>
        <v/>
      </c>
      <c r="O899" s="10" t="str">
        <f t="shared" si="13"/>
        <v>*</v>
      </c>
    </row>
    <row r="900" spans="1:15" x14ac:dyDescent="0.25">
      <c r="A900" s="2">
        <v>132394</v>
      </c>
      <c r="B900" s="4" t="s">
        <v>470</v>
      </c>
      <c r="C900" s="41" t="s">
        <v>1345</v>
      </c>
      <c r="D900" s="42">
        <v>45</v>
      </c>
      <c r="E900" s="43">
        <v>14</v>
      </c>
      <c r="F900" s="50" t="str">
        <f>VLOOKUP(tabPontoPed[[#This Row],[GRUPO]],tabGrupos[#Data],2,FALSE)</f>
        <v>MAQ., EQUIP., COMP., ACES., MAT. PARA ESCRIT.E ESCOLAR</v>
      </c>
      <c r="G900" s="42" t="str">
        <f>VLOOKUP(tabPontoPed[[#This Row],[GRUPO]],tabGrupos[#Data],3,FALSE)</f>
        <v>EDU</v>
      </c>
      <c r="H900" s="41" t="s">
        <v>1339</v>
      </c>
      <c r="I900" s="9">
        <v>4</v>
      </c>
      <c r="J900" s="51">
        <v>298</v>
      </c>
      <c r="K900" s="7">
        <f>tabPontoPed[[#This Row],[QTDMÊS]] * tabPontoPed[[#This Row],[MENSAL]]</f>
        <v>1192</v>
      </c>
      <c r="L900" s="13" t="s">
        <v>1012</v>
      </c>
      <c r="M900" s="44"/>
      <c r="N900" s="45" t="str">
        <f>_xlfn.IFNA(IF(VLOOKUP(tabPontoPed[[#This Row],[CÓDIGO]],Excluir_do_Estoque!$A$4:$A$4004,1,FALSE),"sim",""),"")</f>
        <v/>
      </c>
      <c r="O900" s="10" t="str">
        <f t="shared" ref="O900:O963" si="14">"*"</f>
        <v>*</v>
      </c>
    </row>
    <row r="901" spans="1:15" x14ac:dyDescent="0.25">
      <c r="A901" s="2">
        <v>132395</v>
      </c>
      <c r="B901" s="4" t="s">
        <v>471</v>
      </c>
      <c r="C901" s="41" t="s">
        <v>1345</v>
      </c>
      <c r="D901" s="42">
        <v>45</v>
      </c>
      <c r="E901" s="43">
        <v>14</v>
      </c>
      <c r="F901" s="50" t="str">
        <f>VLOOKUP(tabPontoPed[[#This Row],[GRUPO]],tabGrupos[#Data],2,FALSE)</f>
        <v>MAQ., EQUIP., COMP., ACES., MAT. PARA ESCRIT.E ESCOLAR</v>
      </c>
      <c r="G901" s="42" t="str">
        <f>VLOOKUP(tabPontoPed[[#This Row],[GRUPO]],tabGrupos[#Data],3,FALSE)</f>
        <v>EDU</v>
      </c>
      <c r="H901" s="41" t="s">
        <v>1339</v>
      </c>
      <c r="I901" s="9">
        <v>4</v>
      </c>
      <c r="J901" s="51">
        <v>291</v>
      </c>
      <c r="K901" s="7">
        <f>tabPontoPed[[#This Row],[QTDMÊS]] * tabPontoPed[[#This Row],[MENSAL]]</f>
        <v>1164</v>
      </c>
      <c r="L901" s="13" t="s">
        <v>1012</v>
      </c>
      <c r="M901" s="44"/>
      <c r="N901" s="45" t="str">
        <f>_xlfn.IFNA(IF(VLOOKUP(tabPontoPed[[#This Row],[CÓDIGO]],Excluir_do_Estoque!$A$4:$A$4004,1,FALSE),"sim",""),"")</f>
        <v/>
      </c>
      <c r="O901" s="10" t="str">
        <f t="shared" si="14"/>
        <v>*</v>
      </c>
    </row>
    <row r="902" spans="1:15" x14ac:dyDescent="0.25">
      <c r="A902" s="2">
        <v>132400</v>
      </c>
      <c r="B902" s="4" t="s">
        <v>928</v>
      </c>
      <c r="C902" s="41" t="s">
        <v>1345</v>
      </c>
      <c r="D902" s="42">
        <v>71</v>
      </c>
      <c r="E902" s="43">
        <v>33</v>
      </c>
      <c r="F902" s="50" t="str">
        <f>VLOOKUP(tabPontoPed[[#This Row],[GRUPO]],tabGrupos[#Data],2,FALSE)</f>
        <v>GENEROS ALIMENTICIOS E BEBIDAS</v>
      </c>
      <c r="G902" s="42" t="str">
        <f>VLOOKUP(tabPontoPed[[#This Row],[GRUPO]],tabGrupos[#Data],3,FALSE)</f>
        <v>EDU</v>
      </c>
      <c r="H902" s="41" t="s">
        <v>1339</v>
      </c>
      <c r="I902" s="9">
        <v>4</v>
      </c>
      <c r="J902" s="51">
        <v>96</v>
      </c>
      <c r="K902" s="7">
        <f>tabPontoPed[[#This Row],[QTDMÊS]] * tabPontoPed[[#This Row],[MENSAL]]</f>
        <v>384</v>
      </c>
      <c r="L902" s="13" t="s">
        <v>1012</v>
      </c>
      <c r="M902" s="44"/>
      <c r="N902" s="45" t="str">
        <f>_xlfn.IFNA(IF(VLOOKUP(tabPontoPed[[#This Row],[CÓDIGO]],Excluir_do_Estoque!$A$4:$A$4004,1,FALSE),"sim",""),"")</f>
        <v/>
      </c>
      <c r="O902" s="10" t="str">
        <f t="shared" si="14"/>
        <v>*</v>
      </c>
    </row>
    <row r="903" spans="1:15" x14ac:dyDescent="0.25">
      <c r="A903" s="2">
        <v>132405</v>
      </c>
      <c r="B903" s="4" t="s">
        <v>705</v>
      </c>
      <c r="C903" s="41" t="s">
        <v>1345</v>
      </c>
      <c r="D903" s="42">
        <v>57</v>
      </c>
      <c r="E903" s="43">
        <v>6</v>
      </c>
      <c r="F903" s="50" t="str">
        <f>VLOOKUP(tabPontoPed[[#This Row],[GRUPO]],tabGrupos[#Data],2,FALSE)</f>
        <v>MAQ. E EQUIP. P/ IND. GRAFICA COMP. ACESS. E PAPEI</v>
      </c>
      <c r="G903" s="42" t="str">
        <f>VLOOKUP(tabPontoPed[[#This Row],[GRUPO]],tabGrupos[#Data],3,FALSE)</f>
        <v>EDU</v>
      </c>
      <c r="H903" s="41" t="s">
        <v>1339</v>
      </c>
      <c r="I903" s="9">
        <v>4</v>
      </c>
      <c r="J903" s="51">
        <v>31</v>
      </c>
      <c r="K903" s="7">
        <f>tabPontoPed[[#This Row],[QTDMÊS]] * tabPontoPed[[#This Row],[MENSAL]]</f>
        <v>124</v>
      </c>
      <c r="L903" s="13" t="s">
        <v>1012</v>
      </c>
      <c r="M903" s="44"/>
      <c r="N903" s="45" t="str">
        <f>_xlfn.IFNA(IF(VLOOKUP(tabPontoPed[[#This Row],[CÓDIGO]],Excluir_do_Estoque!$A$4:$A$4004,1,FALSE),"sim",""),"")</f>
        <v/>
      </c>
      <c r="O903" s="10" t="str">
        <f t="shared" si="14"/>
        <v>*</v>
      </c>
    </row>
    <row r="904" spans="1:15" x14ac:dyDescent="0.25">
      <c r="A904" s="2">
        <v>132407</v>
      </c>
      <c r="B904" s="4" t="s">
        <v>706</v>
      </c>
      <c r="C904" s="41" t="s">
        <v>1345</v>
      </c>
      <c r="D904" s="42">
        <v>57</v>
      </c>
      <c r="E904" s="43">
        <v>6</v>
      </c>
      <c r="F904" s="50" t="str">
        <f>VLOOKUP(tabPontoPed[[#This Row],[GRUPO]],tabGrupos[#Data],2,FALSE)</f>
        <v>MAQ. E EQUIP. P/ IND. GRAFICA COMP. ACESS. E PAPEI</v>
      </c>
      <c r="G904" s="42" t="str">
        <f>VLOOKUP(tabPontoPed[[#This Row],[GRUPO]],tabGrupos[#Data],3,FALSE)</f>
        <v>EDU</v>
      </c>
      <c r="H904" s="41" t="s">
        <v>1339</v>
      </c>
      <c r="I904" s="9">
        <v>4</v>
      </c>
      <c r="J904" s="51">
        <v>27</v>
      </c>
      <c r="K904" s="7">
        <f>tabPontoPed[[#This Row],[QTDMÊS]] * tabPontoPed[[#This Row],[MENSAL]]</f>
        <v>108</v>
      </c>
      <c r="L904" s="13" t="s">
        <v>1012</v>
      </c>
      <c r="M904" s="44"/>
      <c r="N904" s="45" t="str">
        <f>_xlfn.IFNA(IF(VLOOKUP(tabPontoPed[[#This Row],[CÓDIGO]],Excluir_do_Estoque!$A$4:$A$4004,1,FALSE),"sim",""),"")</f>
        <v/>
      </c>
      <c r="O904" s="10" t="str">
        <f t="shared" si="14"/>
        <v>*</v>
      </c>
    </row>
    <row r="905" spans="1:15" x14ac:dyDescent="0.25">
      <c r="A905" s="2">
        <v>132465</v>
      </c>
      <c r="B905" s="4" t="s">
        <v>511</v>
      </c>
      <c r="C905" s="41" t="s">
        <v>1345</v>
      </c>
      <c r="D905" s="42">
        <v>51</v>
      </c>
      <c r="E905" s="43">
        <v>11</v>
      </c>
      <c r="F905" s="50" t="str">
        <f>VLOOKUP(tabPontoPed[[#This Row],[GRUPO]],tabGrupos[#Data],2,FALSE)</f>
        <v>MAT.E EQUIP. P/ CONSTR.CIVIL E CONSERV. DE VIAS PUBL.</v>
      </c>
      <c r="G905" s="42" t="str">
        <f>VLOOKUP(tabPontoPed[[#This Row],[GRUPO]],tabGrupos[#Data],3,FALSE)</f>
        <v>MCO</v>
      </c>
      <c r="H905" s="41" t="s">
        <v>1339</v>
      </c>
      <c r="I905" s="9">
        <v>4</v>
      </c>
      <c r="J905" s="51">
        <v>5</v>
      </c>
      <c r="K905" s="7">
        <f>tabPontoPed[[#This Row],[QTDMÊS]] * tabPontoPed[[#This Row],[MENSAL]]</f>
        <v>20</v>
      </c>
      <c r="L905" s="13" t="s">
        <v>1012</v>
      </c>
      <c r="M905" s="44"/>
      <c r="N905" s="45" t="str">
        <f>_xlfn.IFNA(IF(VLOOKUP(tabPontoPed[[#This Row],[CÓDIGO]],Excluir_do_Estoque!$A$4:$A$4004,1,FALSE),"sim",""),"")</f>
        <v/>
      </c>
      <c r="O905" s="10" t="str">
        <f t="shared" si="14"/>
        <v>*</v>
      </c>
    </row>
    <row r="906" spans="1:15" x14ac:dyDescent="0.25">
      <c r="A906" s="2">
        <v>132612</v>
      </c>
      <c r="B906" s="4" t="s">
        <v>698</v>
      </c>
      <c r="C906" s="41" t="s">
        <v>1345</v>
      </c>
      <c r="D906" s="42">
        <v>55</v>
      </c>
      <c r="E906" s="43">
        <v>66</v>
      </c>
      <c r="F906" s="50" t="str">
        <f>VLOOKUP(tabPontoPed[[#This Row],[GRUPO]],tabGrupos[#Data],2,FALSE)</f>
        <v>EQUIP. MAT. P/ GERACAO, TRANSM. DISTR. RETIF...</v>
      </c>
      <c r="G906" s="42" t="str">
        <f>VLOOKUP(tabPontoPed[[#This Row],[GRUPO]],tabGrupos[#Data],3,FALSE)</f>
        <v>MEL</v>
      </c>
      <c r="H906" s="41" t="s">
        <v>1339</v>
      </c>
      <c r="I906" s="9">
        <v>4</v>
      </c>
      <c r="J906" s="51">
        <v>25</v>
      </c>
      <c r="K906" s="7">
        <f>tabPontoPed[[#This Row],[QTDMÊS]] * tabPontoPed[[#This Row],[MENSAL]]</f>
        <v>100</v>
      </c>
      <c r="L906" s="13" t="s">
        <v>1012</v>
      </c>
      <c r="M906" s="44"/>
      <c r="N906" s="45" t="str">
        <f>_xlfn.IFNA(IF(VLOOKUP(tabPontoPed[[#This Row],[CÓDIGO]],Excluir_do_Estoque!$A$4:$A$4004,1,FALSE),"sim",""),"")</f>
        <v/>
      </c>
      <c r="O906" s="10" t="str">
        <f t="shared" si="14"/>
        <v>*</v>
      </c>
    </row>
    <row r="907" spans="1:15" x14ac:dyDescent="0.25">
      <c r="A907" s="2">
        <v>132613</v>
      </c>
      <c r="B907" s="4" t="s">
        <v>699</v>
      </c>
      <c r="C907" s="41" t="s">
        <v>1345</v>
      </c>
      <c r="D907" s="42">
        <v>55</v>
      </c>
      <c r="E907" s="43">
        <v>66</v>
      </c>
      <c r="F907" s="50" t="str">
        <f>VLOOKUP(tabPontoPed[[#This Row],[GRUPO]],tabGrupos[#Data],2,FALSE)</f>
        <v>EQUIP. MAT. P/ GERACAO, TRANSM. DISTR. RETIF...</v>
      </c>
      <c r="G907" s="42" t="str">
        <f>VLOOKUP(tabPontoPed[[#This Row],[GRUPO]],tabGrupos[#Data],3,FALSE)</f>
        <v>MEL</v>
      </c>
      <c r="H907" s="41" t="s">
        <v>1339</v>
      </c>
      <c r="I907" s="9">
        <v>4</v>
      </c>
      <c r="J907" s="51">
        <v>58</v>
      </c>
      <c r="K907" s="7">
        <f>tabPontoPed[[#This Row],[QTDMÊS]] * tabPontoPed[[#This Row],[MENSAL]]</f>
        <v>232</v>
      </c>
      <c r="L907" s="13" t="s">
        <v>1012</v>
      </c>
      <c r="M907" s="44"/>
      <c r="N907" s="45" t="str">
        <f>_xlfn.IFNA(IF(VLOOKUP(tabPontoPed[[#This Row],[CÓDIGO]],Excluir_do_Estoque!$A$4:$A$4004,1,FALSE),"sim",""),"")</f>
        <v/>
      </c>
      <c r="O907" s="10" t="str">
        <f t="shared" si="14"/>
        <v>*</v>
      </c>
    </row>
    <row r="908" spans="1:15" x14ac:dyDescent="0.25">
      <c r="A908" s="2">
        <v>132623</v>
      </c>
      <c r="B908" s="4" t="s">
        <v>556</v>
      </c>
      <c r="C908" s="41" t="s">
        <v>1345</v>
      </c>
      <c r="D908" s="42">
        <v>51</v>
      </c>
      <c r="E908" s="43">
        <v>35</v>
      </c>
      <c r="F908" s="50" t="str">
        <f>VLOOKUP(tabPontoPed[[#This Row],[GRUPO]],tabGrupos[#Data],2,FALSE)</f>
        <v>MAT.E EQUIP. P/ CONSTR.CIVIL E CONSERV. DE VIAS PUBL.</v>
      </c>
      <c r="G908" s="42" t="str">
        <f>VLOOKUP(tabPontoPed[[#This Row],[GRUPO]],tabGrupos[#Data],3,FALSE)</f>
        <v>MCO</v>
      </c>
      <c r="H908" s="41" t="s">
        <v>1339</v>
      </c>
      <c r="I908" s="9">
        <v>4</v>
      </c>
      <c r="J908" s="51">
        <v>6</v>
      </c>
      <c r="K908" s="7">
        <f>tabPontoPed[[#This Row],[QTDMÊS]] * tabPontoPed[[#This Row],[MENSAL]]</f>
        <v>24</v>
      </c>
      <c r="L908" s="13" t="s">
        <v>1012</v>
      </c>
      <c r="M908" s="44"/>
      <c r="N908" s="45" t="str">
        <f>_xlfn.IFNA(IF(VLOOKUP(tabPontoPed[[#This Row],[CÓDIGO]],Excluir_do_Estoque!$A$4:$A$4004,1,FALSE),"sim",""),"")</f>
        <v/>
      </c>
      <c r="O908" s="10" t="str">
        <f t="shared" si="14"/>
        <v>*</v>
      </c>
    </row>
    <row r="909" spans="1:15" x14ac:dyDescent="0.25">
      <c r="A909" s="2">
        <v>132624</v>
      </c>
      <c r="B909" s="4" t="s">
        <v>561</v>
      </c>
      <c r="C909" s="41" t="s">
        <v>1345</v>
      </c>
      <c r="D909" s="42">
        <v>51</v>
      </c>
      <c r="E909" s="43">
        <v>36</v>
      </c>
      <c r="F909" s="50" t="str">
        <f>VLOOKUP(tabPontoPed[[#This Row],[GRUPO]],tabGrupos[#Data],2,FALSE)</f>
        <v>MAT.E EQUIP. P/ CONSTR.CIVIL E CONSERV. DE VIAS PUBL.</v>
      </c>
      <c r="G909" s="42" t="str">
        <f>VLOOKUP(tabPontoPed[[#This Row],[GRUPO]],tabGrupos[#Data],3,FALSE)</f>
        <v>MCO</v>
      </c>
      <c r="H909" s="41" t="s">
        <v>1339</v>
      </c>
      <c r="I909" s="9">
        <v>4</v>
      </c>
      <c r="J909" s="51">
        <v>3</v>
      </c>
      <c r="K909" s="7">
        <f>tabPontoPed[[#This Row],[QTDMÊS]] * tabPontoPed[[#This Row],[MENSAL]]</f>
        <v>12</v>
      </c>
      <c r="L909" s="13" t="s">
        <v>1012</v>
      </c>
      <c r="M909" s="44"/>
      <c r="N909" s="45" t="str">
        <f>_xlfn.IFNA(IF(VLOOKUP(tabPontoPed[[#This Row],[CÓDIGO]],Excluir_do_Estoque!$A$4:$A$4004,1,FALSE),"sim",""),"")</f>
        <v/>
      </c>
      <c r="O909" s="10" t="str">
        <f t="shared" si="14"/>
        <v>*</v>
      </c>
    </row>
    <row r="910" spans="1:15" x14ac:dyDescent="0.25">
      <c r="A910" s="2">
        <v>132646</v>
      </c>
      <c r="B910" s="4" t="s">
        <v>429</v>
      </c>
      <c r="C910" s="41" t="s">
        <v>1345</v>
      </c>
      <c r="D910" s="42">
        <v>45</v>
      </c>
      <c r="E910" s="43">
        <v>10</v>
      </c>
      <c r="F910" s="50" t="str">
        <f>VLOOKUP(tabPontoPed[[#This Row],[GRUPO]],tabGrupos[#Data],2,FALSE)</f>
        <v>MAQ., EQUIP., COMP., ACES., MAT. PARA ESCRIT.E ESCOLAR</v>
      </c>
      <c r="G910" s="42" t="str">
        <f>VLOOKUP(tabPontoPed[[#This Row],[GRUPO]],tabGrupos[#Data],3,FALSE)</f>
        <v>EDU</v>
      </c>
      <c r="H910" s="41" t="s">
        <v>1339</v>
      </c>
      <c r="I910" s="9">
        <v>4</v>
      </c>
      <c r="J910" s="51">
        <v>1151</v>
      </c>
      <c r="K910" s="7">
        <f>tabPontoPed[[#This Row],[QTDMÊS]] * tabPontoPed[[#This Row],[MENSAL]]</f>
        <v>4604</v>
      </c>
      <c r="L910" s="13" t="s">
        <v>1012</v>
      </c>
      <c r="M910" s="44"/>
      <c r="N910" s="45" t="str">
        <f>_xlfn.IFNA(IF(VLOOKUP(tabPontoPed[[#This Row],[CÓDIGO]],Excluir_do_Estoque!$A$4:$A$4004,1,FALSE),"sim",""),"")</f>
        <v/>
      </c>
      <c r="O910" s="10" t="str">
        <f t="shared" si="14"/>
        <v>*</v>
      </c>
    </row>
    <row r="911" spans="1:15" x14ac:dyDescent="0.25">
      <c r="A911" s="2">
        <v>132647</v>
      </c>
      <c r="B911" s="4" t="s">
        <v>430</v>
      </c>
      <c r="C911" s="41" t="s">
        <v>1345</v>
      </c>
      <c r="D911" s="42">
        <v>45</v>
      </c>
      <c r="E911" s="43">
        <v>10</v>
      </c>
      <c r="F911" s="50" t="str">
        <f>VLOOKUP(tabPontoPed[[#This Row],[GRUPO]],tabGrupos[#Data],2,FALSE)</f>
        <v>MAQ., EQUIP., COMP., ACES., MAT. PARA ESCRIT.E ESCOLAR</v>
      </c>
      <c r="G911" s="42" t="str">
        <f>VLOOKUP(tabPontoPed[[#This Row],[GRUPO]],tabGrupos[#Data],3,FALSE)</f>
        <v>EDU</v>
      </c>
      <c r="H911" s="41" t="s">
        <v>1339</v>
      </c>
      <c r="I911" s="9">
        <v>4</v>
      </c>
      <c r="J911" s="51">
        <v>937</v>
      </c>
      <c r="K911" s="7">
        <f>tabPontoPed[[#This Row],[QTDMÊS]] * tabPontoPed[[#This Row],[MENSAL]]</f>
        <v>3748</v>
      </c>
      <c r="L911" s="13" t="s">
        <v>1012</v>
      </c>
      <c r="M911" s="44"/>
      <c r="N911" s="45" t="str">
        <f>_xlfn.IFNA(IF(VLOOKUP(tabPontoPed[[#This Row],[CÓDIGO]],Excluir_do_Estoque!$A$4:$A$4004,1,FALSE),"sim",""),"")</f>
        <v/>
      </c>
      <c r="O911" s="10" t="str">
        <f t="shared" si="14"/>
        <v>*</v>
      </c>
    </row>
    <row r="912" spans="1:15" x14ac:dyDescent="0.25">
      <c r="A912" s="2">
        <v>132649</v>
      </c>
      <c r="B912" s="4" t="s">
        <v>431</v>
      </c>
      <c r="C912" s="41" t="s">
        <v>1345</v>
      </c>
      <c r="D912" s="42">
        <v>45</v>
      </c>
      <c r="E912" s="43">
        <v>10</v>
      </c>
      <c r="F912" s="50" t="str">
        <f>VLOOKUP(tabPontoPed[[#This Row],[GRUPO]],tabGrupos[#Data],2,FALSE)</f>
        <v>MAQ., EQUIP., COMP., ACES., MAT. PARA ESCRIT.E ESCOLAR</v>
      </c>
      <c r="G912" s="42" t="str">
        <f>VLOOKUP(tabPontoPed[[#This Row],[GRUPO]],tabGrupos[#Data],3,FALSE)</f>
        <v>EDU</v>
      </c>
      <c r="H912" s="41" t="s">
        <v>1339</v>
      </c>
      <c r="I912" s="9">
        <v>4</v>
      </c>
      <c r="J912" s="51">
        <v>406</v>
      </c>
      <c r="K912" s="7">
        <f>tabPontoPed[[#This Row],[QTDMÊS]] * tabPontoPed[[#This Row],[MENSAL]]</f>
        <v>1624</v>
      </c>
      <c r="L912" s="13" t="s">
        <v>1012</v>
      </c>
      <c r="M912" s="44"/>
      <c r="N912" s="45" t="str">
        <f>_xlfn.IFNA(IF(VLOOKUP(tabPontoPed[[#This Row],[CÓDIGO]],Excluir_do_Estoque!$A$4:$A$4004,1,FALSE),"sim",""),"")</f>
        <v/>
      </c>
      <c r="O912" s="10" t="str">
        <f t="shared" si="14"/>
        <v>*</v>
      </c>
    </row>
    <row r="913" spans="1:15" x14ac:dyDescent="0.25">
      <c r="A913" s="2">
        <v>132650</v>
      </c>
      <c r="B913" s="4" t="s">
        <v>472</v>
      </c>
      <c r="C913" s="41" t="s">
        <v>1345</v>
      </c>
      <c r="D913" s="42">
        <v>45</v>
      </c>
      <c r="E913" s="43">
        <v>14</v>
      </c>
      <c r="F913" s="50" t="str">
        <f>VLOOKUP(tabPontoPed[[#This Row],[GRUPO]],tabGrupos[#Data],2,FALSE)</f>
        <v>MAQ., EQUIP., COMP., ACES., MAT. PARA ESCRIT.E ESCOLAR</v>
      </c>
      <c r="G913" s="42" t="str">
        <f>VLOOKUP(tabPontoPed[[#This Row],[GRUPO]],tabGrupos[#Data],3,FALSE)</f>
        <v>EDU</v>
      </c>
      <c r="H913" s="41" t="s">
        <v>1339</v>
      </c>
      <c r="I913" s="9">
        <v>4</v>
      </c>
      <c r="J913" s="51">
        <v>433</v>
      </c>
      <c r="K913" s="7">
        <f>tabPontoPed[[#This Row],[QTDMÊS]] * tabPontoPed[[#This Row],[MENSAL]]</f>
        <v>1732</v>
      </c>
      <c r="L913" s="13" t="s">
        <v>1012</v>
      </c>
      <c r="M913" s="44"/>
      <c r="N913" s="45" t="str">
        <f>_xlfn.IFNA(IF(VLOOKUP(tabPontoPed[[#This Row],[CÓDIGO]],Excluir_do_Estoque!$A$4:$A$4004,1,FALSE),"sim",""),"")</f>
        <v/>
      </c>
      <c r="O913" s="10" t="str">
        <f t="shared" si="14"/>
        <v>*</v>
      </c>
    </row>
    <row r="914" spans="1:15" x14ac:dyDescent="0.25">
      <c r="A914" s="2">
        <v>132655</v>
      </c>
      <c r="B914" s="4" t="s">
        <v>432</v>
      </c>
      <c r="C914" s="41" t="s">
        <v>1345</v>
      </c>
      <c r="D914" s="42">
        <v>45</v>
      </c>
      <c r="E914" s="43">
        <v>10</v>
      </c>
      <c r="F914" s="50" t="str">
        <f>VLOOKUP(tabPontoPed[[#This Row],[GRUPO]],tabGrupos[#Data],2,FALSE)</f>
        <v>MAQ., EQUIP., COMP., ACES., MAT. PARA ESCRIT.E ESCOLAR</v>
      </c>
      <c r="G914" s="42" t="str">
        <f>VLOOKUP(tabPontoPed[[#This Row],[GRUPO]],tabGrupos[#Data],3,FALSE)</f>
        <v>EDU</v>
      </c>
      <c r="H914" s="41" t="s">
        <v>1339</v>
      </c>
      <c r="I914" s="9">
        <v>4</v>
      </c>
      <c r="J914" s="51">
        <v>1630</v>
      </c>
      <c r="K914" s="7">
        <f>tabPontoPed[[#This Row],[QTDMÊS]] * tabPontoPed[[#This Row],[MENSAL]]</f>
        <v>6520</v>
      </c>
      <c r="L914" s="13" t="s">
        <v>1012</v>
      </c>
      <c r="M914" s="44"/>
      <c r="N914" s="45" t="str">
        <f>_xlfn.IFNA(IF(VLOOKUP(tabPontoPed[[#This Row],[CÓDIGO]],Excluir_do_Estoque!$A$4:$A$4004,1,FALSE),"sim",""),"")</f>
        <v/>
      </c>
      <c r="O914" s="10" t="str">
        <f t="shared" si="14"/>
        <v>*</v>
      </c>
    </row>
    <row r="915" spans="1:15" x14ac:dyDescent="0.25">
      <c r="A915" s="2">
        <v>132656</v>
      </c>
      <c r="B915" s="4" t="s">
        <v>433</v>
      </c>
      <c r="C915" s="41" t="s">
        <v>1345</v>
      </c>
      <c r="D915" s="42">
        <v>45</v>
      </c>
      <c r="E915" s="43">
        <v>10</v>
      </c>
      <c r="F915" s="50" t="str">
        <f>VLOOKUP(tabPontoPed[[#This Row],[GRUPO]],tabGrupos[#Data],2,FALSE)</f>
        <v>MAQ., EQUIP., COMP., ACES., MAT. PARA ESCRIT.E ESCOLAR</v>
      </c>
      <c r="G915" s="42" t="str">
        <f>VLOOKUP(tabPontoPed[[#This Row],[GRUPO]],tabGrupos[#Data],3,FALSE)</f>
        <v>EDU</v>
      </c>
      <c r="H915" s="41" t="s">
        <v>1339</v>
      </c>
      <c r="I915" s="9">
        <v>4</v>
      </c>
      <c r="J915" s="51">
        <v>1606</v>
      </c>
      <c r="K915" s="7">
        <f>tabPontoPed[[#This Row],[QTDMÊS]] * tabPontoPed[[#This Row],[MENSAL]]</f>
        <v>6424</v>
      </c>
      <c r="L915" s="13" t="s">
        <v>1012</v>
      </c>
      <c r="M915" s="44"/>
      <c r="N915" s="45" t="str">
        <f>_xlfn.IFNA(IF(VLOOKUP(tabPontoPed[[#This Row],[CÓDIGO]],Excluir_do_Estoque!$A$4:$A$4004,1,FALSE),"sim",""),"")</f>
        <v/>
      </c>
      <c r="O915" s="10" t="str">
        <f t="shared" si="14"/>
        <v>*</v>
      </c>
    </row>
    <row r="916" spans="1:15" x14ac:dyDescent="0.25">
      <c r="A916" s="2">
        <v>132714</v>
      </c>
      <c r="B916" s="4" t="s">
        <v>531</v>
      </c>
      <c r="C916" s="41" t="s">
        <v>1345</v>
      </c>
      <c r="D916" s="42">
        <v>51</v>
      </c>
      <c r="E916" s="43">
        <v>17</v>
      </c>
      <c r="F916" s="50" t="str">
        <f>VLOOKUP(tabPontoPed[[#This Row],[GRUPO]],tabGrupos[#Data],2,FALSE)</f>
        <v>MAT.E EQUIP. P/ CONSTR.CIVIL E CONSERV. DE VIAS PUBL.</v>
      </c>
      <c r="G916" s="42" t="str">
        <f>VLOOKUP(tabPontoPed[[#This Row],[GRUPO]],tabGrupos[#Data],3,FALSE)</f>
        <v>MCO</v>
      </c>
      <c r="H916" s="41" t="s">
        <v>1339</v>
      </c>
      <c r="I916" s="9">
        <v>4</v>
      </c>
      <c r="J916" s="51">
        <v>3</v>
      </c>
      <c r="K916" s="7">
        <f>tabPontoPed[[#This Row],[QTDMÊS]] * tabPontoPed[[#This Row],[MENSAL]]</f>
        <v>12</v>
      </c>
      <c r="L916" s="13" t="s">
        <v>1012</v>
      </c>
      <c r="M916" s="44"/>
      <c r="N916" s="45" t="str">
        <f>_xlfn.IFNA(IF(VLOOKUP(tabPontoPed[[#This Row],[CÓDIGO]],Excluir_do_Estoque!$A$4:$A$4004,1,FALSE),"sim",""),"")</f>
        <v/>
      </c>
      <c r="O916" s="10" t="str">
        <f t="shared" si="14"/>
        <v>*</v>
      </c>
    </row>
    <row r="917" spans="1:15" x14ac:dyDescent="0.25">
      <c r="A917" s="2">
        <v>132715</v>
      </c>
      <c r="B917" s="4" t="s">
        <v>532</v>
      </c>
      <c r="C917" s="41" t="s">
        <v>1345</v>
      </c>
      <c r="D917" s="42">
        <v>51</v>
      </c>
      <c r="E917" s="43">
        <v>17</v>
      </c>
      <c r="F917" s="50" t="str">
        <f>VLOOKUP(tabPontoPed[[#This Row],[GRUPO]],tabGrupos[#Data],2,FALSE)</f>
        <v>MAT.E EQUIP. P/ CONSTR.CIVIL E CONSERV. DE VIAS PUBL.</v>
      </c>
      <c r="G917" s="42" t="str">
        <f>VLOOKUP(tabPontoPed[[#This Row],[GRUPO]],tabGrupos[#Data],3,FALSE)</f>
        <v>MCO</v>
      </c>
      <c r="H917" s="41" t="s">
        <v>1339</v>
      </c>
      <c r="I917" s="9">
        <v>4</v>
      </c>
      <c r="J917" s="51">
        <v>2</v>
      </c>
      <c r="K917" s="7">
        <f>tabPontoPed[[#This Row],[QTDMÊS]] * tabPontoPed[[#This Row],[MENSAL]]</f>
        <v>8</v>
      </c>
      <c r="L917" s="13" t="s">
        <v>1012</v>
      </c>
      <c r="M917" s="44"/>
      <c r="N917" s="45" t="str">
        <f>_xlfn.IFNA(IF(VLOOKUP(tabPontoPed[[#This Row],[CÓDIGO]],Excluir_do_Estoque!$A$4:$A$4004,1,FALSE),"sim",""),"")</f>
        <v/>
      </c>
      <c r="O917" s="10" t="str">
        <f t="shared" si="14"/>
        <v>*</v>
      </c>
    </row>
    <row r="918" spans="1:15" x14ac:dyDescent="0.25">
      <c r="A918" s="2">
        <v>132751</v>
      </c>
      <c r="B918" s="4" t="s">
        <v>685</v>
      </c>
      <c r="C918" s="41" t="s">
        <v>1345</v>
      </c>
      <c r="D918" s="42">
        <v>55</v>
      </c>
      <c r="E918" s="43">
        <v>40</v>
      </c>
      <c r="F918" s="50" t="str">
        <f>VLOOKUP(tabPontoPed[[#This Row],[GRUPO]],tabGrupos[#Data],2,FALSE)</f>
        <v>EQUIP. MAT. P/ GERACAO, TRANSM. DISTR. RETIF...</v>
      </c>
      <c r="G918" s="42" t="str">
        <f>VLOOKUP(tabPontoPed[[#This Row],[GRUPO]],tabGrupos[#Data],3,FALSE)</f>
        <v>MEL</v>
      </c>
      <c r="H918" s="41" t="s">
        <v>1339</v>
      </c>
      <c r="I918" s="9">
        <v>4</v>
      </c>
      <c r="J918" s="51">
        <v>0</v>
      </c>
      <c r="K918" s="7">
        <f>tabPontoPed[[#This Row],[QTDMÊS]] * tabPontoPed[[#This Row],[MENSAL]]</f>
        <v>0</v>
      </c>
      <c r="L918" s="13" t="s">
        <v>1012</v>
      </c>
      <c r="M918" s="44"/>
      <c r="N918" s="45" t="str">
        <f>_xlfn.IFNA(IF(VLOOKUP(tabPontoPed[[#This Row],[CÓDIGO]],Excluir_do_Estoque!$A$4:$A$4004,1,FALSE),"sim",""),"")</f>
        <v/>
      </c>
      <c r="O918" s="10" t="str">
        <f t="shared" si="14"/>
        <v>*</v>
      </c>
    </row>
    <row r="919" spans="1:15" x14ac:dyDescent="0.25">
      <c r="A919" s="2">
        <v>132769</v>
      </c>
      <c r="B919" s="4" t="s">
        <v>554</v>
      </c>
      <c r="C919" s="41" t="s">
        <v>1345</v>
      </c>
      <c r="D919" s="42">
        <v>51</v>
      </c>
      <c r="E919" s="43">
        <v>33</v>
      </c>
      <c r="F919" s="50" t="str">
        <f>VLOOKUP(tabPontoPed[[#This Row],[GRUPO]],tabGrupos[#Data],2,FALSE)</f>
        <v>MAT.E EQUIP. P/ CONSTR.CIVIL E CONSERV. DE VIAS PUBL.</v>
      </c>
      <c r="G919" s="42" t="str">
        <f>VLOOKUP(tabPontoPed[[#This Row],[GRUPO]],tabGrupos[#Data],3,FALSE)</f>
        <v>MCO</v>
      </c>
      <c r="H919" s="41" t="s">
        <v>1339</v>
      </c>
      <c r="I919" s="9">
        <v>4</v>
      </c>
      <c r="J919" s="51">
        <v>7</v>
      </c>
      <c r="K919" s="7">
        <f>tabPontoPed[[#This Row],[QTDMÊS]] * tabPontoPed[[#This Row],[MENSAL]]</f>
        <v>28</v>
      </c>
      <c r="L919" s="13" t="s">
        <v>1012</v>
      </c>
      <c r="M919" s="44"/>
      <c r="N919" s="45" t="str">
        <f>_xlfn.IFNA(IF(VLOOKUP(tabPontoPed[[#This Row],[CÓDIGO]],Excluir_do_Estoque!$A$4:$A$4004,1,FALSE),"sim",""),"")</f>
        <v/>
      </c>
      <c r="O919" s="10" t="str">
        <f t="shared" si="14"/>
        <v>*</v>
      </c>
    </row>
    <row r="920" spans="1:15" x14ac:dyDescent="0.25">
      <c r="A920" s="2">
        <v>133021</v>
      </c>
      <c r="B920" s="4" t="s">
        <v>1316</v>
      </c>
      <c r="C920" s="41" t="s">
        <v>1345</v>
      </c>
      <c r="D920" s="42">
        <v>72</v>
      </c>
      <c r="E920" s="43">
        <v>7</v>
      </c>
      <c r="F920" s="50" t="str">
        <f>VLOOKUP(tabPontoPed[[#This Row],[GRUPO]],tabGrupos[#Data],2,FALSE)</f>
        <v>MAQ.EQUIP.E MATERIAIS P/ HIGIEN.LIMP.POLIM.E LUBR.</v>
      </c>
      <c r="G920" s="42" t="str">
        <f>VLOOKUP(tabPontoPed[[#This Row],[GRUPO]],tabGrupos[#Data],3,FALSE)</f>
        <v>ADM</v>
      </c>
      <c r="H920" s="41" t="s">
        <v>1339</v>
      </c>
      <c r="I920" s="9">
        <v>4</v>
      </c>
      <c r="J920" s="51">
        <v>0</v>
      </c>
      <c r="K920" s="7">
        <f>tabPontoPed[[#This Row],[QTDMÊS]] * tabPontoPed[[#This Row],[MENSAL]]</f>
        <v>0</v>
      </c>
      <c r="L920" s="13" t="s">
        <v>1012</v>
      </c>
      <c r="M920" s="44"/>
      <c r="N920" s="45" t="str">
        <f>_xlfn.IFNA(IF(VLOOKUP(tabPontoPed[[#This Row],[CÓDIGO]],Excluir_do_Estoque!$A$4:$A$4004,1,FALSE),"sim",""),"")</f>
        <v/>
      </c>
      <c r="O920" s="10" t="str">
        <f t="shared" si="14"/>
        <v>*</v>
      </c>
    </row>
    <row r="921" spans="1:15" x14ac:dyDescent="0.25">
      <c r="A921" s="2">
        <v>133191</v>
      </c>
      <c r="B921" s="4" t="s">
        <v>936</v>
      </c>
      <c r="C921" s="41" t="s">
        <v>1345</v>
      </c>
      <c r="D921" s="42">
        <v>72</v>
      </c>
      <c r="E921" s="43">
        <v>6</v>
      </c>
      <c r="F921" s="50" t="str">
        <f>VLOOKUP(tabPontoPed[[#This Row],[GRUPO]],tabGrupos[#Data],2,FALSE)</f>
        <v>MAQ.EQUIP.E MATERIAIS P/ HIGIEN.LIMP.POLIM.E LUBR.</v>
      </c>
      <c r="G921" s="42" t="str">
        <f>VLOOKUP(tabPontoPed[[#This Row],[GRUPO]],tabGrupos[#Data],3,FALSE)</f>
        <v>ADM</v>
      </c>
      <c r="H921" s="41" t="s">
        <v>1339</v>
      </c>
      <c r="I921" s="9">
        <v>4</v>
      </c>
      <c r="J921" s="51">
        <v>1453</v>
      </c>
      <c r="K921" s="7">
        <f>tabPontoPed[[#This Row],[QTDMÊS]] * tabPontoPed[[#This Row],[MENSAL]]</f>
        <v>5812</v>
      </c>
      <c r="L921" s="13" t="s">
        <v>1012</v>
      </c>
      <c r="M921" s="44"/>
      <c r="N921" s="45" t="str">
        <f>_xlfn.IFNA(IF(VLOOKUP(tabPontoPed[[#This Row],[CÓDIGO]],Excluir_do_Estoque!$A$4:$A$4004,1,FALSE),"sim",""),"")</f>
        <v/>
      </c>
      <c r="O921" s="10" t="str">
        <f t="shared" si="14"/>
        <v>*</v>
      </c>
    </row>
    <row r="922" spans="1:15" x14ac:dyDescent="0.25">
      <c r="A922" s="2">
        <v>133301</v>
      </c>
      <c r="B922" s="4" t="s">
        <v>641</v>
      </c>
      <c r="C922" s="41" t="s">
        <v>1345</v>
      </c>
      <c r="D922" s="42">
        <v>55</v>
      </c>
      <c r="E922" s="43">
        <v>27</v>
      </c>
      <c r="F922" s="50" t="str">
        <f>VLOOKUP(tabPontoPed[[#This Row],[GRUPO]],tabGrupos[#Data],2,FALSE)</f>
        <v>EQUIP. MAT. P/ GERACAO, TRANSM. DISTR. RETIF...</v>
      </c>
      <c r="G922" s="42" t="str">
        <f>VLOOKUP(tabPontoPed[[#This Row],[GRUPO]],tabGrupos[#Data],3,FALSE)</f>
        <v>MEL</v>
      </c>
      <c r="H922" s="41" t="s">
        <v>1339</v>
      </c>
      <c r="I922" s="9">
        <v>4</v>
      </c>
      <c r="J922" s="51">
        <v>583</v>
      </c>
      <c r="K922" s="7">
        <f>tabPontoPed[[#This Row],[QTDMÊS]] * tabPontoPed[[#This Row],[MENSAL]]</f>
        <v>2332</v>
      </c>
      <c r="L922" s="13" t="s">
        <v>1012</v>
      </c>
      <c r="M922" s="44"/>
      <c r="N922" s="45" t="str">
        <f>_xlfn.IFNA(IF(VLOOKUP(tabPontoPed[[#This Row],[CÓDIGO]],Excluir_do_Estoque!$A$4:$A$4004,1,FALSE),"sim",""),"")</f>
        <v/>
      </c>
      <c r="O922" s="10" t="str">
        <f t="shared" si="14"/>
        <v>*</v>
      </c>
    </row>
    <row r="923" spans="1:15" x14ac:dyDescent="0.25">
      <c r="A923" s="2">
        <v>133366</v>
      </c>
      <c r="B923" s="4" t="s">
        <v>858</v>
      </c>
      <c r="C923" s="41" t="s">
        <v>1345</v>
      </c>
      <c r="D923" s="42">
        <v>67</v>
      </c>
      <c r="E923" s="43">
        <v>9</v>
      </c>
      <c r="F923" s="50" t="str">
        <f>VLOOKUP(tabPontoPed[[#This Row],[GRUPO]],tabGrupos[#Data],2,FALSE)</f>
        <v>PARAFUSOS ELEM. VEDACAO UNIAO CONEX . FIXACAO</v>
      </c>
      <c r="G923" s="42" t="str">
        <f>VLOOKUP(tabPontoPed[[#This Row],[GRUPO]],tabGrupos[#Data],3,FALSE)</f>
        <v>MSE</v>
      </c>
      <c r="H923" s="41" t="s">
        <v>1339</v>
      </c>
      <c r="I923" s="9">
        <v>4</v>
      </c>
      <c r="J923" s="51">
        <v>283</v>
      </c>
      <c r="K923" s="7">
        <f>tabPontoPed[[#This Row],[QTDMÊS]] * tabPontoPed[[#This Row],[MENSAL]]</f>
        <v>1132</v>
      </c>
      <c r="L923" s="13" t="s">
        <v>1012</v>
      </c>
      <c r="M923" s="44"/>
      <c r="N923" s="45" t="str">
        <f>_xlfn.IFNA(IF(VLOOKUP(tabPontoPed[[#This Row],[CÓDIGO]],Excluir_do_Estoque!$A$4:$A$4004,1,FALSE),"sim",""),"")</f>
        <v/>
      </c>
      <c r="O923" s="10" t="str">
        <f t="shared" si="14"/>
        <v>*</v>
      </c>
    </row>
    <row r="924" spans="1:15" x14ac:dyDescent="0.25">
      <c r="A924" s="2">
        <v>133371</v>
      </c>
      <c r="B924" s="4" t="s">
        <v>918</v>
      </c>
      <c r="C924" s="41" t="s">
        <v>1345</v>
      </c>
      <c r="D924" s="42">
        <v>70</v>
      </c>
      <c r="E924" s="43">
        <v>33</v>
      </c>
      <c r="F924" s="50" t="str">
        <f>VLOOKUP(tabPontoPed[[#This Row],[GRUPO]],tabGrupos[#Data],2,FALSE)</f>
        <v>FERRAMENTAS MAQ.FERRAMENTAS,ELETR.PECAS E ACESSORI</v>
      </c>
      <c r="G924" s="42" t="str">
        <f>VLOOKUP(tabPontoPed[[#This Row],[GRUPO]],tabGrupos[#Data],3,FALSE)</f>
        <v>MAN</v>
      </c>
      <c r="H924" s="41" t="s">
        <v>1339</v>
      </c>
      <c r="I924" s="9">
        <v>4</v>
      </c>
      <c r="J924" s="51">
        <v>42</v>
      </c>
      <c r="K924" s="7">
        <f>tabPontoPed[[#This Row],[QTDMÊS]] * tabPontoPed[[#This Row],[MENSAL]]</f>
        <v>168</v>
      </c>
      <c r="L924" s="13" t="s">
        <v>1012</v>
      </c>
      <c r="M924" s="44"/>
      <c r="N924" s="45" t="str">
        <f>_xlfn.IFNA(IF(VLOOKUP(tabPontoPed[[#This Row],[CÓDIGO]],Excluir_do_Estoque!$A$4:$A$4004,1,FALSE),"sim",""),"")</f>
        <v/>
      </c>
      <c r="O924" s="10" t="str">
        <f t="shared" si="14"/>
        <v>*</v>
      </c>
    </row>
    <row r="925" spans="1:15" x14ac:dyDescent="0.25">
      <c r="A925" s="2">
        <v>133433</v>
      </c>
      <c r="B925" s="4" t="s">
        <v>550</v>
      </c>
      <c r="C925" s="41" t="s">
        <v>1345</v>
      </c>
      <c r="D925" s="42">
        <v>51</v>
      </c>
      <c r="E925" s="43">
        <v>30</v>
      </c>
      <c r="F925" s="50" t="str">
        <f>VLOOKUP(tabPontoPed[[#This Row],[GRUPO]],tabGrupos[#Data],2,FALSE)</f>
        <v>MAT.E EQUIP. P/ CONSTR.CIVIL E CONSERV. DE VIAS PUBL.</v>
      </c>
      <c r="G925" s="42" t="str">
        <f>VLOOKUP(tabPontoPed[[#This Row],[GRUPO]],tabGrupos[#Data],3,FALSE)</f>
        <v>MCO</v>
      </c>
      <c r="H925" s="41" t="s">
        <v>1339</v>
      </c>
      <c r="I925" s="9">
        <v>4</v>
      </c>
      <c r="J925" s="51">
        <v>1</v>
      </c>
      <c r="K925" s="7">
        <f>tabPontoPed[[#This Row],[QTDMÊS]] * tabPontoPed[[#This Row],[MENSAL]]</f>
        <v>4</v>
      </c>
      <c r="L925" s="13" t="s">
        <v>1012</v>
      </c>
      <c r="M925" s="44"/>
      <c r="N925" s="45" t="str">
        <f>_xlfn.IFNA(IF(VLOOKUP(tabPontoPed[[#This Row],[CÓDIGO]],Excluir_do_Estoque!$A$4:$A$4004,1,FALSE),"sim",""),"")</f>
        <v/>
      </c>
      <c r="O925" s="10" t="str">
        <f t="shared" si="14"/>
        <v>*</v>
      </c>
    </row>
    <row r="926" spans="1:15" x14ac:dyDescent="0.25">
      <c r="A926" s="2">
        <v>133450</v>
      </c>
      <c r="B926" s="4" t="s">
        <v>451</v>
      </c>
      <c r="C926" s="41" t="s">
        <v>1345</v>
      </c>
      <c r="D926" s="42">
        <v>45</v>
      </c>
      <c r="E926" s="43">
        <v>11</v>
      </c>
      <c r="F926" s="50" t="str">
        <f>VLOOKUP(tabPontoPed[[#This Row],[GRUPO]],tabGrupos[#Data],2,FALSE)</f>
        <v>MAQ., EQUIP., COMP., ACES., MAT. PARA ESCRIT.E ESCOLAR</v>
      </c>
      <c r="G926" s="42" t="str">
        <f>VLOOKUP(tabPontoPed[[#This Row],[GRUPO]],tabGrupos[#Data],3,FALSE)</f>
        <v>EDU</v>
      </c>
      <c r="H926" s="41" t="s">
        <v>1339</v>
      </c>
      <c r="I926" s="9">
        <v>4</v>
      </c>
      <c r="J926" s="51">
        <v>100</v>
      </c>
      <c r="K926" s="7">
        <f>tabPontoPed[[#This Row],[QTDMÊS]] * tabPontoPed[[#This Row],[MENSAL]]</f>
        <v>400</v>
      </c>
      <c r="L926" s="13" t="s">
        <v>1012</v>
      </c>
      <c r="M926" s="44"/>
      <c r="N926" s="45" t="str">
        <f>_xlfn.IFNA(IF(VLOOKUP(tabPontoPed[[#This Row],[CÓDIGO]],Excluir_do_Estoque!$A$4:$A$4004,1,FALSE),"sim",""),"")</f>
        <v/>
      </c>
      <c r="O926" s="10" t="str">
        <f t="shared" si="14"/>
        <v>*</v>
      </c>
    </row>
    <row r="927" spans="1:15" x14ac:dyDescent="0.25">
      <c r="A927" s="2">
        <v>133451</v>
      </c>
      <c r="B927" s="4" t="s">
        <v>452</v>
      </c>
      <c r="C927" s="41" t="s">
        <v>1345</v>
      </c>
      <c r="D927" s="42">
        <v>45</v>
      </c>
      <c r="E927" s="43">
        <v>11</v>
      </c>
      <c r="F927" s="50" t="str">
        <f>VLOOKUP(tabPontoPed[[#This Row],[GRUPO]],tabGrupos[#Data],2,FALSE)</f>
        <v>MAQ., EQUIP., COMP., ACES., MAT. PARA ESCRIT.E ESCOLAR</v>
      </c>
      <c r="G927" s="42" t="str">
        <f>VLOOKUP(tabPontoPed[[#This Row],[GRUPO]],tabGrupos[#Data],3,FALSE)</f>
        <v>EDU</v>
      </c>
      <c r="H927" s="41" t="s">
        <v>1339</v>
      </c>
      <c r="I927" s="9">
        <v>4</v>
      </c>
      <c r="J927" s="51">
        <v>126</v>
      </c>
      <c r="K927" s="7">
        <f>tabPontoPed[[#This Row],[QTDMÊS]] * tabPontoPed[[#This Row],[MENSAL]]</f>
        <v>504</v>
      </c>
      <c r="L927" s="13" t="s">
        <v>1012</v>
      </c>
      <c r="M927" s="44"/>
      <c r="N927" s="45" t="str">
        <f>_xlfn.IFNA(IF(VLOOKUP(tabPontoPed[[#This Row],[CÓDIGO]],Excluir_do_Estoque!$A$4:$A$4004,1,FALSE),"sim",""),"")</f>
        <v/>
      </c>
      <c r="O927" s="10" t="str">
        <f t="shared" si="14"/>
        <v>*</v>
      </c>
    </row>
    <row r="928" spans="1:15" x14ac:dyDescent="0.25">
      <c r="A928" s="2">
        <v>133452</v>
      </c>
      <c r="B928" s="4" t="s">
        <v>77</v>
      </c>
      <c r="C928" s="41" t="s">
        <v>1345</v>
      </c>
      <c r="D928" s="42">
        <v>57</v>
      </c>
      <c r="E928" s="43">
        <v>15</v>
      </c>
      <c r="F928" s="50" t="str">
        <f>VLOOKUP(tabPontoPed[[#This Row],[GRUPO]],tabGrupos[#Data],2,FALSE)</f>
        <v>MAQ. E EQUIP. P/ IND. GRAFICA COMP. ACESS. E PAPEI</v>
      </c>
      <c r="G928" s="42" t="str">
        <f>VLOOKUP(tabPontoPed[[#This Row],[GRUPO]],tabGrupos[#Data],3,FALSE)</f>
        <v>EDU</v>
      </c>
      <c r="H928" s="41" t="s">
        <v>1339</v>
      </c>
      <c r="I928" s="9">
        <v>4</v>
      </c>
      <c r="J928" s="51">
        <v>43</v>
      </c>
      <c r="K928" s="7">
        <f>tabPontoPed[[#This Row],[QTDMÊS]] * tabPontoPed[[#This Row],[MENSAL]]</f>
        <v>172</v>
      </c>
      <c r="L928" s="13" t="s">
        <v>1012</v>
      </c>
      <c r="M928" s="44"/>
      <c r="N928" s="45" t="str">
        <f>_xlfn.IFNA(IF(VLOOKUP(tabPontoPed[[#This Row],[CÓDIGO]],Excluir_do_Estoque!$A$4:$A$4004,1,FALSE),"sim",""),"")</f>
        <v/>
      </c>
      <c r="O928" s="10" t="str">
        <f t="shared" si="14"/>
        <v>*</v>
      </c>
    </row>
    <row r="929" spans="1:15" x14ac:dyDescent="0.25">
      <c r="A929" s="2">
        <v>133778</v>
      </c>
      <c r="B929" s="4" t="s">
        <v>418</v>
      </c>
      <c r="C929" s="41" t="s">
        <v>1345</v>
      </c>
      <c r="D929" s="42">
        <v>45</v>
      </c>
      <c r="E929" s="43">
        <v>9</v>
      </c>
      <c r="F929" s="50" t="str">
        <f>VLOOKUP(tabPontoPed[[#This Row],[GRUPO]],tabGrupos[#Data],2,FALSE)</f>
        <v>MAQ., EQUIP., COMP., ACES., MAT. PARA ESCRIT.E ESCOLAR</v>
      </c>
      <c r="G929" s="42" t="str">
        <f>VLOOKUP(tabPontoPed[[#This Row],[GRUPO]],tabGrupos[#Data],3,FALSE)</f>
        <v>EDU</v>
      </c>
      <c r="H929" s="41" t="s">
        <v>1339</v>
      </c>
      <c r="I929" s="9">
        <v>4</v>
      </c>
      <c r="J929" s="51">
        <v>869</v>
      </c>
      <c r="K929" s="7">
        <f>tabPontoPed[[#This Row],[QTDMÊS]] * tabPontoPed[[#This Row],[MENSAL]]</f>
        <v>3476</v>
      </c>
      <c r="L929" s="13" t="s">
        <v>1012</v>
      </c>
      <c r="M929" s="44"/>
      <c r="N929" s="45" t="str">
        <f>_xlfn.IFNA(IF(VLOOKUP(tabPontoPed[[#This Row],[CÓDIGO]],Excluir_do_Estoque!$A$4:$A$4004,1,FALSE),"sim",""),"")</f>
        <v/>
      </c>
      <c r="O929" s="10" t="str">
        <f t="shared" si="14"/>
        <v>*</v>
      </c>
    </row>
    <row r="930" spans="1:15" x14ac:dyDescent="0.25">
      <c r="A930" s="2">
        <v>133779</v>
      </c>
      <c r="B930" s="4" t="s">
        <v>453</v>
      </c>
      <c r="C930" s="41" t="s">
        <v>1345</v>
      </c>
      <c r="D930" s="42">
        <v>45</v>
      </c>
      <c r="E930" s="43">
        <v>11</v>
      </c>
      <c r="F930" s="50" t="str">
        <f>VLOOKUP(tabPontoPed[[#This Row],[GRUPO]],tabGrupos[#Data],2,FALSE)</f>
        <v>MAQ., EQUIP., COMP., ACES., MAT. PARA ESCRIT.E ESCOLAR</v>
      </c>
      <c r="G930" s="42" t="str">
        <f>VLOOKUP(tabPontoPed[[#This Row],[GRUPO]],tabGrupos[#Data],3,FALSE)</f>
        <v>EDU</v>
      </c>
      <c r="H930" s="41" t="s">
        <v>1339</v>
      </c>
      <c r="I930" s="9">
        <v>4</v>
      </c>
      <c r="J930" s="51">
        <v>484</v>
      </c>
      <c r="K930" s="7">
        <f>tabPontoPed[[#This Row],[QTDMÊS]] * tabPontoPed[[#This Row],[MENSAL]]</f>
        <v>1936</v>
      </c>
      <c r="L930" s="13" t="s">
        <v>1012</v>
      </c>
      <c r="M930" s="44"/>
      <c r="N930" s="45" t="str">
        <f>_xlfn.IFNA(IF(VLOOKUP(tabPontoPed[[#This Row],[CÓDIGO]],Excluir_do_Estoque!$A$4:$A$4004,1,FALSE),"sim",""),"")</f>
        <v/>
      </c>
      <c r="O930" s="10" t="str">
        <f t="shared" si="14"/>
        <v>*</v>
      </c>
    </row>
    <row r="931" spans="1:15" x14ac:dyDescent="0.25">
      <c r="A931" s="2">
        <v>133781</v>
      </c>
      <c r="B931" s="4" t="s">
        <v>454</v>
      </c>
      <c r="C931" s="41" t="s">
        <v>1345</v>
      </c>
      <c r="D931" s="42">
        <v>45</v>
      </c>
      <c r="E931" s="43">
        <v>11</v>
      </c>
      <c r="F931" s="50" t="str">
        <f>VLOOKUP(tabPontoPed[[#This Row],[GRUPO]],tabGrupos[#Data],2,FALSE)</f>
        <v>MAQ., EQUIP., COMP., ACES., MAT. PARA ESCRIT.E ESCOLAR</v>
      </c>
      <c r="G931" s="42" t="str">
        <f>VLOOKUP(tabPontoPed[[#This Row],[GRUPO]],tabGrupos[#Data],3,FALSE)</f>
        <v>EDU</v>
      </c>
      <c r="H931" s="41" t="s">
        <v>1339</v>
      </c>
      <c r="I931" s="9">
        <v>4</v>
      </c>
      <c r="J931" s="51">
        <v>3084</v>
      </c>
      <c r="K931" s="7">
        <f>tabPontoPed[[#This Row],[QTDMÊS]] * tabPontoPed[[#This Row],[MENSAL]]</f>
        <v>12336</v>
      </c>
      <c r="L931" s="13" t="s">
        <v>1012</v>
      </c>
      <c r="M931" s="44"/>
      <c r="N931" s="45" t="str">
        <f>_xlfn.IFNA(IF(VLOOKUP(tabPontoPed[[#This Row],[CÓDIGO]],Excluir_do_Estoque!$A$4:$A$4004,1,FALSE),"sim",""),"")</f>
        <v/>
      </c>
      <c r="O931" s="10" t="str">
        <f t="shared" si="14"/>
        <v>*</v>
      </c>
    </row>
    <row r="932" spans="1:15" x14ac:dyDescent="0.25">
      <c r="A932" s="2">
        <v>133782</v>
      </c>
      <c r="B932" s="4" t="s">
        <v>455</v>
      </c>
      <c r="C932" s="41" t="s">
        <v>1345</v>
      </c>
      <c r="D932" s="42">
        <v>45</v>
      </c>
      <c r="E932" s="43">
        <v>11</v>
      </c>
      <c r="F932" s="50" t="str">
        <f>VLOOKUP(tabPontoPed[[#This Row],[GRUPO]],tabGrupos[#Data],2,FALSE)</f>
        <v>MAQ., EQUIP., COMP., ACES., MAT. PARA ESCRIT.E ESCOLAR</v>
      </c>
      <c r="G932" s="42" t="str">
        <f>VLOOKUP(tabPontoPed[[#This Row],[GRUPO]],tabGrupos[#Data],3,FALSE)</f>
        <v>EDU</v>
      </c>
      <c r="H932" s="41" t="s">
        <v>1339</v>
      </c>
      <c r="I932" s="9">
        <v>4</v>
      </c>
      <c r="J932" s="51">
        <v>1</v>
      </c>
      <c r="K932" s="7">
        <f>tabPontoPed[[#This Row],[QTDMÊS]] * tabPontoPed[[#This Row],[MENSAL]]</f>
        <v>4</v>
      </c>
      <c r="L932" s="13" t="s">
        <v>1012</v>
      </c>
      <c r="M932" s="44"/>
      <c r="N932" s="45" t="str">
        <f>_xlfn.IFNA(IF(VLOOKUP(tabPontoPed[[#This Row],[CÓDIGO]],Excluir_do_Estoque!$A$4:$A$4004,1,FALSE),"sim",""),"")</f>
        <v/>
      </c>
      <c r="O932" s="10" t="str">
        <f t="shared" si="14"/>
        <v>*</v>
      </c>
    </row>
    <row r="933" spans="1:15" x14ac:dyDescent="0.25">
      <c r="A933" s="2">
        <v>133783</v>
      </c>
      <c r="B933" s="4" t="s">
        <v>456</v>
      </c>
      <c r="C933" s="41" t="s">
        <v>1345</v>
      </c>
      <c r="D933" s="42">
        <v>45</v>
      </c>
      <c r="E933" s="43">
        <v>11</v>
      </c>
      <c r="F933" s="50" t="str">
        <f>VLOOKUP(tabPontoPed[[#This Row],[GRUPO]],tabGrupos[#Data],2,FALSE)</f>
        <v>MAQ., EQUIP., COMP., ACES., MAT. PARA ESCRIT.E ESCOLAR</v>
      </c>
      <c r="G933" s="42" t="str">
        <f>VLOOKUP(tabPontoPed[[#This Row],[GRUPO]],tabGrupos[#Data],3,FALSE)</f>
        <v>EDU</v>
      </c>
      <c r="H933" s="41" t="s">
        <v>1339</v>
      </c>
      <c r="I933" s="9">
        <v>4</v>
      </c>
      <c r="J933" s="51">
        <v>425</v>
      </c>
      <c r="K933" s="7">
        <f>tabPontoPed[[#This Row],[QTDMÊS]] * tabPontoPed[[#This Row],[MENSAL]]</f>
        <v>1700</v>
      </c>
      <c r="L933" s="13" t="s">
        <v>1012</v>
      </c>
      <c r="M933" s="44"/>
      <c r="N933" s="45" t="str">
        <f>_xlfn.IFNA(IF(VLOOKUP(tabPontoPed[[#This Row],[CÓDIGO]],Excluir_do_Estoque!$A$4:$A$4004,1,FALSE),"sim",""),"")</f>
        <v/>
      </c>
      <c r="O933" s="10" t="str">
        <f t="shared" si="14"/>
        <v>*</v>
      </c>
    </row>
    <row r="934" spans="1:15" x14ac:dyDescent="0.25">
      <c r="A934" s="2">
        <v>133788</v>
      </c>
      <c r="B934" s="4" t="s">
        <v>475</v>
      </c>
      <c r="C934" s="41" t="s">
        <v>1345</v>
      </c>
      <c r="D934" s="42">
        <v>45</v>
      </c>
      <c r="E934" s="43">
        <v>16</v>
      </c>
      <c r="F934" s="50" t="str">
        <f>VLOOKUP(tabPontoPed[[#This Row],[GRUPO]],tabGrupos[#Data],2,FALSE)</f>
        <v>MAQ., EQUIP., COMP., ACES., MAT. PARA ESCRIT.E ESCOLAR</v>
      </c>
      <c r="G934" s="42" t="str">
        <f>VLOOKUP(tabPontoPed[[#This Row],[GRUPO]],tabGrupos[#Data],3,FALSE)</f>
        <v>EDU</v>
      </c>
      <c r="H934" s="41" t="s">
        <v>1339</v>
      </c>
      <c r="I934" s="9">
        <v>4</v>
      </c>
      <c r="J934" s="51">
        <v>22</v>
      </c>
      <c r="K934" s="7">
        <f>tabPontoPed[[#This Row],[QTDMÊS]] * tabPontoPed[[#This Row],[MENSAL]]</f>
        <v>88</v>
      </c>
      <c r="L934" s="13" t="s">
        <v>1012</v>
      </c>
      <c r="M934" s="44"/>
      <c r="N934" s="45" t="str">
        <f>_xlfn.IFNA(IF(VLOOKUP(tabPontoPed[[#This Row],[CÓDIGO]],Excluir_do_Estoque!$A$4:$A$4004,1,FALSE),"sim",""),"")</f>
        <v/>
      </c>
      <c r="O934" s="10" t="str">
        <f t="shared" si="14"/>
        <v>*</v>
      </c>
    </row>
    <row r="935" spans="1:15" x14ac:dyDescent="0.25">
      <c r="A935" s="2">
        <v>133790</v>
      </c>
      <c r="B935" s="4" t="s">
        <v>476</v>
      </c>
      <c r="C935" s="41" t="s">
        <v>1345</v>
      </c>
      <c r="D935" s="42">
        <v>45</v>
      </c>
      <c r="E935" s="43">
        <v>16</v>
      </c>
      <c r="F935" s="50" t="str">
        <f>VLOOKUP(tabPontoPed[[#This Row],[GRUPO]],tabGrupos[#Data],2,FALSE)</f>
        <v>MAQ., EQUIP., COMP., ACES., MAT. PARA ESCRIT.E ESCOLAR</v>
      </c>
      <c r="G935" s="42" t="str">
        <f>VLOOKUP(tabPontoPed[[#This Row],[GRUPO]],tabGrupos[#Data],3,FALSE)</f>
        <v>EDU</v>
      </c>
      <c r="H935" s="41" t="s">
        <v>1339</v>
      </c>
      <c r="I935" s="9">
        <v>4</v>
      </c>
      <c r="J935" s="51">
        <v>22</v>
      </c>
      <c r="K935" s="7">
        <f>tabPontoPed[[#This Row],[QTDMÊS]] * tabPontoPed[[#This Row],[MENSAL]]</f>
        <v>88</v>
      </c>
      <c r="L935" s="13" t="s">
        <v>1012</v>
      </c>
      <c r="M935" s="44"/>
      <c r="N935" s="45" t="str">
        <f>_xlfn.IFNA(IF(VLOOKUP(tabPontoPed[[#This Row],[CÓDIGO]],Excluir_do_Estoque!$A$4:$A$4004,1,FALSE),"sim",""),"")</f>
        <v/>
      </c>
      <c r="O935" s="10" t="str">
        <f t="shared" si="14"/>
        <v>*</v>
      </c>
    </row>
    <row r="936" spans="1:15" x14ac:dyDescent="0.25">
      <c r="A936" s="2">
        <v>133791</v>
      </c>
      <c r="B936" s="4" t="s">
        <v>477</v>
      </c>
      <c r="C936" s="41" t="s">
        <v>1345</v>
      </c>
      <c r="D936" s="42">
        <v>45</v>
      </c>
      <c r="E936" s="43">
        <v>16</v>
      </c>
      <c r="F936" s="50" t="str">
        <f>VLOOKUP(tabPontoPed[[#This Row],[GRUPO]],tabGrupos[#Data],2,FALSE)</f>
        <v>MAQ., EQUIP., COMP., ACES., MAT. PARA ESCRIT.E ESCOLAR</v>
      </c>
      <c r="G936" s="42" t="str">
        <f>VLOOKUP(tabPontoPed[[#This Row],[GRUPO]],tabGrupos[#Data],3,FALSE)</f>
        <v>EDU</v>
      </c>
      <c r="H936" s="41" t="s">
        <v>1339</v>
      </c>
      <c r="I936" s="9">
        <v>4</v>
      </c>
      <c r="J936" s="51">
        <v>27</v>
      </c>
      <c r="K936" s="7">
        <f>tabPontoPed[[#This Row],[QTDMÊS]] * tabPontoPed[[#This Row],[MENSAL]]</f>
        <v>108</v>
      </c>
      <c r="L936" s="13" t="s">
        <v>1012</v>
      </c>
      <c r="M936" s="44"/>
      <c r="N936" s="45" t="str">
        <f>_xlfn.IFNA(IF(VLOOKUP(tabPontoPed[[#This Row],[CÓDIGO]],Excluir_do_Estoque!$A$4:$A$4004,1,FALSE),"sim",""),"")</f>
        <v/>
      </c>
      <c r="O936" s="10" t="str">
        <f t="shared" si="14"/>
        <v>*</v>
      </c>
    </row>
    <row r="937" spans="1:15" x14ac:dyDescent="0.25">
      <c r="A937" s="2">
        <v>133793</v>
      </c>
      <c r="B937" s="4" t="s">
        <v>419</v>
      </c>
      <c r="C937" s="41" t="s">
        <v>1345</v>
      </c>
      <c r="D937" s="42">
        <v>45</v>
      </c>
      <c r="E937" s="43">
        <v>9</v>
      </c>
      <c r="F937" s="50" t="str">
        <f>VLOOKUP(tabPontoPed[[#This Row],[GRUPO]],tabGrupos[#Data],2,FALSE)</f>
        <v>MAQ., EQUIP., COMP., ACES., MAT. PARA ESCRIT.E ESCOLAR</v>
      </c>
      <c r="G937" s="42" t="str">
        <f>VLOOKUP(tabPontoPed[[#This Row],[GRUPO]],tabGrupos[#Data],3,FALSE)</f>
        <v>EDU</v>
      </c>
      <c r="H937" s="41" t="s">
        <v>1339</v>
      </c>
      <c r="I937" s="9">
        <v>4</v>
      </c>
      <c r="J937" s="51">
        <v>319</v>
      </c>
      <c r="K937" s="7">
        <f>tabPontoPed[[#This Row],[QTDMÊS]] * tabPontoPed[[#This Row],[MENSAL]]</f>
        <v>1276</v>
      </c>
      <c r="L937" s="13" t="s">
        <v>1012</v>
      </c>
      <c r="M937" s="44"/>
      <c r="N937" s="45" t="str">
        <f>_xlfn.IFNA(IF(VLOOKUP(tabPontoPed[[#This Row],[CÓDIGO]],Excluir_do_Estoque!$A$4:$A$4004,1,FALSE),"sim",""),"")</f>
        <v/>
      </c>
      <c r="O937" s="10" t="str">
        <f t="shared" si="14"/>
        <v>*</v>
      </c>
    </row>
    <row r="938" spans="1:15" x14ac:dyDescent="0.25">
      <c r="A938" s="2">
        <v>133812</v>
      </c>
      <c r="B938" s="4" t="s">
        <v>374</v>
      </c>
      <c r="C938" s="41" t="s">
        <v>1345</v>
      </c>
      <c r="D938" s="42">
        <v>55</v>
      </c>
      <c r="E938" s="43">
        <v>55</v>
      </c>
      <c r="F938" s="50" t="str">
        <f>VLOOKUP(tabPontoPed[[#This Row],[GRUPO]],tabGrupos[#Data],2,FALSE)</f>
        <v>EQUIP. MAT. P/ GERACAO, TRANSM. DISTR. RETIF...</v>
      </c>
      <c r="G938" s="42" t="str">
        <f>VLOOKUP(tabPontoPed[[#This Row],[GRUPO]],tabGrupos[#Data],3,FALSE)</f>
        <v>MEL</v>
      </c>
      <c r="H938" s="41" t="s">
        <v>1339</v>
      </c>
      <c r="I938" s="9">
        <v>4</v>
      </c>
      <c r="J938" s="51">
        <v>15</v>
      </c>
      <c r="K938" s="7">
        <f>tabPontoPed[[#This Row],[QTDMÊS]] * tabPontoPed[[#This Row],[MENSAL]]</f>
        <v>60</v>
      </c>
      <c r="L938" s="13" t="s">
        <v>1012</v>
      </c>
      <c r="M938" s="44"/>
      <c r="N938" s="45" t="str">
        <f>_xlfn.IFNA(IF(VLOOKUP(tabPontoPed[[#This Row],[CÓDIGO]],Excluir_do_Estoque!$A$4:$A$4004,1,FALSE),"sim",""),"")</f>
        <v/>
      </c>
      <c r="O938" s="10" t="str">
        <f t="shared" si="14"/>
        <v>*</v>
      </c>
    </row>
    <row r="939" spans="1:15" x14ac:dyDescent="0.25">
      <c r="A939" s="2">
        <v>133813</v>
      </c>
      <c r="B939" s="4" t="s">
        <v>694</v>
      </c>
      <c r="C939" s="41" t="s">
        <v>1345</v>
      </c>
      <c r="D939" s="42">
        <v>55</v>
      </c>
      <c r="E939" s="43">
        <v>55</v>
      </c>
      <c r="F939" s="50" t="str">
        <f>VLOOKUP(tabPontoPed[[#This Row],[GRUPO]],tabGrupos[#Data],2,FALSE)</f>
        <v>EQUIP. MAT. P/ GERACAO, TRANSM. DISTR. RETIF...</v>
      </c>
      <c r="G939" s="42" t="str">
        <f>VLOOKUP(tabPontoPed[[#This Row],[GRUPO]],tabGrupos[#Data],3,FALSE)</f>
        <v>MEL</v>
      </c>
      <c r="H939" s="41" t="s">
        <v>1339</v>
      </c>
      <c r="I939" s="9">
        <v>4</v>
      </c>
      <c r="J939" s="51">
        <v>2</v>
      </c>
      <c r="K939" s="7">
        <f>tabPontoPed[[#This Row],[QTDMÊS]] * tabPontoPed[[#This Row],[MENSAL]]</f>
        <v>8</v>
      </c>
      <c r="L939" s="13" t="s">
        <v>1012</v>
      </c>
      <c r="M939" s="44"/>
      <c r="N939" s="45" t="str">
        <f>_xlfn.IFNA(IF(VLOOKUP(tabPontoPed[[#This Row],[CÓDIGO]],Excluir_do_Estoque!$A$4:$A$4004,1,FALSE),"sim",""),"")</f>
        <v/>
      </c>
      <c r="O939" s="10" t="str">
        <f t="shared" si="14"/>
        <v>*</v>
      </c>
    </row>
    <row r="940" spans="1:15" x14ac:dyDescent="0.25">
      <c r="A940" s="2">
        <v>133819</v>
      </c>
      <c r="B940" s="4" t="s">
        <v>311</v>
      </c>
      <c r="C940" s="41" t="s">
        <v>1345</v>
      </c>
      <c r="D940" s="42">
        <v>61</v>
      </c>
      <c r="E940" s="43">
        <v>11</v>
      </c>
      <c r="F940" s="50" t="str">
        <f>VLOOKUP(tabPontoPed[[#This Row],[GRUPO]],tabGrupos[#Data],2,FALSE)</f>
        <v>MATERIAL HIDRAULICO, CANOS, TUBOS, MANGUEIRAS, CONEXOES E ACESS.</v>
      </c>
      <c r="G940" s="42" t="str">
        <f>VLOOKUP(tabPontoPed[[#This Row],[GRUPO]],tabGrupos[#Data],3,FALSE)</f>
        <v>MHI</v>
      </c>
      <c r="H940" s="41" t="s">
        <v>1339</v>
      </c>
      <c r="I940" s="9">
        <v>4</v>
      </c>
      <c r="J940" s="51">
        <v>22</v>
      </c>
      <c r="K940" s="7">
        <f>tabPontoPed[[#This Row],[QTDMÊS]] * tabPontoPed[[#This Row],[MENSAL]]</f>
        <v>88</v>
      </c>
      <c r="L940" s="13" t="s">
        <v>1012</v>
      </c>
      <c r="M940" s="44"/>
      <c r="N940" s="45" t="str">
        <f>_xlfn.IFNA(IF(VLOOKUP(tabPontoPed[[#This Row],[CÓDIGO]],Excluir_do_Estoque!$A$4:$A$4004,1,FALSE),"sim",""),"")</f>
        <v/>
      </c>
      <c r="O940" s="10" t="str">
        <f t="shared" si="14"/>
        <v>*</v>
      </c>
    </row>
    <row r="941" spans="1:15" x14ac:dyDescent="0.25">
      <c r="A941" s="2">
        <v>133843</v>
      </c>
      <c r="B941" s="4" t="s">
        <v>78</v>
      </c>
      <c r="C941" s="41" t="s">
        <v>1345</v>
      </c>
      <c r="D941" s="42">
        <v>57</v>
      </c>
      <c r="E941" s="43">
        <v>16</v>
      </c>
      <c r="F941" s="50" t="str">
        <f>VLOOKUP(tabPontoPed[[#This Row],[GRUPO]],tabGrupos[#Data],2,FALSE)</f>
        <v>MAQ. E EQUIP. P/ IND. GRAFICA COMP. ACESS. E PAPEI</v>
      </c>
      <c r="G941" s="42" t="str">
        <f>VLOOKUP(tabPontoPed[[#This Row],[GRUPO]],tabGrupos[#Data],3,FALSE)</f>
        <v>EDU</v>
      </c>
      <c r="H941" s="41" t="s">
        <v>1339</v>
      </c>
      <c r="I941" s="9">
        <v>4</v>
      </c>
      <c r="J941" s="51">
        <v>1086</v>
      </c>
      <c r="K941" s="7">
        <f>tabPontoPed[[#This Row],[QTDMÊS]] * tabPontoPed[[#This Row],[MENSAL]]</f>
        <v>4344</v>
      </c>
      <c r="L941" s="13" t="s">
        <v>1012</v>
      </c>
      <c r="M941" s="44"/>
      <c r="N941" s="45" t="str">
        <f>_xlfn.IFNA(IF(VLOOKUP(tabPontoPed[[#This Row],[CÓDIGO]],Excluir_do_Estoque!$A$4:$A$4004,1,FALSE),"sim",""),"")</f>
        <v/>
      </c>
      <c r="O941" s="10" t="str">
        <f t="shared" si="14"/>
        <v>*</v>
      </c>
    </row>
    <row r="942" spans="1:15" x14ac:dyDescent="0.25">
      <c r="A942" s="2">
        <v>133844</v>
      </c>
      <c r="B942" s="4" t="s">
        <v>94</v>
      </c>
      <c r="C942" s="41" t="s">
        <v>1345</v>
      </c>
      <c r="D942" s="42">
        <v>57</v>
      </c>
      <c r="E942" s="43">
        <v>16</v>
      </c>
      <c r="F942" s="50" t="str">
        <f>VLOOKUP(tabPontoPed[[#This Row],[GRUPO]],tabGrupos[#Data],2,FALSE)</f>
        <v>MAQ. E EQUIP. P/ IND. GRAFICA COMP. ACESS. E PAPEI</v>
      </c>
      <c r="G942" s="42" t="str">
        <f>VLOOKUP(tabPontoPed[[#This Row],[GRUPO]],tabGrupos[#Data],3,FALSE)</f>
        <v>EDU</v>
      </c>
      <c r="H942" s="41" t="s">
        <v>1339</v>
      </c>
      <c r="I942" s="9">
        <v>4</v>
      </c>
      <c r="J942" s="51">
        <v>1083</v>
      </c>
      <c r="K942" s="7">
        <f>tabPontoPed[[#This Row],[QTDMÊS]] * tabPontoPed[[#This Row],[MENSAL]]</f>
        <v>4332</v>
      </c>
      <c r="L942" s="13" t="s">
        <v>1012</v>
      </c>
      <c r="M942" s="44"/>
      <c r="N942" s="45" t="str">
        <f>_xlfn.IFNA(IF(VLOOKUP(tabPontoPed[[#This Row],[CÓDIGO]],Excluir_do_Estoque!$A$4:$A$4004,1,FALSE),"sim",""),"")</f>
        <v/>
      </c>
      <c r="O942" s="10" t="str">
        <f t="shared" si="14"/>
        <v>*</v>
      </c>
    </row>
    <row r="943" spans="1:15" x14ac:dyDescent="0.25">
      <c r="A943" s="2">
        <v>133845</v>
      </c>
      <c r="B943" s="4" t="s">
        <v>79</v>
      </c>
      <c r="C943" s="41" t="s">
        <v>1345</v>
      </c>
      <c r="D943" s="42">
        <v>57</v>
      </c>
      <c r="E943" s="43">
        <v>16</v>
      </c>
      <c r="F943" s="50" t="str">
        <f>VLOOKUP(tabPontoPed[[#This Row],[GRUPO]],tabGrupos[#Data],2,FALSE)</f>
        <v>MAQ. E EQUIP. P/ IND. GRAFICA COMP. ACESS. E PAPEI</v>
      </c>
      <c r="G943" s="42" t="str">
        <f>VLOOKUP(tabPontoPed[[#This Row],[GRUPO]],tabGrupos[#Data],3,FALSE)</f>
        <v>EDU</v>
      </c>
      <c r="H943" s="41" t="s">
        <v>1339</v>
      </c>
      <c r="I943" s="9">
        <v>4</v>
      </c>
      <c r="J943" s="51">
        <v>1048</v>
      </c>
      <c r="K943" s="7">
        <f>tabPontoPed[[#This Row],[QTDMÊS]] * tabPontoPed[[#This Row],[MENSAL]]</f>
        <v>4192</v>
      </c>
      <c r="L943" s="13" t="s">
        <v>1012</v>
      </c>
      <c r="M943" s="44"/>
      <c r="N943" s="45" t="str">
        <f>_xlfn.IFNA(IF(VLOOKUP(tabPontoPed[[#This Row],[CÓDIGO]],Excluir_do_Estoque!$A$4:$A$4004,1,FALSE),"sim",""),"")</f>
        <v/>
      </c>
      <c r="O943" s="10" t="str">
        <f t="shared" si="14"/>
        <v>*</v>
      </c>
    </row>
    <row r="944" spans="1:15" x14ac:dyDescent="0.25">
      <c r="A944" s="2">
        <v>133846</v>
      </c>
      <c r="B944" s="4" t="s">
        <v>80</v>
      </c>
      <c r="C944" s="41" t="s">
        <v>1345</v>
      </c>
      <c r="D944" s="42">
        <v>57</v>
      </c>
      <c r="E944" s="43">
        <v>16</v>
      </c>
      <c r="F944" s="50" t="str">
        <f>VLOOKUP(tabPontoPed[[#This Row],[GRUPO]],tabGrupos[#Data],2,FALSE)</f>
        <v>MAQ. E EQUIP. P/ IND. GRAFICA COMP. ACESS. E PAPEI</v>
      </c>
      <c r="G944" s="42" t="str">
        <f>VLOOKUP(tabPontoPed[[#This Row],[GRUPO]],tabGrupos[#Data],3,FALSE)</f>
        <v>EDU</v>
      </c>
      <c r="H944" s="41" t="s">
        <v>1339</v>
      </c>
      <c r="I944" s="9">
        <v>4</v>
      </c>
      <c r="J944" s="51">
        <v>989</v>
      </c>
      <c r="K944" s="7">
        <f>tabPontoPed[[#This Row],[QTDMÊS]] * tabPontoPed[[#This Row],[MENSAL]]</f>
        <v>3956</v>
      </c>
      <c r="L944" s="13" t="s">
        <v>1012</v>
      </c>
      <c r="M944" s="44"/>
      <c r="N944" s="45" t="str">
        <f>_xlfn.IFNA(IF(VLOOKUP(tabPontoPed[[#This Row],[CÓDIGO]],Excluir_do_Estoque!$A$4:$A$4004,1,FALSE),"sim",""),"")</f>
        <v/>
      </c>
      <c r="O944" s="10" t="str">
        <f t="shared" si="14"/>
        <v>*</v>
      </c>
    </row>
    <row r="945" spans="1:15" x14ac:dyDescent="0.25">
      <c r="A945" s="2">
        <v>133847</v>
      </c>
      <c r="B945" s="4" t="s">
        <v>81</v>
      </c>
      <c r="C945" s="41" t="s">
        <v>1345</v>
      </c>
      <c r="D945" s="42">
        <v>57</v>
      </c>
      <c r="E945" s="43">
        <v>16</v>
      </c>
      <c r="F945" s="50" t="str">
        <f>VLOOKUP(tabPontoPed[[#This Row],[GRUPO]],tabGrupos[#Data],2,FALSE)</f>
        <v>MAQ. E EQUIP. P/ IND. GRAFICA COMP. ACESS. E PAPEI</v>
      </c>
      <c r="G945" s="42" t="str">
        <f>VLOOKUP(tabPontoPed[[#This Row],[GRUPO]],tabGrupos[#Data],3,FALSE)</f>
        <v>EDU</v>
      </c>
      <c r="H945" s="41" t="s">
        <v>1339</v>
      </c>
      <c r="I945" s="9">
        <v>4</v>
      </c>
      <c r="J945" s="51">
        <v>1082</v>
      </c>
      <c r="K945" s="7">
        <f>tabPontoPed[[#This Row],[QTDMÊS]] * tabPontoPed[[#This Row],[MENSAL]]</f>
        <v>4328</v>
      </c>
      <c r="L945" s="13" t="s">
        <v>1012</v>
      </c>
      <c r="M945" s="44"/>
      <c r="N945" s="45" t="str">
        <f>_xlfn.IFNA(IF(VLOOKUP(tabPontoPed[[#This Row],[CÓDIGO]],Excluir_do_Estoque!$A$4:$A$4004,1,FALSE),"sim",""),"")</f>
        <v/>
      </c>
      <c r="O945" s="10" t="str">
        <f t="shared" si="14"/>
        <v>*</v>
      </c>
    </row>
    <row r="946" spans="1:15" x14ac:dyDescent="0.25">
      <c r="A946" s="2">
        <v>133848</v>
      </c>
      <c r="B946" s="4" t="s">
        <v>82</v>
      </c>
      <c r="C946" s="41" t="s">
        <v>1345</v>
      </c>
      <c r="D946" s="42">
        <v>57</v>
      </c>
      <c r="E946" s="43">
        <v>16</v>
      </c>
      <c r="F946" s="50" t="str">
        <f>VLOOKUP(tabPontoPed[[#This Row],[GRUPO]],tabGrupos[#Data],2,FALSE)</f>
        <v>MAQ. E EQUIP. P/ IND. GRAFICA COMP. ACESS. E PAPEI</v>
      </c>
      <c r="G946" s="42" t="str">
        <f>VLOOKUP(tabPontoPed[[#This Row],[GRUPO]],tabGrupos[#Data],3,FALSE)</f>
        <v>EDU</v>
      </c>
      <c r="H946" s="41" t="s">
        <v>1339</v>
      </c>
      <c r="I946" s="9">
        <v>4</v>
      </c>
      <c r="J946" s="51">
        <v>1001</v>
      </c>
      <c r="K946" s="7">
        <f>tabPontoPed[[#This Row],[QTDMÊS]] * tabPontoPed[[#This Row],[MENSAL]]</f>
        <v>4004</v>
      </c>
      <c r="L946" s="13" t="s">
        <v>1012</v>
      </c>
      <c r="M946" s="44"/>
      <c r="N946" s="45" t="str">
        <f>_xlfn.IFNA(IF(VLOOKUP(tabPontoPed[[#This Row],[CÓDIGO]],Excluir_do_Estoque!$A$4:$A$4004,1,FALSE),"sim",""),"")</f>
        <v/>
      </c>
      <c r="O946" s="10" t="str">
        <f t="shared" si="14"/>
        <v>*</v>
      </c>
    </row>
    <row r="947" spans="1:15" x14ac:dyDescent="0.25">
      <c r="A947" s="2">
        <v>133849</v>
      </c>
      <c r="B947" s="4" t="s">
        <v>95</v>
      </c>
      <c r="C947" s="41" t="s">
        <v>1345</v>
      </c>
      <c r="D947" s="42">
        <v>57</v>
      </c>
      <c r="E947" s="43">
        <v>16</v>
      </c>
      <c r="F947" s="50" t="str">
        <f>VLOOKUP(tabPontoPed[[#This Row],[GRUPO]],tabGrupos[#Data],2,FALSE)</f>
        <v>MAQ. E EQUIP. P/ IND. GRAFICA COMP. ACESS. E PAPEI</v>
      </c>
      <c r="G947" s="42" t="str">
        <f>VLOOKUP(tabPontoPed[[#This Row],[GRUPO]],tabGrupos[#Data],3,FALSE)</f>
        <v>EDU</v>
      </c>
      <c r="H947" s="41" t="s">
        <v>1339</v>
      </c>
      <c r="I947" s="9">
        <v>4</v>
      </c>
      <c r="J947" s="51">
        <v>1061</v>
      </c>
      <c r="K947" s="7">
        <f>tabPontoPed[[#This Row],[QTDMÊS]] * tabPontoPed[[#This Row],[MENSAL]]</f>
        <v>4244</v>
      </c>
      <c r="L947" s="13" t="s">
        <v>1012</v>
      </c>
      <c r="M947" s="44"/>
      <c r="N947" s="45" t="str">
        <f>_xlfn.IFNA(IF(VLOOKUP(tabPontoPed[[#This Row],[CÓDIGO]],Excluir_do_Estoque!$A$4:$A$4004,1,FALSE),"sim",""),"")</f>
        <v/>
      </c>
      <c r="O947" s="10" t="str">
        <f t="shared" si="14"/>
        <v>*</v>
      </c>
    </row>
    <row r="948" spans="1:15" x14ac:dyDescent="0.25">
      <c r="A948" s="2">
        <v>133850</v>
      </c>
      <c r="B948" s="4" t="s">
        <v>83</v>
      </c>
      <c r="C948" s="41" t="s">
        <v>1345</v>
      </c>
      <c r="D948" s="42">
        <v>57</v>
      </c>
      <c r="E948" s="43">
        <v>16</v>
      </c>
      <c r="F948" s="50" t="str">
        <f>VLOOKUP(tabPontoPed[[#This Row],[GRUPO]],tabGrupos[#Data],2,FALSE)</f>
        <v>MAQ. E EQUIP. P/ IND. GRAFICA COMP. ACESS. E PAPEI</v>
      </c>
      <c r="G948" s="42" t="str">
        <f>VLOOKUP(tabPontoPed[[#This Row],[GRUPO]],tabGrupos[#Data],3,FALSE)</f>
        <v>EDU</v>
      </c>
      <c r="H948" s="41" t="s">
        <v>1339</v>
      </c>
      <c r="I948" s="9">
        <v>4</v>
      </c>
      <c r="J948" s="51">
        <v>1068</v>
      </c>
      <c r="K948" s="7">
        <f>tabPontoPed[[#This Row],[QTDMÊS]] * tabPontoPed[[#This Row],[MENSAL]]</f>
        <v>4272</v>
      </c>
      <c r="L948" s="13" t="s">
        <v>1012</v>
      </c>
      <c r="M948" s="44"/>
      <c r="N948" s="45" t="str">
        <f>_xlfn.IFNA(IF(VLOOKUP(tabPontoPed[[#This Row],[CÓDIGO]],Excluir_do_Estoque!$A$4:$A$4004,1,FALSE),"sim",""),"")</f>
        <v/>
      </c>
      <c r="O948" s="10" t="str">
        <f t="shared" si="14"/>
        <v>*</v>
      </c>
    </row>
    <row r="949" spans="1:15" x14ac:dyDescent="0.25">
      <c r="A949" s="2">
        <v>133851</v>
      </c>
      <c r="B949" s="4" t="s">
        <v>68</v>
      </c>
      <c r="C949" s="41" t="s">
        <v>1345</v>
      </c>
      <c r="D949" s="42">
        <v>57</v>
      </c>
      <c r="E949" s="43">
        <v>2</v>
      </c>
      <c r="F949" s="50" t="str">
        <f>VLOOKUP(tabPontoPed[[#This Row],[GRUPO]],tabGrupos[#Data],2,FALSE)</f>
        <v>MAQ. E EQUIP. P/ IND. GRAFICA COMP. ACESS. E PAPEI</v>
      </c>
      <c r="G949" s="42" t="str">
        <f>VLOOKUP(tabPontoPed[[#This Row],[GRUPO]],tabGrupos[#Data],3,FALSE)</f>
        <v>EDU</v>
      </c>
      <c r="H949" s="41" t="s">
        <v>1339</v>
      </c>
      <c r="I949" s="9">
        <v>4</v>
      </c>
      <c r="J949" s="51">
        <v>62</v>
      </c>
      <c r="K949" s="7">
        <f>tabPontoPed[[#This Row],[QTDMÊS]] * tabPontoPed[[#This Row],[MENSAL]]</f>
        <v>248</v>
      </c>
      <c r="L949" s="13" t="s">
        <v>1012</v>
      </c>
      <c r="M949" s="44"/>
      <c r="N949" s="45" t="str">
        <f>_xlfn.IFNA(IF(VLOOKUP(tabPontoPed[[#This Row],[CÓDIGO]],Excluir_do_Estoque!$A$4:$A$4004,1,FALSE),"sim",""),"")</f>
        <v/>
      </c>
      <c r="O949" s="10" t="str">
        <f t="shared" si="14"/>
        <v>*</v>
      </c>
    </row>
    <row r="950" spans="1:15" x14ac:dyDescent="0.25">
      <c r="A950" s="2">
        <v>133950</v>
      </c>
      <c r="B950" s="4" t="s">
        <v>457</v>
      </c>
      <c r="C950" s="41" t="s">
        <v>1345</v>
      </c>
      <c r="D950" s="42">
        <v>45</v>
      </c>
      <c r="E950" s="43">
        <v>11</v>
      </c>
      <c r="F950" s="50" t="str">
        <f>VLOOKUP(tabPontoPed[[#This Row],[GRUPO]],tabGrupos[#Data],2,FALSE)</f>
        <v>MAQ., EQUIP., COMP., ACES., MAT. PARA ESCRIT.E ESCOLAR</v>
      </c>
      <c r="G950" s="42" t="str">
        <f>VLOOKUP(tabPontoPed[[#This Row],[GRUPO]],tabGrupos[#Data],3,FALSE)</f>
        <v>EDU</v>
      </c>
      <c r="H950" s="41" t="s">
        <v>1339</v>
      </c>
      <c r="I950" s="9">
        <v>4</v>
      </c>
      <c r="J950" s="51">
        <v>311</v>
      </c>
      <c r="K950" s="7">
        <f>tabPontoPed[[#This Row],[QTDMÊS]] * tabPontoPed[[#This Row],[MENSAL]]</f>
        <v>1244</v>
      </c>
      <c r="L950" s="13" t="s">
        <v>1012</v>
      </c>
      <c r="M950" s="44"/>
      <c r="N950" s="45" t="str">
        <f>_xlfn.IFNA(IF(VLOOKUP(tabPontoPed[[#This Row],[CÓDIGO]],Excluir_do_Estoque!$A$4:$A$4004,1,FALSE),"sim",""),"")</f>
        <v/>
      </c>
      <c r="O950" s="10" t="str">
        <f t="shared" si="14"/>
        <v>*</v>
      </c>
    </row>
    <row r="951" spans="1:15" x14ac:dyDescent="0.25">
      <c r="A951" s="2">
        <v>133953</v>
      </c>
      <c r="B951" s="4" t="s">
        <v>420</v>
      </c>
      <c r="C951" s="41" t="s">
        <v>1345</v>
      </c>
      <c r="D951" s="42">
        <v>45</v>
      </c>
      <c r="E951" s="43">
        <v>9</v>
      </c>
      <c r="F951" s="50" t="str">
        <f>VLOOKUP(tabPontoPed[[#This Row],[GRUPO]],tabGrupos[#Data],2,FALSE)</f>
        <v>MAQ., EQUIP., COMP., ACES., MAT. PARA ESCRIT.E ESCOLAR</v>
      </c>
      <c r="G951" s="42" t="str">
        <f>VLOOKUP(tabPontoPed[[#This Row],[GRUPO]],tabGrupos[#Data],3,FALSE)</f>
        <v>EDU</v>
      </c>
      <c r="H951" s="41" t="s">
        <v>1339</v>
      </c>
      <c r="I951" s="9">
        <v>4</v>
      </c>
      <c r="J951" s="51">
        <v>907</v>
      </c>
      <c r="K951" s="7">
        <f>tabPontoPed[[#This Row],[QTDMÊS]] * tabPontoPed[[#This Row],[MENSAL]]</f>
        <v>3628</v>
      </c>
      <c r="L951" s="13" t="s">
        <v>1012</v>
      </c>
      <c r="M951" s="44"/>
      <c r="N951" s="45" t="str">
        <f>_xlfn.IFNA(IF(VLOOKUP(tabPontoPed[[#This Row],[CÓDIGO]],Excluir_do_Estoque!$A$4:$A$4004,1,FALSE),"sim",""),"")</f>
        <v/>
      </c>
      <c r="O951" s="10" t="str">
        <f t="shared" si="14"/>
        <v>*</v>
      </c>
    </row>
    <row r="952" spans="1:15" x14ac:dyDescent="0.25">
      <c r="A952" s="2">
        <v>133954</v>
      </c>
      <c r="B952" s="4" t="s">
        <v>478</v>
      </c>
      <c r="C952" s="41" t="s">
        <v>1345</v>
      </c>
      <c r="D952" s="42">
        <v>45</v>
      </c>
      <c r="E952" s="43">
        <v>16</v>
      </c>
      <c r="F952" s="50" t="str">
        <f>VLOOKUP(tabPontoPed[[#This Row],[GRUPO]],tabGrupos[#Data],2,FALSE)</f>
        <v>MAQ., EQUIP., COMP., ACES., MAT. PARA ESCRIT.E ESCOLAR</v>
      </c>
      <c r="G952" s="42" t="str">
        <f>VLOOKUP(tabPontoPed[[#This Row],[GRUPO]],tabGrupos[#Data],3,FALSE)</f>
        <v>EDU</v>
      </c>
      <c r="H952" s="41" t="s">
        <v>1339</v>
      </c>
      <c r="I952" s="9">
        <v>4</v>
      </c>
      <c r="J952" s="51">
        <v>758</v>
      </c>
      <c r="K952" s="7">
        <f>tabPontoPed[[#This Row],[QTDMÊS]] * tabPontoPed[[#This Row],[MENSAL]]</f>
        <v>3032</v>
      </c>
      <c r="L952" s="13" t="s">
        <v>1012</v>
      </c>
      <c r="M952" s="44"/>
      <c r="N952" s="45" t="str">
        <f>_xlfn.IFNA(IF(VLOOKUP(tabPontoPed[[#This Row],[CÓDIGO]],Excluir_do_Estoque!$A$4:$A$4004,1,FALSE),"sim",""),"")</f>
        <v/>
      </c>
      <c r="O952" s="10" t="str">
        <f t="shared" si="14"/>
        <v>*</v>
      </c>
    </row>
    <row r="953" spans="1:15" x14ac:dyDescent="0.25">
      <c r="A953" s="2">
        <v>133955</v>
      </c>
      <c r="B953" s="4" t="s">
        <v>421</v>
      </c>
      <c r="C953" s="41" t="s">
        <v>1345</v>
      </c>
      <c r="D953" s="42">
        <v>45</v>
      </c>
      <c r="E953" s="43">
        <v>9</v>
      </c>
      <c r="F953" s="50" t="str">
        <f>VLOOKUP(tabPontoPed[[#This Row],[GRUPO]],tabGrupos[#Data],2,FALSE)</f>
        <v>MAQ., EQUIP., COMP., ACES., MAT. PARA ESCRIT.E ESCOLAR</v>
      </c>
      <c r="G953" s="42" t="str">
        <f>VLOOKUP(tabPontoPed[[#This Row],[GRUPO]],tabGrupos[#Data],3,FALSE)</f>
        <v>EDU</v>
      </c>
      <c r="H953" s="41" t="s">
        <v>1339</v>
      </c>
      <c r="I953" s="9">
        <v>4</v>
      </c>
      <c r="J953" s="51">
        <v>573</v>
      </c>
      <c r="K953" s="7">
        <f>tabPontoPed[[#This Row],[QTDMÊS]] * tabPontoPed[[#This Row],[MENSAL]]</f>
        <v>2292</v>
      </c>
      <c r="L953" s="13" t="s">
        <v>1012</v>
      </c>
      <c r="M953" s="44"/>
      <c r="N953" s="45" t="str">
        <f>_xlfn.IFNA(IF(VLOOKUP(tabPontoPed[[#This Row],[CÓDIGO]],Excluir_do_Estoque!$A$4:$A$4004,1,FALSE),"sim",""),"")</f>
        <v/>
      </c>
      <c r="O953" s="10" t="str">
        <f t="shared" si="14"/>
        <v>*</v>
      </c>
    </row>
    <row r="954" spans="1:15" x14ac:dyDescent="0.25">
      <c r="A954" s="2">
        <v>133956</v>
      </c>
      <c r="B954" s="4" t="s">
        <v>434</v>
      </c>
      <c r="C954" s="41" t="s">
        <v>1345</v>
      </c>
      <c r="D954" s="42">
        <v>45</v>
      </c>
      <c r="E954" s="43">
        <v>10</v>
      </c>
      <c r="F954" s="50" t="str">
        <f>VLOOKUP(tabPontoPed[[#This Row],[GRUPO]],tabGrupos[#Data],2,FALSE)</f>
        <v>MAQ., EQUIP., COMP., ACES., MAT. PARA ESCRIT.E ESCOLAR</v>
      </c>
      <c r="G954" s="42" t="str">
        <f>VLOOKUP(tabPontoPed[[#This Row],[GRUPO]],tabGrupos[#Data],3,FALSE)</f>
        <v>EDU</v>
      </c>
      <c r="H954" s="41" t="s">
        <v>1339</v>
      </c>
      <c r="I954" s="9">
        <v>4</v>
      </c>
      <c r="J954" s="51">
        <v>956</v>
      </c>
      <c r="K954" s="7">
        <f>tabPontoPed[[#This Row],[QTDMÊS]] * tabPontoPed[[#This Row],[MENSAL]]</f>
        <v>3824</v>
      </c>
      <c r="L954" s="13" t="s">
        <v>1012</v>
      </c>
      <c r="M954" s="44"/>
      <c r="N954" s="45" t="str">
        <f>_xlfn.IFNA(IF(VLOOKUP(tabPontoPed[[#This Row],[CÓDIGO]],Excluir_do_Estoque!$A$4:$A$4004,1,FALSE),"sim",""),"")</f>
        <v/>
      </c>
      <c r="O954" s="10" t="str">
        <f t="shared" si="14"/>
        <v>*</v>
      </c>
    </row>
    <row r="955" spans="1:15" x14ac:dyDescent="0.25">
      <c r="A955" s="2">
        <v>133957</v>
      </c>
      <c r="B955" s="4" t="s">
        <v>435</v>
      </c>
      <c r="C955" s="41" t="s">
        <v>1345</v>
      </c>
      <c r="D955" s="42">
        <v>45</v>
      </c>
      <c r="E955" s="43">
        <v>10</v>
      </c>
      <c r="F955" s="50" t="str">
        <f>VLOOKUP(tabPontoPed[[#This Row],[GRUPO]],tabGrupos[#Data],2,FALSE)</f>
        <v>MAQ., EQUIP., COMP., ACES., MAT. PARA ESCRIT.E ESCOLAR</v>
      </c>
      <c r="G955" s="42" t="str">
        <f>VLOOKUP(tabPontoPed[[#This Row],[GRUPO]],tabGrupos[#Data],3,FALSE)</f>
        <v>EDU</v>
      </c>
      <c r="H955" s="41" t="s">
        <v>1339</v>
      </c>
      <c r="I955" s="9">
        <v>4</v>
      </c>
      <c r="J955" s="51">
        <v>224</v>
      </c>
      <c r="K955" s="7">
        <f>tabPontoPed[[#This Row],[QTDMÊS]] * tabPontoPed[[#This Row],[MENSAL]]</f>
        <v>896</v>
      </c>
      <c r="L955" s="13" t="s">
        <v>1012</v>
      </c>
      <c r="M955" s="44"/>
      <c r="N955" s="45" t="str">
        <f>_xlfn.IFNA(IF(VLOOKUP(tabPontoPed[[#This Row],[CÓDIGO]],Excluir_do_Estoque!$A$4:$A$4004,1,FALSE),"sim",""),"")</f>
        <v/>
      </c>
      <c r="O955" s="10" t="str">
        <f t="shared" si="14"/>
        <v>*</v>
      </c>
    </row>
    <row r="956" spans="1:15" x14ac:dyDescent="0.25">
      <c r="A956" s="2">
        <v>134045</v>
      </c>
      <c r="B956" s="4" t="s">
        <v>330</v>
      </c>
      <c r="C956" s="41" t="s">
        <v>1345</v>
      </c>
      <c r="D956" s="42">
        <v>61</v>
      </c>
      <c r="E956" s="43">
        <v>16</v>
      </c>
      <c r="F956" s="50" t="str">
        <f>VLOOKUP(tabPontoPed[[#This Row],[GRUPO]],tabGrupos[#Data],2,FALSE)</f>
        <v>MATERIAL HIDRAULICO, CANOS, TUBOS, MANGUEIRAS, CONEXOES E ACESS.</v>
      </c>
      <c r="G956" s="42" t="str">
        <f>VLOOKUP(tabPontoPed[[#This Row],[GRUPO]],tabGrupos[#Data],3,FALSE)</f>
        <v>MHI</v>
      </c>
      <c r="H956" s="41" t="s">
        <v>1339</v>
      </c>
      <c r="I956" s="9">
        <v>4</v>
      </c>
      <c r="J956" s="51">
        <v>5</v>
      </c>
      <c r="K956" s="7">
        <f>tabPontoPed[[#This Row],[QTDMÊS]] * tabPontoPed[[#This Row],[MENSAL]]</f>
        <v>20</v>
      </c>
      <c r="L956" s="13" t="s">
        <v>1012</v>
      </c>
      <c r="M956" s="44"/>
      <c r="N956" s="45" t="str">
        <f>_xlfn.IFNA(IF(VLOOKUP(tabPontoPed[[#This Row],[CÓDIGO]],Excluir_do_Estoque!$A$4:$A$4004,1,FALSE),"sim",""),"")</f>
        <v/>
      </c>
      <c r="O956" s="10" t="str">
        <f t="shared" si="14"/>
        <v>*</v>
      </c>
    </row>
    <row r="957" spans="1:15" x14ac:dyDescent="0.25">
      <c r="A957" s="2">
        <v>134246</v>
      </c>
      <c r="B957" s="4" t="s">
        <v>389</v>
      </c>
      <c r="C957" s="41" t="s">
        <v>1345</v>
      </c>
      <c r="D957" s="42">
        <v>51</v>
      </c>
      <c r="E957" s="43">
        <v>2</v>
      </c>
      <c r="F957" s="50" t="str">
        <f>VLOOKUP(tabPontoPed[[#This Row],[GRUPO]],tabGrupos[#Data],2,FALSE)</f>
        <v>MAT.E EQUIP. P/ CONSTR.CIVIL E CONSERV. DE VIAS PUBL.</v>
      </c>
      <c r="G957" s="42" t="str">
        <f>VLOOKUP(tabPontoPed[[#This Row],[GRUPO]],tabGrupos[#Data],3,FALSE)</f>
        <v>MCO</v>
      </c>
      <c r="H957" s="41" t="s">
        <v>1339</v>
      </c>
      <c r="I957" s="9">
        <v>4</v>
      </c>
      <c r="J957" s="51">
        <v>9</v>
      </c>
      <c r="K957" s="7">
        <f>tabPontoPed[[#This Row],[QTDMÊS]] * tabPontoPed[[#This Row],[MENSAL]]</f>
        <v>36</v>
      </c>
      <c r="L957" s="13" t="s">
        <v>1012</v>
      </c>
      <c r="M957" s="44"/>
      <c r="N957" s="45" t="str">
        <f>_xlfn.IFNA(IF(VLOOKUP(tabPontoPed[[#This Row],[CÓDIGO]],Excluir_do_Estoque!$A$4:$A$4004,1,FALSE),"sim",""),"")</f>
        <v/>
      </c>
      <c r="O957" s="10" t="str">
        <f t="shared" si="14"/>
        <v>*</v>
      </c>
    </row>
    <row r="958" spans="1:15" x14ac:dyDescent="0.25">
      <c r="A958" s="2">
        <v>134247</v>
      </c>
      <c r="B958" s="4" t="s">
        <v>273</v>
      </c>
      <c r="C958" s="41" t="s">
        <v>1345</v>
      </c>
      <c r="D958" s="42">
        <v>51</v>
      </c>
      <c r="E958" s="43">
        <v>2</v>
      </c>
      <c r="F958" s="50" t="str">
        <f>VLOOKUP(tabPontoPed[[#This Row],[GRUPO]],tabGrupos[#Data],2,FALSE)</f>
        <v>MAT.E EQUIP. P/ CONSTR.CIVIL E CONSERV. DE VIAS PUBL.</v>
      </c>
      <c r="G958" s="42" t="str">
        <f>VLOOKUP(tabPontoPed[[#This Row],[GRUPO]],tabGrupos[#Data],3,FALSE)</f>
        <v>MCO</v>
      </c>
      <c r="H958" s="41" t="s">
        <v>1349</v>
      </c>
      <c r="I958" s="9">
        <v>3</v>
      </c>
      <c r="J958" s="51">
        <v>8</v>
      </c>
      <c r="K958" s="7">
        <f>tabPontoPed[[#This Row],[QTDMÊS]] * tabPontoPed[[#This Row],[MENSAL]]</f>
        <v>24</v>
      </c>
      <c r="L958" s="13" t="s">
        <v>1012</v>
      </c>
      <c r="M958" s="44"/>
      <c r="N958" s="45" t="str">
        <f>_xlfn.IFNA(IF(VLOOKUP(tabPontoPed[[#This Row],[CÓDIGO]],Excluir_do_Estoque!$A$4:$A$4004,1,FALSE),"sim",""),"")</f>
        <v/>
      </c>
      <c r="O958" s="10" t="str">
        <f t="shared" si="14"/>
        <v>*</v>
      </c>
    </row>
    <row r="959" spans="1:15" x14ac:dyDescent="0.25">
      <c r="A959" s="2">
        <v>134373</v>
      </c>
      <c r="B959" s="4" t="s">
        <v>207</v>
      </c>
      <c r="C959" s="41" t="s">
        <v>1345</v>
      </c>
      <c r="D959" s="42">
        <v>55</v>
      </c>
      <c r="E959" s="43">
        <v>66</v>
      </c>
      <c r="F959" s="50" t="str">
        <f>VLOOKUP(tabPontoPed[[#This Row],[GRUPO]],tabGrupos[#Data],2,FALSE)</f>
        <v>EQUIP. MAT. P/ GERACAO, TRANSM. DISTR. RETIF...</v>
      </c>
      <c r="G959" s="42" t="str">
        <f>VLOOKUP(tabPontoPed[[#This Row],[GRUPO]],tabGrupos[#Data],3,FALSE)</f>
        <v>MEL</v>
      </c>
      <c r="H959" s="41" t="s">
        <v>1339</v>
      </c>
      <c r="I959" s="9">
        <v>4</v>
      </c>
      <c r="J959" s="51">
        <v>1582</v>
      </c>
      <c r="K959" s="7">
        <f>tabPontoPed[[#This Row],[QTDMÊS]] * tabPontoPed[[#This Row],[MENSAL]]</f>
        <v>6328</v>
      </c>
      <c r="L959" s="13" t="s">
        <v>1012</v>
      </c>
      <c r="M959" s="44"/>
      <c r="N959" s="45" t="str">
        <f>_xlfn.IFNA(IF(VLOOKUP(tabPontoPed[[#This Row],[CÓDIGO]],Excluir_do_Estoque!$A$4:$A$4004,1,FALSE),"sim",""),"")</f>
        <v/>
      </c>
      <c r="O959" s="10" t="str">
        <f t="shared" si="14"/>
        <v>*</v>
      </c>
    </row>
    <row r="960" spans="1:15" x14ac:dyDescent="0.25">
      <c r="A960" s="2">
        <v>134542</v>
      </c>
      <c r="B960" s="4" t="s">
        <v>244</v>
      </c>
      <c r="C960" s="41" t="s">
        <v>1345</v>
      </c>
      <c r="D960" s="42">
        <v>51</v>
      </c>
      <c r="E960" s="43">
        <v>21</v>
      </c>
      <c r="F960" s="50" t="str">
        <f>VLOOKUP(tabPontoPed[[#This Row],[GRUPO]],tabGrupos[#Data],2,FALSE)</f>
        <v>MAT.E EQUIP. P/ CONSTR.CIVIL E CONSERV. DE VIAS PUBL.</v>
      </c>
      <c r="G960" s="42" t="str">
        <f>VLOOKUP(tabPontoPed[[#This Row],[GRUPO]],tabGrupos[#Data],3,FALSE)</f>
        <v>MCO</v>
      </c>
      <c r="H960" s="41" t="s">
        <v>1339</v>
      </c>
      <c r="I960" s="9">
        <v>4</v>
      </c>
      <c r="J960" s="51">
        <v>0</v>
      </c>
      <c r="K960" s="7">
        <f>tabPontoPed[[#This Row],[QTDMÊS]] * tabPontoPed[[#This Row],[MENSAL]]</f>
        <v>0</v>
      </c>
      <c r="L960" s="13" t="s">
        <v>1012</v>
      </c>
      <c r="M960" s="44"/>
      <c r="N960" s="45" t="str">
        <f>_xlfn.IFNA(IF(VLOOKUP(tabPontoPed[[#This Row],[CÓDIGO]],Excluir_do_Estoque!$A$4:$A$4004,1,FALSE),"sim",""),"")</f>
        <v/>
      </c>
      <c r="O960" s="10" t="str">
        <f t="shared" si="14"/>
        <v>*</v>
      </c>
    </row>
    <row r="961" spans="1:15" x14ac:dyDescent="0.25">
      <c r="A961" s="2">
        <v>134543</v>
      </c>
      <c r="B961" s="4" t="s">
        <v>245</v>
      </c>
      <c r="C961" s="41" t="s">
        <v>1345</v>
      </c>
      <c r="D961" s="42">
        <v>51</v>
      </c>
      <c r="E961" s="43">
        <v>21</v>
      </c>
      <c r="F961" s="50" t="str">
        <f>VLOOKUP(tabPontoPed[[#This Row],[GRUPO]],tabGrupos[#Data],2,FALSE)</f>
        <v>MAT.E EQUIP. P/ CONSTR.CIVIL E CONSERV. DE VIAS PUBL.</v>
      </c>
      <c r="G961" s="42" t="str">
        <f>VLOOKUP(tabPontoPed[[#This Row],[GRUPO]],tabGrupos[#Data],3,FALSE)</f>
        <v>MCO</v>
      </c>
      <c r="H961" s="41" t="s">
        <v>1339</v>
      </c>
      <c r="I961" s="9">
        <v>4</v>
      </c>
      <c r="J961" s="51">
        <v>0</v>
      </c>
      <c r="K961" s="7">
        <f>tabPontoPed[[#This Row],[QTDMÊS]] * tabPontoPed[[#This Row],[MENSAL]]</f>
        <v>0</v>
      </c>
      <c r="L961" s="13" t="s">
        <v>1012</v>
      </c>
      <c r="M961" s="44"/>
      <c r="N961" s="45" t="str">
        <f>_xlfn.IFNA(IF(VLOOKUP(tabPontoPed[[#This Row],[CÓDIGO]],Excluir_do_Estoque!$A$4:$A$4004,1,FALSE),"sim",""),"")</f>
        <v/>
      </c>
      <c r="O961" s="10" t="str">
        <f t="shared" si="14"/>
        <v>*</v>
      </c>
    </row>
    <row r="962" spans="1:15" x14ac:dyDescent="0.25">
      <c r="A962" s="2">
        <v>134544</v>
      </c>
      <c r="B962" s="4" t="s">
        <v>246</v>
      </c>
      <c r="C962" s="41" t="s">
        <v>1345</v>
      </c>
      <c r="D962" s="42">
        <v>51</v>
      </c>
      <c r="E962" s="43">
        <v>21</v>
      </c>
      <c r="F962" s="50" t="str">
        <f>VLOOKUP(tabPontoPed[[#This Row],[GRUPO]],tabGrupos[#Data],2,FALSE)</f>
        <v>MAT.E EQUIP. P/ CONSTR.CIVIL E CONSERV. DE VIAS PUBL.</v>
      </c>
      <c r="G962" s="42" t="str">
        <f>VLOOKUP(tabPontoPed[[#This Row],[GRUPO]],tabGrupos[#Data],3,FALSE)</f>
        <v>MCO</v>
      </c>
      <c r="H962" s="41" t="s">
        <v>1339</v>
      </c>
      <c r="I962" s="9">
        <v>4</v>
      </c>
      <c r="J962" s="51">
        <v>34</v>
      </c>
      <c r="K962" s="7">
        <f>tabPontoPed[[#This Row],[QTDMÊS]] * tabPontoPed[[#This Row],[MENSAL]]</f>
        <v>136</v>
      </c>
      <c r="L962" s="13" t="s">
        <v>1012</v>
      </c>
      <c r="M962" s="44"/>
      <c r="N962" s="45" t="str">
        <f>_xlfn.IFNA(IF(VLOOKUP(tabPontoPed[[#This Row],[CÓDIGO]],Excluir_do_Estoque!$A$4:$A$4004,1,FALSE),"sim",""),"")</f>
        <v/>
      </c>
      <c r="O962" s="10" t="str">
        <f t="shared" si="14"/>
        <v>*</v>
      </c>
    </row>
    <row r="963" spans="1:15" x14ac:dyDescent="0.25">
      <c r="A963" s="2">
        <v>134545</v>
      </c>
      <c r="B963" s="4" t="s">
        <v>240</v>
      </c>
      <c r="C963" s="41" t="s">
        <v>1345</v>
      </c>
      <c r="D963" s="42">
        <v>51</v>
      </c>
      <c r="E963" s="43">
        <v>19</v>
      </c>
      <c r="F963" s="50" t="str">
        <f>VLOOKUP(tabPontoPed[[#This Row],[GRUPO]],tabGrupos[#Data],2,FALSE)</f>
        <v>MAT.E EQUIP. P/ CONSTR.CIVIL E CONSERV. DE VIAS PUBL.</v>
      </c>
      <c r="G963" s="42" t="str">
        <f>VLOOKUP(tabPontoPed[[#This Row],[GRUPO]],tabGrupos[#Data],3,FALSE)</f>
        <v>MCO</v>
      </c>
      <c r="H963" s="41" t="s">
        <v>1339</v>
      </c>
      <c r="I963" s="9">
        <v>4</v>
      </c>
      <c r="J963" s="51">
        <v>4</v>
      </c>
      <c r="K963" s="7">
        <f>tabPontoPed[[#This Row],[QTDMÊS]] * tabPontoPed[[#This Row],[MENSAL]]</f>
        <v>16</v>
      </c>
      <c r="L963" s="13" t="s">
        <v>1012</v>
      </c>
      <c r="M963" s="44"/>
      <c r="N963" s="45" t="str">
        <f>_xlfn.IFNA(IF(VLOOKUP(tabPontoPed[[#This Row],[CÓDIGO]],Excluir_do_Estoque!$A$4:$A$4004,1,FALSE),"sim",""),"")</f>
        <v/>
      </c>
      <c r="O963" s="10" t="str">
        <f t="shared" si="14"/>
        <v>*</v>
      </c>
    </row>
    <row r="964" spans="1:15" x14ac:dyDescent="0.25">
      <c r="A964" s="2">
        <v>134546</v>
      </c>
      <c r="B964" s="4" t="s">
        <v>241</v>
      </c>
      <c r="C964" s="41" t="s">
        <v>1345</v>
      </c>
      <c r="D964" s="42">
        <v>51</v>
      </c>
      <c r="E964" s="43">
        <v>19</v>
      </c>
      <c r="F964" s="50" t="str">
        <f>VLOOKUP(tabPontoPed[[#This Row],[GRUPO]],tabGrupos[#Data],2,FALSE)</f>
        <v>MAT.E EQUIP. P/ CONSTR.CIVIL E CONSERV. DE VIAS PUBL.</v>
      </c>
      <c r="G964" s="42" t="str">
        <f>VLOOKUP(tabPontoPed[[#This Row],[GRUPO]],tabGrupos[#Data],3,FALSE)</f>
        <v>MCO</v>
      </c>
      <c r="H964" s="41" t="s">
        <v>1339</v>
      </c>
      <c r="I964" s="9">
        <v>4</v>
      </c>
      <c r="J964" s="51">
        <v>9</v>
      </c>
      <c r="K964" s="7">
        <f>tabPontoPed[[#This Row],[QTDMÊS]] * tabPontoPed[[#This Row],[MENSAL]]</f>
        <v>36</v>
      </c>
      <c r="L964" s="13" t="s">
        <v>1012</v>
      </c>
      <c r="M964" s="44"/>
      <c r="N964" s="45" t="str">
        <f>_xlfn.IFNA(IF(VLOOKUP(tabPontoPed[[#This Row],[CÓDIGO]],Excluir_do_Estoque!$A$4:$A$4004,1,FALSE),"sim",""),"")</f>
        <v/>
      </c>
      <c r="O964" s="10" t="str">
        <f t="shared" ref="O964:O1009" si="15">"*"</f>
        <v>*</v>
      </c>
    </row>
    <row r="965" spans="1:15" x14ac:dyDescent="0.25">
      <c r="A965" s="2">
        <v>134547</v>
      </c>
      <c r="B965" s="4" t="s">
        <v>242</v>
      </c>
      <c r="C965" s="41" t="s">
        <v>1345</v>
      </c>
      <c r="D965" s="42">
        <v>51</v>
      </c>
      <c r="E965" s="43">
        <v>19</v>
      </c>
      <c r="F965" s="50" t="str">
        <f>VLOOKUP(tabPontoPed[[#This Row],[GRUPO]],tabGrupos[#Data],2,FALSE)</f>
        <v>MAT.E EQUIP. P/ CONSTR.CIVIL E CONSERV. DE VIAS PUBL.</v>
      </c>
      <c r="G965" s="42" t="str">
        <f>VLOOKUP(tabPontoPed[[#This Row],[GRUPO]],tabGrupos[#Data],3,FALSE)</f>
        <v>MCO</v>
      </c>
      <c r="H965" s="41" t="s">
        <v>1339</v>
      </c>
      <c r="I965" s="9">
        <v>4</v>
      </c>
      <c r="J965" s="51">
        <v>1</v>
      </c>
      <c r="K965" s="7">
        <f>tabPontoPed[[#This Row],[QTDMÊS]] * tabPontoPed[[#This Row],[MENSAL]]</f>
        <v>4</v>
      </c>
      <c r="L965" s="13" t="s">
        <v>1012</v>
      </c>
      <c r="M965" s="44"/>
      <c r="N965" s="45" t="str">
        <f>_xlfn.IFNA(IF(VLOOKUP(tabPontoPed[[#This Row],[CÓDIGO]],Excluir_do_Estoque!$A$4:$A$4004,1,FALSE),"sim",""),"")</f>
        <v/>
      </c>
      <c r="O965" s="10" t="str">
        <f t="shared" si="15"/>
        <v>*</v>
      </c>
    </row>
    <row r="966" spans="1:15" x14ac:dyDescent="0.25">
      <c r="A966" s="2">
        <v>134548</v>
      </c>
      <c r="B966" s="4" t="s">
        <v>243</v>
      </c>
      <c r="C966" s="41" t="s">
        <v>1345</v>
      </c>
      <c r="D966" s="42">
        <v>51</v>
      </c>
      <c r="E966" s="43">
        <v>19</v>
      </c>
      <c r="F966" s="50" t="str">
        <f>VLOOKUP(tabPontoPed[[#This Row],[GRUPO]],tabGrupos[#Data],2,FALSE)</f>
        <v>MAT.E EQUIP. P/ CONSTR.CIVIL E CONSERV. DE VIAS PUBL.</v>
      </c>
      <c r="G966" s="42" t="str">
        <f>VLOOKUP(tabPontoPed[[#This Row],[GRUPO]],tabGrupos[#Data],3,FALSE)</f>
        <v>MCO</v>
      </c>
      <c r="H966" s="41" t="s">
        <v>1339</v>
      </c>
      <c r="I966" s="9">
        <v>4</v>
      </c>
      <c r="J966" s="51">
        <v>33</v>
      </c>
      <c r="K966" s="7">
        <f>tabPontoPed[[#This Row],[QTDMÊS]] * tabPontoPed[[#This Row],[MENSAL]]</f>
        <v>132</v>
      </c>
      <c r="L966" s="13" t="s">
        <v>1012</v>
      </c>
      <c r="M966" s="44"/>
      <c r="N966" s="45" t="str">
        <f>_xlfn.IFNA(IF(VLOOKUP(tabPontoPed[[#This Row],[CÓDIGO]],Excluir_do_Estoque!$A$4:$A$4004,1,FALSE),"sim",""),"")</f>
        <v/>
      </c>
      <c r="O966" s="10" t="str">
        <f t="shared" si="15"/>
        <v>*</v>
      </c>
    </row>
    <row r="967" spans="1:15" x14ac:dyDescent="0.25">
      <c r="A967" s="2">
        <v>134556</v>
      </c>
      <c r="B967" s="4" t="s">
        <v>392</v>
      </c>
      <c r="C967" s="41" t="s">
        <v>1345</v>
      </c>
      <c r="D967" s="42">
        <v>74</v>
      </c>
      <c r="E967" s="43">
        <v>2</v>
      </c>
      <c r="F967" s="50" t="str">
        <f>VLOOKUP(tabPontoPed[[#This Row],[GRUPO]],tabGrupos[#Data],2,FALSE)</f>
        <v>MADEIRAS,LAMINADOS,COMPENSADOS E AGLOMERADOS</v>
      </c>
      <c r="G967" s="42" t="str">
        <f>VLOOKUP(tabPontoPed[[#This Row],[GRUPO]],tabGrupos[#Data],3,FALSE)</f>
        <v>MCO</v>
      </c>
      <c r="H967" s="41" t="s">
        <v>1339</v>
      </c>
      <c r="I967" s="9">
        <v>4</v>
      </c>
      <c r="J967" s="51">
        <v>0</v>
      </c>
      <c r="K967" s="7">
        <f>tabPontoPed[[#This Row],[QTDMÊS]] * tabPontoPed[[#This Row],[MENSAL]]</f>
        <v>0</v>
      </c>
      <c r="L967" s="13" t="s">
        <v>1012</v>
      </c>
      <c r="M967" s="44"/>
      <c r="N967" s="45" t="str">
        <f>_xlfn.IFNA(IF(VLOOKUP(tabPontoPed[[#This Row],[CÓDIGO]],Excluir_do_Estoque!$A$4:$A$4004,1,FALSE),"sim",""),"")</f>
        <v/>
      </c>
      <c r="O967" s="10" t="str">
        <f t="shared" si="15"/>
        <v>*</v>
      </c>
    </row>
    <row r="968" spans="1:15" x14ac:dyDescent="0.25">
      <c r="A968" s="2">
        <v>134558</v>
      </c>
      <c r="B968" s="4" t="s">
        <v>901</v>
      </c>
      <c r="C968" s="41" t="s">
        <v>1345</v>
      </c>
      <c r="D968" s="42">
        <v>70</v>
      </c>
      <c r="E968" s="43">
        <v>16</v>
      </c>
      <c r="F968" s="50" t="str">
        <f>VLOOKUP(tabPontoPed[[#This Row],[GRUPO]],tabGrupos[#Data],2,FALSE)</f>
        <v>FERRAMENTAS MAQ.FERRAMENTAS,ELETR.PECAS E ACESSORI</v>
      </c>
      <c r="G968" s="42" t="str">
        <f>VLOOKUP(tabPontoPed[[#This Row],[GRUPO]],tabGrupos[#Data],3,FALSE)</f>
        <v>MAN</v>
      </c>
      <c r="H968" s="41" t="s">
        <v>1339</v>
      </c>
      <c r="I968" s="9">
        <v>4</v>
      </c>
      <c r="J968" s="51">
        <v>0</v>
      </c>
      <c r="K968" s="7">
        <f>tabPontoPed[[#This Row],[QTDMÊS]] * tabPontoPed[[#This Row],[MENSAL]]</f>
        <v>0</v>
      </c>
      <c r="L968" s="13" t="s">
        <v>1012</v>
      </c>
      <c r="M968" s="44"/>
      <c r="N968" s="45" t="str">
        <f>_xlfn.IFNA(IF(VLOOKUP(tabPontoPed[[#This Row],[CÓDIGO]],Excluir_do_Estoque!$A$4:$A$4004,1,FALSE),"sim",""),"")</f>
        <v/>
      </c>
      <c r="O968" s="10" t="str">
        <f t="shared" si="15"/>
        <v>*</v>
      </c>
    </row>
    <row r="969" spans="1:15" x14ac:dyDescent="0.25">
      <c r="A969" s="2">
        <v>134559</v>
      </c>
      <c r="B969" s="4" t="s">
        <v>902</v>
      </c>
      <c r="C969" s="41" t="s">
        <v>1345</v>
      </c>
      <c r="D969" s="42">
        <v>70</v>
      </c>
      <c r="E969" s="43">
        <v>16</v>
      </c>
      <c r="F969" s="50" t="str">
        <f>VLOOKUP(tabPontoPed[[#This Row],[GRUPO]],tabGrupos[#Data],2,FALSE)</f>
        <v>FERRAMENTAS MAQ.FERRAMENTAS,ELETR.PECAS E ACESSORI</v>
      </c>
      <c r="G969" s="42" t="str">
        <f>VLOOKUP(tabPontoPed[[#This Row],[GRUPO]],tabGrupos[#Data],3,FALSE)</f>
        <v>MAN</v>
      </c>
      <c r="H969" s="41" t="s">
        <v>1339</v>
      </c>
      <c r="I969" s="9">
        <v>4</v>
      </c>
      <c r="J969" s="51">
        <v>0</v>
      </c>
      <c r="K969" s="7">
        <f>tabPontoPed[[#This Row],[QTDMÊS]] * tabPontoPed[[#This Row],[MENSAL]]</f>
        <v>0</v>
      </c>
      <c r="L969" s="13" t="s">
        <v>1012</v>
      </c>
      <c r="M969" s="44"/>
      <c r="N969" s="45" t="str">
        <f>_xlfn.IFNA(IF(VLOOKUP(tabPontoPed[[#This Row],[CÓDIGO]],Excluir_do_Estoque!$A$4:$A$4004,1,FALSE),"sim",""),"")</f>
        <v/>
      </c>
      <c r="O969" s="10" t="str">
        <f t="shared" si="15"/>
        <v>*</v>
      </c>
    </row>
    <row r="970" spans="1:15" x14ac:dyDescent="0.25">
      <c r="A970" s="2">
        <v>134560</v>
      </c>
      <c r="B970" s="4" t="s">
        <v>905</v>
      </c>
      <c r="C970" s="41" t="s">
        <v>1345</v>
      </c>
      <c r="D970" s="42">
        <v>70</v>
      </c>
      <c r="E970" s="43">
        <v>30</v>
      </c>
      <c r="F970" s="50" t="str">
        <f>VLOOKUP(tabPontoPed[[#This Row],[GRUPO]],tabGrupos[#Data],2,FALSE)</f>
        <v>FERRAMENTAS MAQ.FERRAMENTAS,ELETR.PECAS E ACESSORI</v>
      </c>
      <c r="G970" s="42" t="str">
        <f>VLOOKUP(tabPontoPed[[#This Row],[GRUPO]],tabGrupos[#Data],3,FALSE)</f>
        <v>MAN</v>
      </c>
      <c r="H970" s="41" t="s">
        <v>1339</v>
      </c>
      <c r="I970" s="9">
        <v>4</v>
      </c>
      <c r="J970" s="51">
        <v>4</v>
      </c>
      <c r="K970" s="7">
        <f>tabPontoPed[[#This Row],[QTDMÊS]] * tabPontoPed[[#This Row],[MENSAL]]</f>
        <v>16</v>
      </c>
      <c r="L970" s="13" t="s">
        <v>1012</v>
      </c>
      <c r="M970" s="44"/>
      <c r="N970" s="45" t="str">
        <f>_xlfn.IFNA(IF(VLOOKUP(tabPontoPed[[#This Row],[CÓDIGO]],Excluir_do_Estoque!$A$4:$A$4004,1,FALSE),"sim",""),"")</f>
        <v/>
      </c>
      <c r="O970" s="10" t="str">
        <f t="shared" si="15"/>
        <v>*</v>
      </c>
    </row>
    <row r="971" spans="1:15" x14ac:dyDescent="0.25">
      <c r="A971" s="2">
        <v>134561</v>
      </c>
      <c r="B971" s="4" t="s">
        <v>828</v>
      </c>
      <c r="C971" s="41" t="s">
        <v>1345</v>
      </c>
      <c r="D971" s="42">
        <v>67</v>
      </c>
      <c r="E971" s="43">
        <v>3</v>
      </c>
      <c r="F971" s="50" t="str">
        <f>VLOOKUP(tabPontoPed[[#This Row],[GRUPO]],tabGrupos[#Data],2,FALSE)</f>
        <v>PARAFUSOS ELEM. VEDACAO UNIAO CONEX . FIXACAO</v>
      </c>
      <c r="G971" s="42" t="str">
        <f>VLOOKUP(tabPontoPed[[#This Row],[GRUPO]],tabGrupos[#Data],3,FALSE)</f>
        <v>MSE</v>
      </c>
      <c r="H971" s="41" t="s">
        <v>1339</v>
      </c>
      <c r="I971" s="9">
        <v>4</v>
      </c>
      <c r="J971" s="51">
        <v>0</v>
      </c>
      <c r="K971" s="7">
        <f>tabPontoPed[[#This Row],[QTDMÊS]] * tabPontoPed[[#This Row],[MENSAL]]</f>
        <v>0</v>
      </c>
      <c r="L971" s="13" t="s">
        <v>1012</v>
      </c>
      <c r="M971" s="44"/>
      <c r="N971" s="45" t="str">
        <f>_xlfn.IFNA(IF(VLOOKUP(tabPontoPed[[#This Row],[CÓDIGO]],Excluir_do_Estoque!$A$4:$A$4004,1,FALSE),"sim",""),"")</f>
        <v/>
      </c>
      <c r="O971" s="10" t="str">
        <f t="shared" si="15"/>
        <v>*</v>
      </c>
    </row>
    <row r="972" spans="1:15" x14ac:dyDescent="0.25">
      <c r="A972" s="2">
        <v>134562</v>
      </c>
      <c r="B972" s="4" t="s">
        <v>829</v>
      </c>
      <c r="C972" s="41" t="s">
        <v>1345</v>
      </c>
      <c r="D972" s="42">
        <v>67</v>
      </c>
      <c r="E972" s="43">
        <v>3</v>
      </c>
      <c r="F972" s="50" t="str">
        <f>VLOOKUP(tabPontoPed[[#This Row],[GRUPO]],tabGrupos[#Data],2,FALSE)</f>
        <v>PARAFUSOS ELEM. VEDACAO UNIAO CONEX . FIXACAO</v>
      </c>
      <c r="G972" s="42" t="str">
        <f>VLOOKUP(tabPontoPed[[#This Row],[GRUPO]],tabGrupos[#Data],3,FALSE)</f>
        <v>MSE</v>
      </c>
      <c r="H972" s="41" t="s">
        <v>1339</v>
      </c>
      <c r="I972" s="9">
        <v>4</v>
      </c>
      <c r="J972" s="51">
        <v>0</v>
      </c>
      <c r="K972" s="7">
        <f>tabPontoPed[[#This Row],[QTDMÊS]] * tabPontoPed[[#This Row],[MENSAL]]</f>
        <v>0</v>
      </c>
      <c r="L972" s="13" t="s">
        <v>1012</v>
      </c>
      <c r="M972" s="44"/>
      <c r="N972" s="45" t="str">
        <f>_xlfn.IFNA(IF(VLOOKUP(tabPontoPed[[#This Row],[CÓDIGO]],Excluir_do_Estoque!$A$4:$A$4004,1,FALSE),"sim",""),"")</f>
        <v/>
      </c>
      <c r="O972" s="10" t="str">
        <f t="shared" si="15"/>
        <v>*</v>
      </c>
    </row>
    <row r="973" spans="1:15" x14ac:dyDescent="0.25">
      <c r="A973" s="2">
        <v>134563</v>
      </c>
      <c r="B973" s="4" t="s">
        <v>830</v>
      </c>
      <c r="C973" s="41" t="s">
        <v>1345</v>
      </c>
      <c r="D973" s="42">
        <v>67</v>
      </c>
      <c r="E973" s="43">
        <v>3</v>
      </c>
      <c r="F973" s="50" t="str">
        <f>VLOOKUP(tabPontoPed[[#This Row],[GRUPO]],tabGrupos[#Data],2,FALSE)</f>
        <v>PARAFUSOS ELEM. VEDACAO UNIAO CONEX . FIXACAO</v>
      </c>
      <c r="G973" s="42" t="str">
        <f>VLOOKUP(tabPontoPed[[#This Row],[GRUPO]],tabGrupos[#Data],3,FALSE)</f>
        <v>MSE</v>
      </c>
      <c r="H973" s="41" t="s">
        <v>1339</v>
      </c>
      <c r="I973" s="9">
        <v>4</v>
      </c>
      <c r="J973" s="51">
        <v>0</v>
      </c>
      <c r="K973" s="7">
        <f>tabPontoPed[[#This Row],[QTDMÊS]] * tabPontoPed[[#This Row],[MENSAL]]</f>
        <v>0</v>
      </c>
      <c r="L973" s="13" t="s">
        <v>1012</v>
      </c>
      <c r="M973" s="44"/>
      <c r="N973" s="45" t="str">
        <f>_xlfn.IFNA(IF(VLOOKUP(tabPontoPed[[#This Row],[CÓDIGO]],Excluir_do_Estoque!$A$4:$A$4004,1,FALSE),"sim",""),"")</f>
        <v/>
      </c>
      <c r="O973" s="10" t="str">
        <f t="shared" si="15"/>
        <v>*</v>
      </c>
    </row>
    <row r="974" spans="1:15" x14ac:dyDescent="0.25">
      <c r="A974" s="2">
        <v>134564</v>
      </c>
      <c r="B974" s="4" t="s">
        <v>831</v>
      </c>
      <c r="C974" s="41" t="s">
        <v>1345</v>
      </c>
      <c r="D974" s="42">
        <v>67</v>
      </c>
      <c r="E974" s="43">
        <v>3</v>
      </c>
      <c r="F974" s="50" t="str">
        <f>VLOOKUP(tabPontoPed[[#This Row],[GRUPO]],tabGrupos[#Data],2,FALSE)</f>
        <v>PARAFUSOS ELEM. VEDACAO UNIAO CONEX . FIXACAO</v>
      </c>
      <c r="G974" s="42" t="str">
        <f>VLOOKUP(tabPontoPed[[#This Row],[GRUPO]],tabGrupos[#Data],3,FALSE)</f>
        <v>MSE</v>
      </c>
      <c r="H974" s="41" t="s">
        <v>1339</v>
      </c>
      <c r="I974" s="9">
        <v>4</v>
      </c>
      <c r="J974" s="51">
        <v>0</v>
      </c>
      <c r="K974" s="7">
        <f>tabPontoPed[[#This Row],[QTDMÊS]] * tabPontoPed[[#This Row],[MENSAL]]</f>
        <v>0</v>
      </c>
      <c r="L974" s="13" t="s">
        <v>1012</v>
      </c>
      <c r="M974" s="44"/>
      <c r="N974" s="45" t="str">
        <f>_xlfn.IFNA(IF(VLOOKUP(tabPontoPed[[#This Row],[CÓDIGO]],Excluir_do_Estoque!$A$4:$A$4004,1,FALSE),"sim",""),"")</f>
        <v/>
      </c>
      <c r="O974" s="10" t="str">
        <f t="shared" si="15"/>
        <v>*</v>
      </c>
    </row>
    <row r="975" spans="1:15" x14ac:dyDescent="0.25">
      <c r="A975" s="2">
        <v>134565</v>
      </c>
      <c r="B975" s="4" t="s">
        <v>832</v>
      </c>
      <c r="C975" s="41" t="s">
        <v>1345</v>
      </c>
      <c r="D975" s="42">
        <v>67</v>
      </c>
      <c r="E975" s="43">
        <v>3</v>
      </c>
      <c r="F975" s="50" t="str">
        <f>VLOOKUP(tabPontoPed[[#This Row],[GRUPO]],tabGrupos[#Data],2,FALSE)</f>
        <v>PARAFUSOS ELEM. VEDACAO UNIAO CONEX . FIXACAO</v>
      </c>
      <c r="G975" s="42" t="str">
        <f>VLOOKUP(tabPontoPed[[#This Row],[GRUPO]],tabGrupos[#Data],3,FALSE)</f>
        <v>MSE</v>
      </c>
      <c r="H975" s="41" t="s">
        <v>1339</v>
      </c>
      <c r="I975" s="9">
        <v>4</v>
      </c>
      <c r="J975" s="51">
        <v>0</v>
      </c>
      <c r="K975" s="7">
        <f>tabPontoPed[[#This Row],[QTDMÊS]] * tabPontoPed[[#This Row],[MENSAL]]</f>
        <v>0</v>
      </c>
      <c r="L975" s="13" t="s">
        <v>1012</v>
      </c>
      <c r="M975" s="44"/>
      <c r="N975" s="45" t="str">
        <f>_xlfn.IFNA(IF(VLOOKUP(tabPontoPed[[#This Row],[CÓDIGO]],Excluir_do_Estoque!$A$4:$A$4004,1,FALSE),"sim",""),"")</f>
        <v/>
      </c>
      <c r="O975" s="10" t="str">
        <f t="shared" si="15"/>
        <v>*</v>
      </c>
    </row>
    <row r="976" spans="1:15" x14ac:dyDescent="0.25">
      <c r="A976" s="2">
        <v>134566</v>
      </c>
      <c r="B976" s="4" t="s">
        <v>873</v>
      </c>
      <c r="C976" s="41" t="s">
        <v>1345</v>
      </c>
      <c r="D976" s="42">
        <v>67</v>
      </c>
      <c r="E976" s="43">
        <v>18</v>
      </c>
      <c r="F976" s="50" t="str">
        <f>VLOOKUP(tabPontoPed[[#This Row],[GRUPO]],tabGrupos[#Data],2,FALSE)</f>
        <v>PARAFUSOS ELEM. VEDACAO UNIAO CONEX . FIXACAO</v>
      </c>
      <c r="G976" s="42" t="str">
        <f>VLOOKUP(tabPontoPed[[#This Row],[GRUPO]],tabGrupos[#Data],3,FALSE)</f>
        <v>MSE</v>
      </c>
      <c r="H976" s="41" t="s">
        <v>1339</v>
      </c>
      <c r="I976" s="9">
        <v>4</v>
      </c>
      <c r="J976" s="51">
        <v>10</v>
      </c>
      <c r="K976" s="7">
        <f>tabPontoPed[[#This Row],[QTDMÊS]] * tabPontoPed[[#This Row],[MENSAL]]</f>
        <v>40</v>
      </c>
      <c r="L976" s="13" t="s">
        <v>1012</v>
      </c>
      <c r="M976" s="44"/>
      <c r="N976" s="45" t="str">
        <f>_xlfn.IFNA(IF(VLOOKUP(tabPontoPed[[#This Row],[CÓDIGO]],Excluir_do_Estoque!$A$4:$A$4004,1,FALSE),"sim",""),"")</f>
        <v/>
      </c>
      <c r="O976" s="10" t="str">
        <f t="shared" si="15"/>
        <v>*</v>
      </c>
    </row>
    <row r="977" spans="1:15" x14ac:dyDescent="0.25">
      <c r="A977" s="2">
        <v>134567</v>
      </c>
      <c r="B977" s="4" t="s">
        <v>859</v>
      </c>
      <c r="C977" s="41" t="s">
        <v>1345</v>
      </c>
      <c r="D977" s="42">
        <v>67</v>
      </c>
      <c r="E977" s="43">
        <v>9</v>
      </c>
      <c r="F977" s="50" t="str">
        <f>VLOOKUP(tabPontoPed[[#This Row],[GRUPO]],tabGrupos[#Data],2,FALSE)</f>
        <v>PARAFUSOS ELEM. VEDACAO UNIAO CONEX . FIXACAO</v>
      </c>
      <c r="G977" s="42" t="str">
        <f>VLOOKUP(tabPontoPed[[#This Row],[GRUPO]],tabGrupos[#Data],3,FALSE)</f>
        <v>MSE</v>
      </c>
      <c r="H977" s="41" t="s">
        <v>1339</v>
      </c>
      <c r="I977" s="9">
        <v>4</v>
      </c>
      <c r="J977" s="51">
        <v>4</v>
      </c>
      <c r="K977" s="7">
        <f>tabPontoPed[[#This Row],[QTDMÊS]] * tabPontoPed[[#This Row],[MENSAL]]</f>
        <v>16</v>
      </c>
      <c r="L977" s="13" t="s">
        <v>1012</v>
      </c>
      <c r="M977" s="44"/>
      <c r="N977" s="45" t="str">
        <f>_xlfn.IFNA(IF(VLOOKUP(tabPontoPed[[#This Row],[CÓDIGO]],Excluir_do_Estoque!$A$4:$A$4004,1,FALSE),"sim",""),"")</f>
        <v/>
      </c>
      <c r="O977" s="10" t="str">
        <f t="shared" si="15"/>
        <v>*</v>
      </c>
    </row>
    <row r="978" spans="1:15" x14ac:dyDescent="0.25">
      <c r="A978" s="2">
        <v>134568</v>
      </c>
      <c r="B978" s="4" t="s">
        <v>860</v>
      </c>
      <c r="C978" s="41" t="s">
        <v>1345</v>
      </c>
      <c r="D978" s="42">
        <v>67</v>
      </c>
      <c r="E978" s="43">
        <v>9</v>
      </c>
      <c r="F978" s="50" t="str">
        <f>VLOOKUP(tabPontoPed[[#This Row],[GRUPO]],tabGrupos[#Data],2,FALSE)</f>
        <v>PARAFUSOS ELEM. VEDACAO UNIAO CONEX . FIXACAO</v>
      </c>
      <c r="G978" s="42" t="str">
        <f>VLOOKUP(tabPontoPed[[#This Row],[GRUPO]],tabGrupos[#Data],3,FALSE)</f>
        <v>MSE</v>
      </c>
      <c r="H978" s="41" t="s">
        <v>1339</v>
      </c>
      <c r="I978" s="9">
        <v>4</v>
      </c>
      <c r="J978" s="51">
        <v>0</v>
      </c>
      <c r="K978" s="7">
        <f>tabPontoPed[[#This Row],[QTDMÊS]] * tabPontoPed[[#This Row],[MENSAL]]</f>
        <v>0</v>
      </c>
      <c r="L978" s="13" t="s">
        <v>1012</v>
      </c>
      <c r="M978" s="44"/>
      <c r="N978" s="45" t="str">
        <f>_xlfn.IFNA(IF(VLOOKUP(tabPontoPed[[#This Row],[CÓDIGO]],Excluir_do_Estoque!$A$4:$A$4004,1,FALSE),"sim",""),"")</f>
        <v/>
      </c>
      <c r="O978" s="10" t="str">
        <f t="shared" si="15"/>
        <v>*</v>
      </c>
    </row>
    <row r="979" spans="1:15" x14ac:dyDescent="0.25">
      <c r="A979" s="2">
        <v>134569</v>
      </c>
      <c r="B979" s="4" t="s">
        <v>973</v>
      </c>
      <c r="C979" s="41" t="s">
        <v>1345</v>
      </c>
      <c r="D979" s="42">
        <v>78</v>
      </c>
      <c r="E979" s="43">
        <v>2</v>
      </c>
      <c r="F979" s="50" t="str">
        <f>VLOOKUP(tabPontoPed[[#This Row],[GRUPO]],tabGrupos[#Data],2,FALSE)</f>
        <v>MOBILIARIO E COFRE</v>
      </c>
      <c r="G979" s="42" t="str">
        <f>VLOOKUP(tabPontoPed[[#This Row],[GRUPO]],tabGrupos[#Data],3,FALSE)</f>
        <v>ADM</v>
      </c>
      <c r="H979" s="41" t="s">
        <v>1339</v>
      </c>
      <c r="I979" s="9">
        <v>4</v>
      </c>
      <c r="J979" s="51">
        <v>0</v>
      </c>
      <c r="K979" s="7">
        <f>tabPontoPed[[#This Row],[QTDMÊS]] * tabPontoPed[[#This Row],[MENSAL]]</f>
        <v>0</v>
      </c>
      <c r="L979" s="13" t="s">
        <v>1012</v>
      </c>
      <c r="M979" s="44"/>
      <c r="N979" s="45" t="str">
        <f>_xlfn.IFNA(IF(VLOOKUP(tabPontoPed[[#This Row],[CÓDIGO]],Excluir_do_Estoque!$A$4:$A$4004,1,FALSE),"sim",""),"")</f>
        <v/>
      </c>
      <c r="O979" s="10" t="str">
        <f t="shared" si="15"/>
        <v>*</v>
      </c>
    </row>
    <row r="980" spans="1:15" x14ac:dyDescent="0.25">
      <c r="A980" s="2">
        <v>134581</v>
      </c>
      <c r="B980" s="4" t="s">
        <v>315</v>
      </c>
      <c r="C980" s="41" t="s">
        <v>1345</v>
      </c>
      <c r="D980" s="42">
        <v>61</v>
      </c>
      <c r="E980" s="43">
        <v>14</v>
      </c>
      <c r="F980" s="50" t="str">
        <f>VLOOKUP(tabPontoPed[[#This Row],[GRUPO]],tabGrupos[#Data],2,FALSE)</f>
        <v>MATERIAL HIDRAULICO, CANOS, TUBOS, MANGUEIRAS, CONEXOES E ACESS.</v>
      </c>
      <c r="G980" s="42" t="str">
        <f>VLOOKUP(tabPontoPed[[#This Row],[GRUPO]],tabGrupos[#Data],3,FALSE)</f>
        <v>MHI</v>
      </c>
      <c r="H980" s="41" t="s">
        <v>1339</v>
      </c>
      <c r="I980" s="9">
        <v>4</v>
      </c>
      <c r="J980" s="51">
        <v>1</v>
      </c>
      <c r="K980" s="7">
        <f>tabPontoPed[[#This Row],[QTDMÊS]] * tabPontoPed[[#This Row],[MENSAL]]</f>
        <v>4</v>
      </c>
      <c r="L980" s="13" t="s">
        <v>1012</v>
      </c>
      <c r="M980" s="44"/>
      <c r="N980" s="45" t="str">
        <f>_xlfn.IFNA(IF(VLOOKUP(tabPontoPed[[#This Row],[CÓDIGO]],Excluir_do_Estoque!$A$4:$A$4004,1,FALSE),"sim",""),"")</f>
        <v/>
      </c>
      <c r="O980" s="10" t="str">
        <f t="shared" si="15"/>
        <v>*</v>
      </c>
    </row>
    <row r="981" spans="1:15" x14ac:dyDescent="0.25">
      <c r="A981" s="2">
        <v>134582</v>
      </c>
      <c r="B981" s="4" t="s">
        <v>316</v>
      </c>
      <c r="C981" s="41" t="s">
        <v>1345</v>
      </c>
      <c r="D981" s="42">
        <v>61</v>
      </c>
      <c r="E981" s="43">
        <v>14</v>
      </c>
      <c r="F981" s="50" t="str">
        <f>VLOOKUP(tabPontoPed[[#This Row],[GRUPO]],tabGrupos[#Data],2,FALSE)</f>
        <v>MATERIAL HIDRAULICO, CANOS, TUBOS, MANGUEIRAS, CONEXOES E ACESS.</v>
      </c>
      <c r="G981" s="42" t="str">
        <f>VLOOKUP(tabPontoPed[[#This Row],[GRUPO]],tabGrupos[#Data],3,FALSE)</f>
        <v>MHI</v>
      </c>
      <c r="H981" s="41" t="s">
        <v>1339</v>
      </c>
      <c r="I981" s="9">
        <v>4</v>
      </c>
      <c r="J981" s="51">
        <v>4</v>
      </c>
      <c r="K981" s="7">
        <f>tabPontoPed[[#This Row],[QTDMÊS]] * tabPontoPed[[#This Row],[MENSAL]]</f>
        <v>16</v>
      </c>
      <c r="L981" s="13" t="s">
        <v>1012</v>
      </c>
      <c r="M981" s="44"/>
      <c r="N981" s="45" t="str">
        <f>_xlfn.IFNA(IF(VLOOKUP(tabPontoPed[[#This Row],[CÓDIGO]],Excluir_do_Estoque!$A$4:$A$4004,1,FALSE),"sim",""),"")</f>
        <v/>
      </c>
      <c r="O981" s="10" t="str">
        <f t="shared" si="15"/>
        <v>*</v>
      </c>
    </row>
    <row r="982" spans="1:15" x14ac:dyDescent="0.25">
      <c r="A982" s="2">
        <v>135224</v>
      </c>
      <c r="B982" s="4" t="s">
        <v>229</v>
      </c>
      <c r="C982" s="41" t="s">
        <v>1345</v>
      </c>
      <c r="D982" s="42">
        <v>76</v>
      </c>
      <c r="E982" s="43">
        <v>3</v>
      </c>
      <c r="F982" s="50" t="str">
        <f>VLOOKUP(tabPontoPed[[#This Row],[GRUPO]],tabGrupos[#Data],2,FALSE)</f>
        <v>EQUIP. E MATERIAIS P/PINTURAS E IMPERMEABILIZACAO</v>
      </c>
      <c r="G982" s="42" t="str">
        <f>VLOOKUP(tabPontoPed[[#This Row],[GRUPO]],tabGrupos[#Data],3,FALSE)</f>
        <v>MPI</v>
      </c>
      <c r="H982" s="41" t="s">
        <v>1339</v>
      </c>
      <c r="I982" s="9">
        <v>4</v>
      </c>
      <c r="J982" s="51">
        <v>0</v>
      </c>
      <c r="K982" s="7">
        <f>tabPontoPed[[#This Row],[QTDMÊS]] * tabPontoPed[[#This Row],[MENSAL]]</f>
        <v>0</v>
      </c>
      <c r="L982" s="13" t="s">
        <v>1012</v>
      </c>
      <c r="M982" s="44"/>
      <c r="N982" s="45" t="str">
        <f>_xlfn.IFNA(IF(VLOOKUP(tabPontoPed[[#This Row],[CÓDIGO]],Excluir_do_Estoque!$A$4:$A$4004,1,FALSE),"sim",""),"")</f>
        <v/>
      </c>
      <c r="O982" s="10" t="str">
        <f t="shared" si="15"/>
        <v>*</v>
      </c>
    </row>
    <row r="983" spans="1:15" x14ac:dyDescent="0.25">
      <c r="A983" s="2">
        <v>135225</v>
      </c>
      <c r="B983" s="4" t="s">
        <v>237</v>
      </c>
      <c r="C983" s="41" t="s">
        <v>1345</v>
      </c>
      <c r="D983" s="42">
        <v>76</v>
      </c>
      <c r="E983" s="43">
        <v>10</v>
      </c>
      <c r="F983" s="50" t="str">
        <f>VLOOKUP(tabPontoPed[[#This Row],[GRUPO]],tabGrupos[#Data],2,FALSE)</f>
        <v>EQUIP. E MATERIAIS P/PINTURAS E IMPERMEABILIZACAO</v>
      </c>
      <c r="G983" s="42" t="str">
        <f>VLOOKUP(tabPontoPed[[#This Row],[GRUPO]],tabGrupos[#Data],3,FALSE)</f>
        <v>MPI</v>
      </c>
      <c r="H983" s="41" t="s">
        <v>1339</v>
      </c>
      <c r="I983" s="9">
        <v>4</v>
      </c>
      <c r="J983" s="51">
        <v>0</v>
      </c>
      <c r="K983" s="7">
        <f>tabPontoPed[[#This Row],[QTDMÊS]] * tabPontoPed[[#This Row],[MENSAL]]</f>
        <v>0</v>
      </c>
      <c r="L983" s="13" t="s">
        <v>1012</v>
      </c>
      <c r="M983" s="44"/>
      <c r="N983" s="45" t="str">
        <f>_xlfn.IFNA(IF(VLOOKUP(tabPontoPed[[#This Row],[CÓDIGO]],Excluir_do_Estoque!$A$4:$A$4004,1,FALSE),"sim",""),"")</f>
        <v/>
      </c>
      <c r="O983" s="10" t="str">
        <f t="shared" si="15"/>
        <v>*</v>
      </c>
    </row>
    <row r="984" spans="1:15" x14ac:dyDescent="0.25">
      <c r="A984" s="2">
        <v>135226</v>
      </c>
      <c r="B984" s="4" t="s">
        <v>236</v>
      </c>
      <c r="C984" s="41" t="s">
        <v>1345</v>
      </c>
      <c r="D984" s="42">
        <v>76</v>
      </c>
      <c r="E984" s="43">
        <v>10</v>
      </c>
      <c r="F984" s="50" t="str">
        <f>VLOOKUP(tabPontoPed[[#This Row],[GRUPO]],tabGrupos[#Data],2,FALSE)</f>
        <v>EQUIP. E MATERIAIS P/PINTURAS E IMPERMEABILIZACAO</v>
      </c>
      <c r="G984" s="42" t="str">
        <f>VLOOKUP(tabPontoPed[[#This Row],[GRUPO]],tabGrupos[#Data],3,FALSE)</f>
        <v>MPI</v>
      </c>
      <c r="H984" s="41" t="s">
        <v>1339</v>
      </c>
      <c r="I984" s="9">
        <v>4</v>
      </c>
      <c r="J984" s="51">
        <v>0</v>
      </c>
      <c r="K984" s="7">
        <f>tabPontoPed[[#This Row],[QTDMÊS]] * tabPontoPed[[#This Row],[MENSAL]]</f>
        <v>0</v>
      </c>
      <c r="L984" s="13" t="s">
        <v>1012</v>
      </c>
      <c r="M984" s="44"/>
      <c r="N984" s="45" t="str">
        <f>_xlfn.IFNA(IF(VLOOKUP(tabPontoPed[[#This Row],[CÓDIGO]],Excluir_do_Estoque!$A$4:$A$4004,1,FALSE),"sim",""),"")</f>
        <v/>
      </c>
      <c r="O984" s="10" t="str">
        <f t="shared" si="15"/>
        <v>*</v>
      </c>
    </row>
    <row r="985" spans="1:15" x14ac:dyDescent="0.25">
      <c r="A985" s="2">
        <v>135227</v>
      </c>
      <c r="B985" s="4" t="s">
        <v>238</v>
      </c>
      <c r="C985" s="41" t="s">
        <v>1345</v>
      </c>
      <c r="D985" s="42">
        <v>76</v>
      </c>
      <c r="E985" s="43">
        <v>10</v>
      </c>
      <c r="F985" s="50" t="str">
        <f>VLOOKUP(tabPontoPed[[#This Row],[GRUPO]],tabGrupos[#Data],2,FALSE)</f>
        <v>EQUIP. E MATERIAIS P/PINTURAS E IMPERMEABILIZACAO</v>
      </c>
      <c r="G985" s="42" t="str">
        <f>VLOOKUP(tabPontoPed[[#This Row],[GRUPO]],tabGrupos[#Data],3,FALSE)</f>
        <v>MPI</v>
      </c>
      <c r="H985" s="41" t="s">
        <v>1339</v>
      </c>
      <c r="I985" s="9">
        <v>4</v>
      </c>
      <c r="J985" s="51">
        <v>0</v>
      </c>
      <c r="K985" s="7">
        <f>tabPontoPed[[#This Row],[QTDMÊS]] * tabPontoPed[[#This Row],[MENSAL]]</f>
        <v>0</v>
      </c>
      <c r="L985" s="13" t="s">
        <v>1012</v>
      </c>
      <c r="M985" s="44"/>
      <c r="N985" s="45" t="str">
        <f>_xlfn.IFNA(IF(VLOOKUP(tabPontoPed[[#This Row],[CÓDIGO]],Excluir_do_Estoque!$A$4:$A$4004,1,FALSE),"sim",""),"")</f>
        <v/>
      </c>
      <c r="O985" s="10" t="str">
        <f t="shared" si="15"/>
        <v>*</v>
      </c>
    </row>
    <row r="986" spans="1:15" x14ac:dyDescent="0.25">
      <c r="A986" s="2">
        <v>135238</v>
      </c>
      <c r="B986" s="4" t="s">
        <v>230</v>
      </c>
      <c r="C986" s="41" t="s">
        <v>1345</v>
      </c>
      <c r="D986" s="42">
        <v>76</v>
      </c>
      <c r="E986" s="43">
        <v>3</v>
      </c>
      <c r="F986" s="50" t="str">
        <f>VLOOKUP(tabPontoPed[[#This Row],[GRUPO]],tabGrupos[#Data],2,FALSE)</f>
        <v>EQUIP. E MATERIAIS P/PINTURAS E IMPERMEABILIZACAO</v>
      </c>
      <c r="G986" s="42" t="str">
        <f>VLOOKUP(tabPontoPed[[#This Row],[GRUPO]],tabGrupos[#Data],3,FALSE)</f>
        <v>MPI</v>
      </c>
      <c r="H986" s="41" t="s">
        <v>1339</v>
      </c>
      <c r="I986" s="9">
        <v>4</v>
      </c>
      <c r="J986" s="51">
        <v>24</v>
      </c>
      <c r="K986" s="7">
        <f>tabPontoPed[[#This Row],[QTDMÊS]] * tabPontoPed[[#This Row],[MENSAL]]</f>
        <v>96</v>
      </c>
      <c r="L986" s="13" t="s">
        <v>1012</v>
      </c>
      <c r="M986" s="44"/>
      <c r="N986" s="45" t="str">
        <f>_xlfn.IFNA(IF(VLOOKUP(tabPontoPed[[#This Row],[CÓDIGO]],Excluir_do_Estoque!$A$4:$A$4004,1,FALSE),"sim",""),"")</f>
        <v/>
      </c>
      <c r="O986" s="10" t="str">
        <f t="shared" si="15"/>
        <v>*</v>
      </c>
    </row>
    <row r="987" spans="1:15" x14ac:dyDescent="0.25">
      <c r="A987" s="2">
        <v>135239</v>
      </c>
      <c r="B987" s="4" t="s">
        <v>231</v>
      </c>
      <c r="C987" s="41" t="s">
        <v>1345</v>
      </c>
      <c r="D987" s="42">
        <v>76</v>
      </c>
      <c r="E987" s="43">
        <v>3</v>
      </c>
      <c r="F987" s="50" t="str">
        <f>VLOOKUP(tabPontoPed[[#This Row],[GRUPO]],tabGrupos[#Data],2,FALSE)</f>
        <v>EQUIP. E MATERIAIS P/PINTURAS E IMPERMEABILIZACAO</v>
      </c>
      <c r="G987" s="42" t="str">
        <f>VLOOKUP(tabPontoPed[[#This Row],[GRUPO]],tabGrupos[#Data],3,FALSE)</f>
        <v>MPI</v>
      </c>
      <c r="H987" s="41" t="s">
        <v>1339</v>
      </c>
      <c r="I987" s="9">
        <v>4</v>
      </c>
      <c r="J987" s="51">
        <v>0</v>
      </c>
      <c r="K987" s="7">
        <f>tabPontoPed[[#This Row],[QTDMÊS]] * tabPontoPed[[#This Row],[MENSAL]]</f>
        <v>0</v>
      </c>
      <c r="L987" s="13" t="s">
        <v>1012</v>
      </c>
      <c r="M987" s="44"/>
      <c r="N987" s="45" t="str">
        <f>_xlfn.IFNA(IF(VLOOKUP(tabPontoPed[[#This Row],[CÓDIGO]],Excluir_do_Estoque!$A$4:$A$4004,1,FALSE),"sim",""),"")</f>
        <v/>
      </c>
      <c r="O987" s="10" t="str">
        <f t="shared" si="15"/>
        <v>*</v>
      </c>
    </row>
    <row r="988" spans="1:15" x14ac:dyDescent="0.25">
      <c r="A988" s="2">
        <v>135297</v>
      </c>
      <c r="B988" s="4" t="s">
        <v>422</v>
      </c>
      <c r="C988" s="41" t="s">
        <v>1345</v>
      </c>
      <c r="D988" s="42">
        <v>45</v>
      </c>
      <c r="E988" s="43">
        <v>9</v>
      </c>
      <c r="F988" s="50" t="str">
        <f>VLOOKUP(tabPontoPed[[#This Row],[GRUPO]],tabGrupos[#Data],2,FALSE)</f>
        <v>MAQ., EQUIP., COMP., ACES., MAT. PARA ESCRIT.E ESCOLAR</v>
      </c>
      <c r="G988" s="42" t="str">
        <f>VLOOKUP(tabPontoPed[[#This Row],[GRUPO]],tabGrupos[#Data],3,FALSE)</f>
        <v>EDU</v>
      </c>
      <c r="H988" s="41" t="s">
        <v>1339</v>
      </c>
      <c r="I988" s="9">
        <v>4</v>
      </c>
      <c r="J988" s="51">
        <v>13</v>
      </c>
      <c r="K988" s="7">
        <f>tabPontoPed[[#This Row],[QTDMÊS]] * tabPontoPed[[#This Row],[MENSAL]]</f>
        <v>52</v>
      </c>
      <c r="L988" s="13" t="s">
        <v>1012</v>
      </c>
      <c r="M988" s="44"/>
      <c r="N988" s="45" t="str">
        <f>_xlfn.IFNA(IF(VLOOKUP(tabPontoPed[[#This Row],[CÓDIGO]],Excluir_do_Estoque!$A$4:$A$4004,1,FALSE),"sim",""),"")</f>
        <v/>
      </c>
      <c r="O988" s="10" t="str">
        <f t="shared" si="15"/>
        <v>*</v>
      </c>
    </row>
    <row r="989" spans="1:15" x14ac:dyDescent="0.25">
      <c r="A989" s="2">
        <v>135299</v>
      </c>
      <c r="B989" s="4" t="s">
        <v>302</v>
      </c>
      <c r="C989" s="41" t="s">
        <v>1345</v>
      </c>
      <c r="D989" s="42">
        <v>61</v>
      </c>
      <c r="E989" s="43">
        <v>8</v>
      </c>
      <c r="F989" s="50" t="str">
        <f>VLOOKUP(tabPontoPed[[#This Row],[GRUPO]],tabGrupos[#Data],2,FALSE)</f>
        <v>MATERIAL HIDRAULICO, CANOS, TUBOS, MANGUEIRAS, CONEXOES E ACESS.</v>
      </c>
      <c r="G989" s="42" t="str">
        <f>VLOOKUP(tabPontoPed[[#This Row],[GRUPO]],tabGrupos[#Data],3,FALSE)</f>
        <v>MHI</v>
      </c>
      <c r="H989" s="41" t="s">
        <v>1339</v>
      </c>
      <c r="I989" s="9">
        <v>4</v>
      </c>
      <c r="J989" s="51">
        <v>1</v>
      </c>
      <c r="K989" s="7">
        <f>tabPontoPed[[#This Row],[QTDMÊS]] * tabPontoPed[[#This Row],[MENSAL]]</f>
        <v>4</v>
      </c>
      <c r="L989" s="13" t="s">
        <v>1012</v>
      </c>
      <c r="M989" s="44"/>
      <c r="N989" s="45" t="str">
        <f>_xlfn.IFNA(IF(VLOOKUP(tabPontoPed[[#This Row],[CÓDIGO]],Excluir_do_Estoque!$A$4:$A$4004,1,FALSE),"sim",""),"")</f>
        <v/>
      </c>
      <c r="O989" s="10" t="str">
        <f t="shared" si="15"/>
        <v>*</v>
      </c>
    </row>
    <row r="990" spans="1:15" x14ac:dyDescent="0.25">
      <c r="A990" s="2">
        <v>135300</v>
      </c>
      <c r="B990" s="4" t="s">
        <v>294</v>
      </c>
      <c r="C990" s="41" t="s">
        <v>1345</v>
      </c>
      <c r="D990" s="42">
        <v>61</v>
      </c>
      <c r="E990" s="43">
        <v>8</v>
      </c>
      <c r="F990" s="50" t="str">
        <f>VLOOKUP(tabPontoPed[[#This Row],[GRUPO]],tabGrupos[#Data],2,FALSE)</f>
        <v>MATERIAL HIDRAULICO, CANOS, TUBOS, MANGUEIRAS, CONEXOES E ACESS.</v>
      </c>
      <c r="G990" s="42" t="str">
        <f>VLOOKUP(tabPontoPed[[#This Row],[GRUPO]],tabGrupos[#Data],3,FALSE)</f>
        <v>MHI</v>
      </c>
      <c r="H990" s="41" t="s">
        <v>1339</v>
      </c>
      <c r="I990" s="9">
        <v>4</v>
      </c>
      <c r="J990" s="51">
        <v>1</v>
      </c>
      <c r="K990" s="7">
        <f>tabPontoPed[[#This Row],[QTDMÊS]] * tabPontoPed[[#This Row],[MENSAL]]</f>
        <v>4</v>
      </c>
      <c r="L990" s="13" t="s">
        <v>1012</v>
      </c>
      <c r="M990" s="44"/>
      <c r="N990" s="45" t="str">
        <f>_xlfn.IFNA(IF(VLOOKUP(tabPontoPed[[#This Row],[CÓDIGO]],Excluir_do_Estoque!$A$4:$A$4004,1,FALSE),"sim",""),"")</f>
        <v/>
      </c>
      <c r="O990" s="10" t="str">
        <f t="shared" si="15"/>
        <v>*</v>
      </c>
    </row>
    <row r="991" spans="1:15" x14ac:dyDescent="0.25">
      <c r="A991" s="2">
        <v>135301</v>
      </c>
      <c r="B991" s="4" t="s">
        <v>303</v>
      </c>
      <c r="C991" s="41" t="s">
        <v>1345</v>
      </c>
      <c r="D991" s="42">
        <v>61</v>
      </c>
      <c r="E991" s="43">
        <v>8</v>
      </c>
      <c r="F991" s="50" t="str">
        <f>VLOOKUP(tabPontoPed[[#This Row],[GRUPO]],tabGrupos[#Data],2,FALSE)</f>
        <v>MATERIAL HIDRAULICO, CANOS, TUBOS, MANGUEIRAS, CONEXOES E ACESS.</v>
      </c>
      <c r="G991" s="42" t="str">
        <f>VLOOKUP(tabPontoPed[[#This Row],[GRUPO]],tabGrupos[#Data],3,FALSE)</f>
        <v>MHI</v>
      </c>
      <c r="H991" s="41" t="s">
        <v>1339</v>
      </c>
      <c r="I991" s="9">
        <v>4</v>
      </c>
      <c r="J991" s="51">
        <v>6</v>
      </c>
      <c r="K991" s="7">
        <f>tabPontoPed[[#This Row],[QTDMÊS]] * tabPontoPed[[#This Row],[MENSAL]]</f>
        <v>24</v>
      </c>
      <c r="L991" s="13" t="s">
        <v>1012</v>
      </c>
      <c r="M991" s="44"/>
      <c r="N991" s="45" t="str">
        <f>_xlfn.IFNA(IF(VLOOKUP(tabPontoPed[[#This Row],[CÓDIGO]],Excluir_do_Estoque!$A$4:$A$4004,1,FALSE),"sim",""),"")</f>
        <v/>
      </c>
      <c r="O991" s="10" t="str">
        <f t="shared" si="15"/>
        <v>*</v>
      </c>
    </row>
    <row r="992" spans="1:15" x14ac:dyDescent="0.25">
      <c r="A992" s="2">
        <v>135302</v>
      </c>
      <c r="B992" s="4" t="s">
        <v>304</v>
      </c>
      <c r="C992" s="41" t="s">
        <v>1345</v>
      </c>
      <c r="D992" s="42">
        <v>61</v>
      </c>
      <c r="E992" s="43">
        <v>8</v>
      </c>
      <c r="F992" s="50" t="str">
        <f>VLOOKUP(tabPontoPed[[#This Row],[GRUPO]],tabGrupos[#Data],2,FALSE)</f>
        <v>MATERIAL HIDRAULICO, CANOS, TUBOS, MANGUEIRAS, CONEXOES E ACESS.</v>
      </c>
      <c r="G992" s="42" t="str">
        <f>VLOOKUP(tabPontoPed[[#This Row],[GRUPO]],tabGrupos[#Data],3,FALSE)</f>
        <v>MHI</v>
      </c>
      <c r="H992" s="41" t="s">
        <v>1339</v>
      </c>
      <c r="I992" s="9">
        <v>4</v>
      </c>
      <c r="J992" s="51">
        <v>5</v>
      </c>
      <c r="K992" s="7">
        <f>tabPontoPed[[#This Row],[QTDMÊS]] * tabPontoPed[[#This Row],[MENSAL]]</f>
        <v>20</v>
      </c>
      <c r="L992" s="13" t="s">
        <v>1012</v>
      </c>
      <c r="M992" s="44"/>
      <c r="N992" s="45" t="str">
        <f>_xlfn.IFNA(IF(VLOOKUP(tabPontoPed[[#This Row],[CÓDIGO]],Excluir_do_Estoque!$A$4:$A$4004,1,FALSE),"sim",""),"")</f>
        <v/>
      </c>
      <c r="O992" s="10" t="str">
        <f t="shared" si="15"/>
        <v>*</v>
      </c>
    </row>
    <row r="993" spans="1:15" x14ac:dyDescent="0.25">
      <c r="A993" s="2">
        <v>135303</v>
      </c>
      <c r="B993" s="4" t="s">
        <v>490</v>
      </c>
      <c r="C993" s="41" t="s">
        <v>1345</v>
      </c>
      <c r="D993" s="42">
        <v>49</v>
      </c>
      <c r="E993" s="43">
        <v>7</v>
      </c>
      <c r="F993" s="50" t="str">
        <f>VLOOKUP(tabPontoPed[[#This Row],[GRUPO]],tabGrupos[#Data],2,FALSE)</f>
        <v>EQUIP. P/REFR. PURIF. ADUCAO DE AGUA E TRAT. DE ESGOTO</v>
      </c>
      <c r="G993" s="42" t="str">
        <f>VLOOKUP(tabPontoPed[[#This Row],[GRUPO]],tabGrupos[#Data],3,FALSE)</f>
        <v>MHI</v>
      </c>
      <c r="H993" s="41" t="s">
        <v>1339</v>
      </c>
      <c r="I993" s="9">
        <v>4</v>
      </c>
      <c r="J993" s="51">
        <v>2</v>
      </c>
      <c r="K993" s="7">
        <f>tabPontoPed[[#This Row],[QTDMÊS]] * tabPontoPed[[#This Row],[MENSAL]]</f>
        <v>8</v>
      </c>
      <c r="L993" s="13" t="s">
        <v>1012</v>
      </c>
      <c r="M993" s="44"/>
      <c r="N993" s="45" t="str">
        <f>_xlfn.IFNA(IF(VLOOKUP(tabPontoPed[[#This Row],[CÓDIGO]],Excluir_do_Estoque!$A$4:$A$4004,1,FALSE),"sim",""),"")</f>
        <v/>
      </c>
      <c r="O993" s="10" t="str">
        <f t="shared" si="15"/>
        <v>*</v>
      </c>
    </row>
    <row r="994" spans="1:15" x14ac:dyDescent="0.25">
      <c r="A994" s="2">
        <v>135304</v>
      </c>
      <c r="B994" s="4" t="s">
        <v>295</v>
      </c>
      <c r="C994" s="41" t="s">
        <v>1345</v>
      </c>
      <c r="D994" s="42">
        <v>61</v>
      </c>
      <c r="E994" s="43">
        <v>8</v>
      </c>
      <c r="F994" s="50" t="str">
        <f>VLOOKUP(tabPontoPed[[#This Row],[GRUPO]],tabGrupos[#Data],2,FALSE)</f>
        <v>MATERIAL HIDRAULICO, CANOS, TUBOS, MANGUEIRAS, CONEXOES E ACESS.</v>
      </c>
      <c r="G994" s="42" t="str">
        <f>VLOOKUP(tabPontoPed[[#This Row],[GRUPO]],tabGrupos[#Data],3,FALSE)</f>
        <v>MHI</v>
      </c>
      <c r="H994" s="41" t="s">
        <v>1339</v>
      </c>
      <c r="I994" s="9">
        <v>4</v>
      </c>
      <c r="J994" s="51">
        <v>1</v>
      </c>
      <c r="K994" s="7">
        <f>tabPontoPed[[#This Row],[QTDMÊS]] * tabPontoPed[[#This Row],[MENSAL]]</f>
        <v>4</v>
      </c>
      <c r="L994" s="13" t="s">
        <v>1012</v>
      </c>
      <c r="M994" s="44"/>
      <c r="N994" s="45" t="str">
        <f>_xlfn.IFNA(IF(VLOOKUP(tabPontoPed[[#This Row],[CÓDIGO]],Excluir_do_Estoque!$A$4:$A$4004,1,FALSE),"sim",""),"")</f>
        <v/>
      </c>
      <c r="O994" s="10" t="str">
        <f t="shared" si="15"/>
        <v>*</v>
      </c>
    </row>
    <row r="995" spans="1:15" x14ac:dyDescent="0.25">
      <c r="A995" s="2">
        <v>135414</v>
      </c>
      <c r="B995" s="4" t="s">
        <v>786</v>
      </c>
      <c r="C995" s="41" t="s">
        <v>1345</v>
      </c>
      <c r="D995" s="42">
        <v>61</v>
      </c>
      <c r="E995" s="43">
        <v>14</v>
      </c>
      <c r="F995" s="50" t="str">
        <f>VLOOKUP(tabPontoPed[[#This Row],[GRUPO]],tabGrupos[#Data],2,FALSE)</f>
        <v>MATERIAL HIDRAULICO, CANOS, TUBOS, MANGUEIRAS, CONEXOES E ACESS.</v>
      </c>
      <c r="G995" s="42" t="str">
        <f>VLOOKUP(tabPontoPed[[#This Row],[GRUPO]],tabGrupos[#Data],3,FALSE)</f>
        <v>MHI</v>
      </c>
      <c r="H995" s="41" t="s">
        <v>1339</v>
      </c>
      <c r="I995" s="9">
        <v>4</v>
      </c>
      <c r="J995" s="51">
        <v>0</v>
      </c>
      <c r="K995" s="7">
        <f>tabPontoPed[[#This Row],[QTDMÊS]] * tabPontoPed[[#This Row],[MENSAL]]</f>
        <v>0</v>
      </c>
      <c r="L995" s="13" t="s">
        <v>1012</v>
      </c>
      <c r="M995" s="44"/>
      <c r="N995" s="45" t="str">
        <f>_xlfn.IFNA(IF(VLOOKUP(tabPontoPed[[#This Row],[CÓDIGO]],Excluir_do_Estoque!$A$4:$A$4004,1,FALSE),"sim",""),"")</f>
        <v/>
      </c>
      <c r="O995" s="10" t="str">
        <f t="shared" si="15"/>
        <v>*</v>
      </c>
    </row>
    <row r="996" spans="1:15" x14ac:dyDescent="0.25">
      <c r="A996" s="2">
        <v>135699</v>
      </c>
      <c r="B996" s="4" t="s">
        <v>417</v>
      </c>
      <c r="C996" s="41" t="s">
        <v>1345</v>
      </c>
      <c r="D996" s="42">
        <v>45</v>
      </c>
      <c r="E996" s="43">
        <v>9</v>
      </c>
      <c r="F996" s="50" t="str">
        <f>VLOOKUP(tabPontoPed[[#This Row],[GRUPO]],tabGrupos[#Data],2,FALSE)</f>
        <v>MAQ., EQUIP., COMP., ACES., MAT. PARA ESCRIT.E ESCOLAR</v>
      </c>
      <c r="G996" s="42" t="str">
        <f>VLOOKUP(tabPontoPed[[#This Row],[GRUPO]],tabGrupos[#Data],3,FALSE)</f>
        <v>EDU</v>
      </c>
      <c r="H996" s="41" t="s">
        <v>1339</v>
      </c>
      <c r="I996" s="9">
        <v>4</v>
      </c>
      <c r="J996" s="51">
        <v>0</v>
      </c>
      <c r="K996" s="7">
        <f>tabPontoPed[[#This Row],[QTDMÊS]] * tabPontoPed[[#This Row],[MENSAL]]</f>
        <v>0</v>
      </c>
      <c r="L996" s="13" t="s">
        <v>1012</v>
      </c>
      <c r="M996" s="44"/>
      <c r="N996" s="45" t="str">
        <f>_xlfn.IFNA(IF(VLOOKUP(tabPontoPed[[#This Row],[CÓDIGO]],Excluir_do_Estoque!$A$4:$A$4004,1,FALSE),"sim",""),"")</f>
        <v/>
      </c>
      <c r="O996" s="10" t="str">
        <f t="shared" si="15"/>
        <v>*</v>
      </c>
    </row>
    <row r="997" spans="1:15" x14ac:dyDescent="0.25">
      <c r="A997" s="2">
        <v>135700</v>
      </c>
      <c r="B997" s="4" t="s">
        <v>423</v>
      </c>
      <c r="C997" s="41" t="s">
        <v>1345</v>
      </c>
      <c r="D997" s="42">
        <v>45</v>
      </c>
      <c r="E997" s="43">
        <v>9</v>
      </c>
      <c r="F997" s="50" t="str">
        <f>VLOOKUP(tabPontoPed[[#This Row],[GRUPO]],tabGrupos[#Data],2,FALSE)</f>
        <v>MAQ., EQUIP., COMP., ACES., MAT. PARA ESCRIT.E ESCOLAR</v>
      </c>
      <c r="G997" s="42" t="str">
        <f>VLOOKUP(tabPontoPed[[#This Row],[GRUPO]],tabGrupos[#Data],3,FALSE)</f>
        <v>EDU</v>
      </c>
      <c r="H997" s="41" t="s">
        <v>1339</v>
      </c>
      <c r="I997" s="9">
        <v>4</v>
      </c>
      <c r="J997" s="51">
        <v>768</v>
      </c>
      <c r="K997" s="7">
        <f>tabPontoPed[[#This Row],[QTDMÊS]] * tabPontoPed[[#This Row],[MENSAL]]</f>
        <v>3072</v>
      </c>
      <c r="L997" s="13" t="s">
        <v>1012</v>
      </c>
      <c r="M997" s="44"/>
      <c r="N997" s="45" t="str">
        <f>_xlfn.IFNA(IF(VLOOKUP(tabPontoPed[[#This Row],[CÓDIGO]],Excluir_do_Estoque!$A$4:$A$4004,1,FALSE),"sim",""),"")</f>
        <v/>
      </c>
      <c r="O997" s="10" t="str">
        <f t="shared" si="15"/>
        <v>*</v>
      </c>
    </row>
    <row r="998" spans="1:15" x14ac:dyDescent="0.25">
      <c r="A998" s="2">
        <v>135701</v>
      </c>
      <c r="B998" s="4" t="s">
        <v>1317</v>
      </c>
      <c r="C998" s="41" t="s">
        <v>1345</v>
      </c>
      <c r="D998" s="42">
        <v>45</v>
      </c>
      <c r="E998" s="43">
        <v>9</v>
      </c>
      <c r="F998" s="50" t="str">
        <f>VLOOKUP(tabPontoPed[[#This Row],[GRUPO]],tabGrupos[#Data],2,FALSE)</f>
        <v>MAQ., EQUIP., COMP., ACES., MAT. PARA ESCRIT.E ESCOLAR</v>
      </c>
      <c r="G998" s="42" t="str">
        <f>VLOOKUP(tabPontoPed[[#This Row],[GRUPO]],tabGrupos[#Data],3,FALSE)</f>
        <v>EDU</v>
      </c>
      <c r="H998" s="41" t="s">
        <v>1339</v>
      </c>
      <c r="I998" s="9">
        <v>4</v>
      </c>
      <c r="J998" s="51">
        <v>0</v>
      </c>
      <c r="K998" s="7">
        <f>tabPontoPed[[#This Row],[QTDMÊS]] * tabPontoPed[[#This Row],[MENSAL]]</f>
        <v>0</v>
      </c>
      <c r="L998" s="13" t="s">
        <v>1012</v>
      </c>
      <c r="M998" s="44"/>
      <c r="N998" s="45" t="str">
        <f>_xlfn.IFNA(IF(VLOOKUP(tabPontoPed[[#This Row],[CÓDIGO]],Excluir_do_Estoque!$A$4:$A$4004,1,FALSE),"sim",""),"")</f>
        <v/>
      </c>
      <c r="O998" s="10" t="str">
        <f t="shared" si="15"/>
        <v>*</v>
      </c>
    </row>
    <row r="999" spans="1:15" x14ac:dyDescent="0.25">
      <c r="A999" s="2">
        <v>135704</v>
      </c>
      <c r="B999" s="4" t="s">
        <v>1318</v>
      </c>
      <c r="C999" s="41" t="s">
        <v>1345</v>
      </c>
      <c r="D999" s="42">
        <v>45</v>
      </c>
      <c r="E999" s="43">
        <v>12</v>
      </c>
      <c r="F999" s="50" t="str">
        <f>VLOOKUP(tabPontoPed[[#This Row],[GRUPO]],tabGrupos[#Data],2,FALSE)</f>
        <v>MAQ., EQUIP., COMP., ACES., MAT. PARA ESCRIT.E ESCOLAR</v>
      </c>
      <c r="G999" s="42" t="str">
        <f>VLOOKUP(tabPontoPed[[#This Row],[GRUPO]],tabGrupos[#Data],3,FALSE)</f>
        <v>EDU</v>
      </c>
      <c r="H999" s="41" t="s">
        <v>1339</v>
      </c>
      <c r="I999" s="9">
        <v>4</v>
      </c>
      <c r="J999" s="51">
        <v>0</v>
      </c>
      <c r="K999" s="7">
        <f>tabPontoPed[[#This Row],[QTDMÊS]] * tabPontoPed[[#This Row],[MENSAL]]</f>
        <v>0</v>
      </c>
      <c r="L999" s="13" t="s">
        <v>1012</v>
      </c>
      <c r="M999" s="44"/>
      <c r="N999" s="45" t="str">
        <f>_xlfn.IFNA(IF(VLOOKUP(tabPontoPed[[#This Row],[CÓDIGO]],Excluir_do_Estoque!$A$4:$A$4004,1,FALSE),"sim",""),"")</f>
        <v/>
      </c>
      <c r="O999" s="10" t="str">
        <f t="shared" si="15"/>
        <v>*</v>
      </c>
    </row>
    <row r="1000" spans="1:15" x14ac:dyDescent="0.25">
      <c r="A1000" s="2">
        <v>135734</v>
      </c>
      <c r="B1000" s="4" t="s">
        <v>1322</v>
      </c>
      <c r="C1000" s="41" t="s">
        <v>1345</v>
      </c>
      <c r="D1000" s="42">
        <v>55</v>
      </c>
      <c r="E1000" s="43">
        <v>66</v>
      </c>
      <c r="F1000" s="50" t="str">
        <f>VLOOKUP(tabPontoPed[[#This Row],[GRUPO]],tabGrupos[#Data],2,FALSE)</f>
        <v>EQUIP. MAT. P/ GERACAO, TRANSM. DISTR. RETIF...</v>
      </c>
      <c r="G1000" s="42" t="str">
        <f>VLOOKUP(tabPontoPed[[#This Row],[GRUPO]],tabGrupos[#Data],3,FALSE)</f>
        <v>MEL</v>
      </c>
      <c r="H1000" s="41" t="s">
        <v>1339</v>
      </c>
      <c r="I1000" s="9">
        <v>4</v>
      </c>
      <c r="J1000" s="51">
        <v>0</v>
      </c>
      <c r="K1000" s="7">
        <f>tabPontoPed[[#This Row],[QTDMÊS]] * tabPontoPed[[#This Row],[MENSAL]]</f>
        <v>0</v>
      </c>
      <c r="L1000" s="13" t="s">
        <v>1012</v>
      </c>
      <c r="M1000" s="44"/>
      <c r="N1000" s="45" t="str">
        <f>_xlfn.IFNA(IF(VLOOKUP(tabPontoPed[[#This Row],[CÓDIGO]],Excluir_do_Estoque!$A$4:$A$4004,1,FALSE),"sim",""),"")</f>
        <v/>
      </c>
      <c r="O1000" s="10" t="str">
        <f t="shared" si="15"/>
        <v>*</v>
      </c>
    </row>
    <row r="1001" spans="1:15" x14ac:dyDescent="0.25">
      <c r="A1001" s="2">
        <v>136037</v>
      </c>
      <c r="B1001" s="4" t="s">
        <v>957</v>
      </c>
      <c r="C1001" s="41" t="s">
        <v>1345</v>
      </c>
      <c r="D1001" s="42">
        <v>76</v>
      </c>
      <c r="E1001" s="43">
        <v>3</v>
      </c>
      <c r="F1001" s="50" t="str">
        <f>VLOOKUP(tabPontoPed[[#This Row],[GRUPO]],tabGrupos[#Data],2,FALSE)</f>
        <v>EQUIP. E MATERIAIS P/PINTURAS E IMPERMEABILIZACAO</v>
      </c>
      <c r="G1001" s="42" t="str">
        <f>VLOOKUP(tabPontoPed[[#This Row],[GRUPO]],tabGrupos[#Data],3,FALSE)</f>
        <v>MPI</v>
      </c>
      <c r="H1001" s="41" t="s">
        <v>1339</v>
      </c>
      <c r="I1001" s="9">
        <v>4</v>
      </c>
      <c r="J1001" s="51">
        <v>0</v>
      </c>
      <c r="K1001" s="7">
        <f>tabPontoPed[[#This Row],[QTDMÊS]] * tabPontoPed[[#This Row],[MENSAL]]</f>
        <v>0</v>
      </c>
      <c r="L1001" s="13" t="s">
        <v>1012</v>
      </c>
      <c r="M1001" s="44"/>
      <c r="N1001" s="45" t="str">
        <f>_xlfn.IFNA(IF(VLOOKUP(tabPontoPed[[#This Row],[CÓDIGO]],Excluir_do_Estoque!$A$4:$A$4004,1,FALSE),"sim",""),"")</f>
        <v/>
      </c>
      <c r="O1001" s="10" t="str">
        <f t="shared" si="15"/>
        <v>*</v>
      </c>
    </row>
    <row r="1002" spans="1:15" x14ac:dyDescent="0.25">
      <c r="A1002" s="2">
        <v>136038</v>
      </c>
      <c r="B1002" s="4" t="s">
        <v>958</v>
      </c>
      <c r="C1002" s="41" t="s">
        <v>1345</v>
      </c>
      <c r="D1002" s="42">
        <v>76</v>
      </c>
      <c r="E1002" s="43">
        <v>3</v>
      </c>
      <c r="F1002" s="50" t="str">
        <f>VLOOKUP(tabPontoPed[[#This Row],[GRUPO]],tabGrupos[#Data],2,FALSE)</f>
        <v>EQUIP. E MATERIAIS P/PINTURAS E IMPERMEABILIZACAO</v>
      </c>
      <c r="G1002" s="42" t="str">
        <f>VLOOKUP(tabPontoPed[[#This Row],[GRUPO]],tabGrupos[#Data],3,FALSE)</f>
        <v>MPI</v>
      </c>
      <c r="H1002" s="41" t="s">
        <v>1339</v>
      </c>
      <c r="I1002" s="9">
        <v>4</v>
      </c>
      <c r="J1002" s="51">
        <v>0</v>
      </c>
      <c r="K1002" s="7">
        <f>tabPontoPed[[#This Row],[QTDMÊS]] * tabPontoPed[[#This Row],[MENSAL]]</f>
        <v>0</v>
      </c>
      <c r="L1002" s="13" t="s">
        <v>1012</v>
      </c>
      <c r="M1002" s="44"/>
      <c r="N1002" s="45" t="str">
        <f>_xlfn.IFNA(IF(VLOOKUP(tabPontoPed[[#This Row],[CÓDIGO]],Excluir_do_Estoque!$A$4:$A$4004,1,FALSE),"sim",""),"")</f>
        <v/>
      </c>
      <c r="O1002" s="10" t="str">
        <f t="shared" si="15"/>
        <v>*</v>
      </c>
    </row>
    <row r="1003" spans="1:15" x14ac:dyDescent="0.25">
      <c r="A1003" s="2">
        <v>136039</v>
      </c>
      <c r="B1003" s="4" t="s">
        <v>959</v>
      </c>
      <c r="C1003" s="41" t="s">
        <v>1345</v>
      </c>
      <c r="D1003" s="42">
        <v>76</v>
      </c>
      <c r="E1003" s="43">
        <v>3</v>
      </c>
      <c r="F1003" s="50" t="str">
        <f>VLOOKUP(tabPontoPed[[#This Row],[GRUPO]],tabGrupos[#Data],2,FALSE)</f>
        <v>EQUIP. E MATERIAIS P/PINTURAS E IMPERMEABILIZACAO</v>
      </c>
      <c r="G1003" s="42" t="str">
        <f>VLOOKUP(tabPontoPed[[#This Row],[GRUPO]],tabGrupos[#Data],3,FALSE)</f>
        <v>MPI</v>
      </c>
      <c r="H1003" s="41" t="s">
        <v>1339</v>
      </c>
      <c r="I1003" s="9">
        <v>4</v>
      </c>
      <c r="J1003" s="51">
        <v>0</v>
      </c>
      <c r="K1003" s="7">
        <f>tabPontoPed[[#This Row],[QTDMÊS]] * tabPontoPed[[#This Row],[MENSAL]]</f>
        <v>0</v>
      </c>
      <c r="L1003" s="13" t="s">
        <v>1012</v>
      </c>
      <c r="M1003" s="44"/>
      <c r="N1003" s="45" t="str">
        <f>_xlfn.IFNA(IF(VLOOKUP(tabPontoPed[[#This Row],[CÓDIGO]],Excluir_do_Estoque!$A$4:$A$4004,1,FALSE),"sim",""),"")</f>
        <v/>
      </c>
      <c r="O1003" s="10" t="str">
        <f t="shared" si="15"/>
        <v>*</v>
      </c>
    </row>
    <row r="1004" spans="1:15" x14ac:dyDescent="0.25">
      <c r="A1004" s="2">
        <v>136040</v>
      </c>
      <c r="B1004" s="4" t="s">
        <v>960</v>
      </c>
      <c r="C1004" s="41" t="s">
        <v>1345</v>
      </c>
      <c r="D1004" s="42">
        <v>76</v>
      </c>
      <c r="E1004" s="43">
        <v>3</v>
      </c>
      <c r="F1004" s="50" t="str">
        <f>VLOOKUP(tabPontoPed[[#This Row],[GRUPO]],tabGrupos[#Data],2,FALSE)</f>
        <v>EQUIP. E MATERIAIS P/PINTURAS E IMPERMEABILIZACAO</v>
      </c>
      <c r="G1004" s="42" t="str">
        <f>VLOOKUP(tabPontoPed[[#This Row],[GRUPO]],tabGrupos[#Data],3,FALSE)</f>
        <v>MPI</v>
      </c>
      <c r="H1004" s="41" t="s">
        <v>1339</v>
      </c>
      <c r="I1004" s="9">
        <v>4</v>
      </c>
      <c r="J1004" s="51">
        <v>0</v>
      </c>
      <c r="K1004" s="7">
        <f>tabPontoPed[[#This Row],[QTDMÊS]] * tabPontoPed[[#This Row],[MENSAL]]</f>
        <v>0</v>
      </c>
      <c r="L1004" s="13" t="s">
        <v>1012</v>
      </c>
      <c r="M1004" s="44"/>
      <c r="N1004" s="45" t="str">
        <f>_xlfn.IFNA(IF(VLOOKUP(tabPontoPed[[#This Row],[CÓDIGO]],Excluir_do_Estoque!$A$4:$A$4004,1,FALSE),"sim",""),"")</f>
        <v/>
      </c>
      <c r="O1004" s="10" t="str">
        <f t="shared" si="15"/>
        <v>*</v>
      </c>
    </row>
    <row r="1005" spans="1:15" x14ac:dyDescent="0.25">
      <c r="A1005" s="2">
        <v>136082</v>
      </c>
      <c r="B1005" s="4" t="s">
        <v>679</v>
      </c>
      <c r="C1005" s="41" t="s">
        <v>1345</v>
      </c>
      <c r="D1005" s="42">
        <v>55</v>
      </c>
      <c r="E1005" s="43">
        <v>37</v>
      </c>
      <c r="F1005" s="50" t="str">
        <f>VLOOKUP(tabPontoPed[[#This Row],[GRUPO]],tabGrupos[#Data],2,FALSE)</f>
        <v>EQUIP. MAT. P/ GERACAO, TRANSM. DISTR. RETIF...</v>
      </c>
      <c r="G1005" s="42" t="str">
        <f>VLOOKUP(tabPontoPed[[#This Row],[GRUPO]],tabGrupos[#Data],3,FALSE)</f>
        <v>MEL</v>
      </c>
      <c r="H1005" s="41" t="s">
        <v>1339</v>
      </c>
      <c r="I1005" s="9">
        <v>4</v>
      </c>
      <c r="J1005" s="51">
        <v>0</v>
      </c>
      <c r="K1005" s="7">
        <f>tabPontoPed[[#This Row],[QTDMÊS]] * tabPontoPed[[#This Row],[MENSAL]]</f>
        <v>0</v>
      </c>
      <c r="L1005" s="13" t="s">
        <v>1012</v>
      </c>
      <c r="M1005" s="44"/>
      <c r="N1005" s="45" t="str">
        <f>_xlfn.IFNA(IF(VLOOKUP(tabPontoPed[[#This Row],[CÓDIGO]],Excluir_do_Estoque!$A$4:$A$4004,1,FALSE),"sim",""),"")</f>
        <v/>
      </c>
      <c r="O1005" s="10" t="str">
        <f t="shared" si="15"/>
        <v>*</v>
      </c>
    </row>
    <row r="1006" spans="1:15" x14ac:dyDescent="0.25">
      <c r="A1006" s="2">
        <v>136083</v>
      </c>
      <c r="B1006" s="4" t="s">
        <v>680</v>
      </c>
      <c r="C1006" s="41" t="s">
        <v>1345</v>
      </c>
      <c r="D1006" s="42">
        <v>55</v>
      </c>
      <c r="E1006" s="43">
        <v>37</v>
      </c>
      <c r="F1006" s="50" t="str">
        <f>VLOOKUP(tabPontoPed[[#This Row],[GRUPO]],tabGrupos[#Data],2,FALSE)</f>
        <v>EQUIP. MAT. P/ GERACAO, TRANSM. DISTR. RETIF...</v>
      </c>
      <c r="G1006" s="42" t="str">
        <f>VLOOKUP(tabPontoPed[[#This Row],[GRUPO]],tabGrupos[#Data],3,FALSE)</f>
        <v>MEL</v>
      </c>
      <c r="H1006" s="41" t="s">
        <v>1339</v>
      </c>
      <c r="I1006" s="9">
        <v>4</v>
      </c>
      <c r="J1006" s="51">
        <v>0</v>
      </c>
      <c r="K1006" s="7">
        <f>tabPontoPed[[#This Row],[QTDMÊS]] * tabPontoPed[[#This Row],[MENSAL]]</f>
        <v>0</v>
      </c>
      <c r="L1006" s="13" t="s">
        <v>1012</v>
      </c>
      <c r="M1006" s="44"/>
      <c r="N1006" s="45" t="str">
        <f>_xlfn.IFNA(IF(VLOOKUP(tabPontoPed[[#This Row],[CÓDIGO]],Excluir_do_Estoque!$A$4:$A$4004,1,FALSE),"sim",""),"")</f>
        <v/>
      </c>
      <c r="O1006" s="10" t="str">
        <f t="shared" si="15"/>
        <v>*</v>
      </c>
    </row>
    <row r="1007" spans="1:15" x14ac:dyDescent="0.25">
      <c r="A1007" s="2">
        <v>136273</v>
      </c>
      <c r="B1007" s="4" t="s">
        <v>1321</v>
      </c>
      <c r="C1007" s="41" t="s">
        <v>1345</v>
      </c>
      <c r="D1007" s="42">
        <v>51</v>
      </c>
      <c r="E1007" s="43">
        <v>11</v>
      </c>
      <c r="F1007" s="50" t="str">
        <f>VLOOKUP(tabPontoPed[[#This Row],[GRUPO]],tabGrupos[#Data],2,FALSE)</f>
        <v>MAT.E EQUIP. P/ CONSTR.CIVIL E CONSERV. DE VIAS PUBL.</v>
      </c>
      <c r="G1007" s="42" t="str">
        <f>VLOOKUP(tabPontoPed[[#This Row],[GRUPO]],tabGrupos[#Data],3,FALSE)</f>
        <v>MCO</v>
      </c>
      <c r="H1007" s="41" t="s">
        <v>1339</v>
      </c>
      <c r="I1007" s="9">
        <v>4</v>
      </c>
      <c r="J1007" s="51">
        <v>0</v>
      </c>
      <c r="K1007" s="7">
        <f>tabPontoPed[[#This Row],[QTDMÊS]] * tabPontoPed[[#This Row],[MENSAL]]</f>
        <v>0</v>
      </c>
      <c r="L1007" s="13" t="s">
        <v>1012</v>
      </c>
      <c r="M1007" s="44"/>
      <c r="N1007" s="45" t="str">
        <f>_xlfn.IFNA(IF(VLOOKUP(tabPontoPed[[#This Row],[CÓDIGO]],Excluir_do_Estoque!$A$4:$A$4004,1,FALSE),"sim",""),"")</f>
        <v/>
      </c>
      <c r="O1007" s="10" t="str">
        <f t="shared" si="15"/>
        <v>*</v>
      </c>
    </row>
    <row r="1008" spans="1:15" x14ac:dyDescent="0.25">
      <c r="A1008" s="2">
        <v>136408</v>
      </c>
      <c r="B1008" s="4" t="s">
        <v>1319</v>
      </c>
      <c r="C1008" s="41" t="s">
        <v>1345</v>
      </c>
      <c r="D1008" s="42">
        <v>45</v>
      </c>
      <c r="E1008" s="43">
        <v>14</v>
      </c>
      <c r="F1008" s="50" t="str">
        <f>VLOOKUP(tabPontoPed[[#This Row],[GRUPO]],tabGrupos[#Data],2,FALSE)</f>
        <v>MAQ., EQUIP., COMP., ACES., MAT. PARA ESCRIT.E ESCOLAR</v>
      </c>
      <c r="G1008" s="42" t="str">
        <f>VLOOKUP(tabPontoPed[[#This Row],[GRUPO]],tabGrupos[#Data],3,FALSE)</f>
        <v>EDU</v>
      </c>
      <c r="H1008" s="41" t="s">
        <v>1339</v>
      </c>
      <c r="I1008" s="9">
        <v>4</v>
      </c>
      <c r="J1008" s="51">
        <v>0</v>
      </c>
      <c r="K1008" s="7">
        <f>tabPontoPed[[#This Row],[QTDMÊS]] * tabPontoPed[[#This Row],[MENSAL]]</f>
        <v>0</v>
      </c>
      <c r="L1008" s="13" t="s">
        <v>1012</v>
      </c>
      <c r="M1008" s="44"/>
      <c r="N1008" s="45" t="str">
        <f>_xlfn.IFNA(IF(VLOOKUP(tabPontoPed[[#This Row],[CÓDIGO]],Excluir_do_Estoque!$A$4:$A$4004,1,FALSE),"sim",""),"")</f>
        <v/>
      </c>
      <c r="O1008" s="10" t="str">
        <f t="shared" si="15"/>
        <v>*</v>
      </c>
    </row>
    <row r="1009" spans="1:15" x14ac:dyDescent="0.25">
      <c r="A1009" s="2">
        <v>136556</v>
      </c>
      <c r="B1009" s="4" t="s">
        <v>1320</v>
      </c>
      <c r="C1009" s="41" t="s">
        <v>1345</v>
      </c>
      <c r="D1009" s="42">
        <v>51</v>
      </c>
      <c r="E1009" s="43">
        <v>10</v>
      </c>
      <c r="F1009" s="50" t="str">
        <f>VLOOKUP(tabPontoPed[[#This Row],[GRUPO]],tabGrupos[#Data],2,FALSE)</f>
        <v>MAT.E EQUIP. P/ CONSTR.CIVIL E CONSERV. DE VIAS PUBL.</v>
      </c>
      <c r="G1009" s="42" t="str">
        <f>VLOOKUP(tabPontoPed[[#This Row],[GRUPO]],tabGrupos[#Data],3,FALSE)</f>
        <v>MCO</v>
      </c>
      <c r="H1009" s="41" t="s">
        <v>1339</v>
      </c>
      <c r="I1009" s="9">
        <v>4</v>
      </c>
      <c r="J1009" s="51">
        <v>0</v>
      </c>
      <c r="K1009" s="7">
        <f>tabPontoPed[[#This Row],[QTDMÊS]] * tabPontoPed[[#This Row],[MENSAL]]</f>
        <v>0</v>
      </c>
      <c r="L1009" s="13" t="s">
        <v>1012</v>
      </c>
      <c r="M1009" s="44"/>
      <c r="N1009" s="45" t="str">
        <f>_xlfn.IFNA(IF(VLOOKUP(tabPontoPed[[#This Row],[CÓDIGO]],Excluir_do_Estoque!$A$4:$A$4004,1,FALSE),"sim",""),"")</f>
        <v/>
      </c>
      <c r="O1009" s="10" t="str">
        <f t="shared" si="15"/>
        <v>*</v>
      </c>
    </row>
  </sheetData>
  <sheetProtection sheet="1" objects="1" scenarios="1"/>
  <sortState ref="A3:O1008">
    <sortCondition ref="A2:A1008"/>
  </sortState>
  <mergeCells count="1">
    <mergeCell ref="A1:M1"/>
  </mergeCells>
  <conditionalFormatting sqref="A3:O1009">
    <cfRule type="expression" dxfId="65" priority="7">
      <formula>$N3="sim"</formula>
    </cfRule>
  </conditionalFormatting>
  <dataValidations count="1">
    <dataValidation type="whole" operator="greaterThanOrEqual" allowBlank="1" showInputMessage="1" showErrorMessage="1" sqref="J2 H1010:H1048576">
      <formula1>0</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59" r:id="rId4" name="btn_Ponto_Ped_AtuCod">
          <controlPr defaultSize="0" print="0" autoLine="0" r:id="rId5">
            <anchor>
              <from>
                <xdr:col>5</xdr:col>
                <xdr:colOff>66675</xdr:colOff>
                <xdr:row>0</xdr:row>
                <xdr:rowOff>85725</xdr:rowOff>
              </from>
              <to>
                <xdr:col>5</xdr:col>
                <xdr:colOff>2609850</xdr:colOff>
                <xdr:row>0</xdr:row>
                <xdr:rowOff>533400</xdr:rowOff>
              </to>
            </anchor>
          </controlPr>
        </control>
      </mc:Choice>
      <mc:Fallback>
        <control shapeId="1159" r:id="rId4" name="btn_Ponto_Ped_AtuCod"/>
      </mc:Fallback>
    </mc:AlternateContent>
    <mc:AlternateContent xmlns:mc="http://schemas.openxmlformats.org/markup-compatibility/2006">
      <mc:Choice Requires="x14">
        <control shapeId="1106" r:id="rId6" name="btn_Ponto_Ped_Filtros">
          <controlPr defaultSize="0" print="0" autoLine="0" r:id="rId7">
            <anchor>
              <from>
                <xdr:col>1</xdr:col>
                <xdr:colOff>4581525</xdr:colOff>
                <xdr:row>0</xdr:row>
                <xdr:rowOff>85725</xdr:rowOff>
              </from>
              <to>
                <xdr:col>4</xdr:col>
                <xdr:colOff>304800</xdr:colOff>
                <xdr:row>0</xdr:row>
                <xdr:rowOff>533400</xdr:rowOff>
              </to>
            </anchor>
          </controlPr>
        </control>
      </mc:Choice>
      <mc:Fallback>
        <control shapeId="1106" r:id="rId6" name="btn_Ponto_Ped_Filtros"/>
      </mc:Fallback>
    </mc:AlternateContent>
    <mc:AlternateContent xmlns:mc="http://schemas.openxmlformats.org/markup-compatibility/2006">
      <mc:Choice Requires="x14">
        <control shapeId="1030" r:id="rId8" name="btn_Ponto_Ped_Ordenar">
          <controlPr defaultSize="0" print="0" autoLine="0" r:id="rId9">
            <anchor>
              <from>
                <xdr:col>0</xdr:col>
                <xdr:colOff>66675</xdr:colOff>
                <xdr:row>0</xdr:row>
                <xdr:rowOff>85725</xdr:rowOff>
              </from>
              <to>
                <xdr:col>1</xdr:col>
                <xdr:colOff>1847850</xdr:colOff>
                <xdr:row>0</xdr:row>
                <xdr:rowOff>533400</xdr:rowOff>
              </to>
            </anchor>
          </controlPr>
        </control>
      </mc:Choice>
      <mc:Fallback>
        <control shapeId="1030" r:id="rId8" name="btn_Ponto_Ped_Ordenar"/>
      </mc:Fallback>
    </mc:AlternateContent>
    <mc:AlternateContent xmlns:mc="http://schemas.openxmlformats.org/markup-compatibility/2006">
      <mc:Choice Requires="x14">
        <control shapeId="1084" r:id="rId10" name="btn_Ponto_Ped_HabOutAlt">
          <controlPr locked="0" defaultSize="0" print="0" autoLine="0" r:id="rId11">
            <anchor>
              <from>
                <xdr:col>1</xdr:col>
                <xdr:colOff>1943100</xdr:colOff>
                <xdr:row>0</xdr:row>
                <xdr:rowOff>85725</xdr:rowOff>
              </from>
              <to>
                <xdr:col>1</xdr:col>
                <xdr:colOff>4486275</xdr:colOff>
                <xdr:row>0</xdr:row>
                <xdr:rowOff>533400</xdr:rowOff>
              </to>
            </anchor>
          </controlPr>
        </control>
      </mc:Choice>
      <mc:Fallback>
        <control shapeId="1084" r:id="rId10" name="btn_Ponto_Ped_HabOutAlt"/>
      </mc:Fallback>
    </mc:AlternateContent>
  </controls>
  <tableParts count="1">
    <tablePart r:id="rId12"/>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Estáticas!$A$3:$A$5</xm:f>
          </x14:formula1>
          <xm:sqref>L3:L1009</xm:sqref>
        </x14:dataValidation>
        <x14:dataValidation type="list" allowBlank="1" showInputMessage="1" showErrorMessage="1">
          <x14:formula1>
            <xm:f>Estáticas!$A$10:$A$11</xm:f>
          </x14:formula1>
          <xm:sqref>H3:H1009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B1236"/>
  <sheetViews>
    <sheetView workbookViewId="0">
      <selection activeCell="B908" sqref="B908"/>
    </sheetView>
  </sheetViews>
  <sheetFormatPr defaultRowHeight="15" x14ac:dyDescent="0.25"/>
  <cols>
    <col min="1" max="1" width="10.28515625" customWidth="1"/>
  </cols>
  <sheetData>
    <row r="1" spans="1:2" x14ac:dyDescent="0.25">
      <c r="A1" t="s">
        <v>0</v>
      </c>
      <c r="B1" t="s">
        <v>1421</v>
      </c>
    </row>
    <row r="2" spans="1:2" x14ac:dyDescent="0.25">
      <c r="A2">
        <v>2278</v>
      </c>
      <c r="B2">
        <v>34</v>
      </c>
    </row>
    <row r="3" spans="1:2" x14ac:dyDescent="0.25">
      <c r="A3">
        <v>4680</v>
      </c>
      <c r="B3">
        <v>12219</v>
      </c>
    </row>
    <row r="4" spans="1:2" x14ac:dyDescent="0.25">
      <c r="A4">
        <v>9413</v>
      </c>
      <c r="B4">
        <v>65671</v>
      </c>
    </row>
    <row r="5" spans="1:2" x14ac:dyDescent="0.25">
      <c r="A5">
        <v>10302</v>
      </c>
      <c r="B5">
        <v>2641</v>
      </c>
    </row>
    <row r="6" spans="1:2" x14ac:dyDescent="0.25">
      <c r="A6">
        <v>10359</v>
      </c>
      <c r="B6">
        <v>1869</v>
      </c>
    </row>
    <row r="7" spans="1:2" x14ac:dyDescent="0.25">
      <c r="A7">
        <v>10392</v>
      </c>
      <c r="B7">
        <v>4335</v>
      </c>
    </row>
    <row r="8" spans="1:2" x14ac:dyDescent="0.25">
      <c r="A8">
        <v>10412</v>
      </c>
      <c r="B8">
        <v>1019</v>
      </c>
    </row>
    <row r="9" spans="1:2" x14ac:dyDescent="0.25">
      <c r="A9">
        <v>10547</v>
      </c>
      <c r="B9">
        <v>10695</v>
      </c>
    </row>
    <row r="10" spans="1:2" x14ac:dyDescent="0.25">
      <c r="A10">
        <v>10719</v>
      </c>
      <c r="B10">
        <v>38942</v>
      </c>
    </row>
    <row r="11" spans="1:2" x14ac:dyDescent="0.25">
      <c r="A11">
        <v>10867</v>
      </c>
      <c r="B11">
        <v>27134</v>
      </c>
    </row>
    <row r="12" spans="1:2" x14ac:dyDescent="0.25">
      <c r="A12">
        <v>10870</v>
      </c>
      <c r="B12">
        <v>3280</v>
      </c>
    </row>
    <row r="13" spans="1:2" x14ac:dyDescent="0.25">
      <c r="A13">
        <v>11072</v>
      </c>
      <c r="B13">
        <v>284</v>
      </c>
    </row>
    <row r="14" spans="1:2" x14ac:dyDescent="0.25">
      <c r="A14">
        <v>11109</v>
      </c>
      <c r="B14">
        <v>4199</v>
      </c>
    </row>
    <row r="15" spans="1:2" x14ac:dyDescent="0.25">
      <c r="A15">
        <v>11116</v>
      </c>
      <c r="B15">
        <v>630</v>
      </c>
    </row>
    <row r="16" spans="1:2" x14ac:dyDescent="0.25">
      <c r="A16">
        <v>11264</v>
      </c>
      <c r="B16">
        <v>494</v>
      </c>
    </row>
    <row r="17" spans="1:2" x14ac:dyDescent="0.25">
      <c r="A17">
        <v>11287</v>
      </c>
      <c r="B17">
        <v>572</v>
      </c>
    </row>
    <row r="18" spans="1:2" x14ac:dyDescent="0.25">
      <c r="A18">
        <v>11418</v>
      </c>
      <c r="B18">
        <v>4365</v>
      </c>
    </row>
    <row r="19" spans="1:2" x14ac:dyDescent="0.25">
      <c r="A19">
        <v>11448</v>
      </c>
      <c r="B19">
        <v>964</v>
      </c>
    </row>
    <row r="20" spans="1:2" x14ac:dyDescent="0.25">
      <c r="A20">
        <v>11509</v>
      </c>
      <c r="B20">
        <v>4116</v>
      </c>
    </row>
    <row r="21" spans="1:2" x14ac:dyDescent="0.25">
      <c r="A21">
        <v>11590</v>
      </c>
      <c r="B21">
        <v>2574</v>
      </c>
    </row>
    <row r="22" spans="1:2" x14ac:dyDescent="0.25">
      <c r="A22">
        <v>11857</v>
      </c>
      <c r="B22">
        <v>27454</v>
      </c>
    </row>
    <row r="23" spans="1:2" x14ac:dyDescent="0.25">
      <c r="A23">
        <v>11882</v>
      </c>
      <c r="B23">
        <v>0</v>
      </c>
    </row>
    <row r="24" spans="1:2" x14ac:dyDescent="0.25">
      <c r="A24">
        <v>11956</v>
      </c>
      <c r="B24">
        <v>0</v>
      </c>
    </row>
    <row r="25" spans="1:2" x14ac:dyDescent="0.25">
      <c r="A25">
        <v>11980</v>
      </c>
      <c r="B25">
        <v>11336</v>
      </c>
    </row>
    <row r="26" spans="1:2" x14ac:dyDescent="0.25">
      <c r="A26">
        <v>12018</v>
      </c>
      <c r="B26">
        <v>274</v>
      </c>
    </row>
    <row r="27" spans="1:2" x14ac:dyDescent="0.25">
      <c r="A27">
        <v>12020</v>
      </c>
      <c r="B27">
        <v>0</v>
      </c>
    </row>
    <row r="28" spans="1:2" x14ac:dyDescent="0.25">
      <c r="A28">
        <v>12613</v>
      </c>
      <c r="B28">
        <v>41261</v>
      </c>
    </row>
    <row r="29" spans="1:2" x14ac:dyDescent="0.25">
      <c r="A29">
        <v>12614</v>
      </c>
      <c r="B29">
        <v>34578</v>
      </c>
    </row>
    <row r="30" spans="1:2" x14ac:dyDescent="0.25">
      <c r="A30">
        <v>12615</v>
      </c>
      <c r="B30">
        <v>2551</v>
      </c>
    </row>
    <row r="31" spans="1:2" x14ac:dyDescent="0.25">
      <c r="A31">
        <v>12616</v>
      </c>
      <c r="B31">
        <v>47023</v>
      </c>
    </row>
    <row r="32" spans="1:2" x14ac:dyDescent="0.25">
      <c r="A32">
        <v>12623</v>
      </c>
      <c r="B32">
        <v>15849</v>
      </c>
    </row>
    <row r="33" spans="1:2" x14ac:dyDescent="0.25">
      <c r="A33">
        <v>12635</v>
      </c>
      <c r="B33">
        <v>16480</v>
      </c>
    </row>
    <row r="34" spans="1:2" x14ac:dyDescent="0.25">
      <c r="A34">
        <v>12652</v>
      </c>
      <c r="B34">
        <v>9888</v>
      </c>
    </row>
    <row r="35" spans="1:2" x14ac:dyDescent="0.25">
      <c r="A35">
        <v>12654</v>
      </c>
      <c r="B35">
        <v>80598</v>
      </c>
    </row>
    <row r="36" spans="1:2" x14ac:dyDescent="0.25">
      <c r="A36">
        <v>12657</v>
      </c>
      <c r="B36">
        <v>478</v>
      </c>
    </row>
    <row r="37" spans="1:2" x14ac:dyDescent="0.25">
      <c r="A37">
        <v>12659</v>
      </c>
      <c r="B37">
        <v>1939</v>
      </c>
    </row>
    <row r="38" spans="1:2" x14ac:dyDescent="0.25">
      <c r="A38">
        <v>12673</v>
      </c>
      <c r="B38">
        <v>182</v>
      </c>
    </row>
    <row r="39" spans="1:2" x14ac:dyDescent="0.25">
      <c r="A39">
        <v>12675</v>
      </c>
      <c r="B39">
        <v>79</v>
      </c>
    </row>
    <row r="40" spans="1:2" x14ac:dyDescent="0.25">
      <c r="A40">
        <v>12685</v>
      </c>
      <c r="B40">
        <v>34107</v>
      </c>
    </row>
    <row r="41" spans="1:2" x14ac:dyDescent="0.25">
      <c r="A41">
        <v>12708</v>
      </c>
      <c r="B41">
        <v>1452</v>
      </c>
    </row>
    <row r="42" spans="1:2" x14ac:dyDescent="0.25">
      <c r="A42">
        <v>12712</v>
      </c>
      <c r="B42">
        <v>425</v>
      </c>
    </row>
    <row r="43" spans="1:2" x14ac:dyDescent="0.25">
      <c r="A43">
        <v>12754</v>
      </c>
      <c r="B43">
        <v>1005</v>
      </c>
    </row>
    <row r="44" spans="1:2" x14ac:dyDescent="0.25">
      <c r="A44">
        <v>12763</v>
      </c>
      <c r="B44">
        <v>819</v>
      </c>
    </row>
    <row r="45" spans="1:2" x14ac:dyDescent="0.25">
      <c r="A45">
        <v>12806</v>
      </c>
      <c r="B45">
        <v>25</v>
      </c>
    </row>
    <row r="46" spans="1:2" x14ac:dyDescent="0.25">
      <c r="A46">
        <v>12812</v>
      </c>
      <c r="B46">
        <v>22</v>
      </c>
    </row>
    <row r="47" spans="1:2" x14ac:dyDescent="0.25">
      <c r="A47">
        <v>12813</v>
      </c>
      <c r="B47">
        <v>12</v>
      </c>
    </row>
    <row r="48" spans="1:2" x14ac:dyDescent="0.25">
      <c r="A48">
        <v>12818</v>
      </c>
      <c r="B48">
        <v>235</v>
      </c>
    </row>
    <row r="49" spans="1:2" x14ac:dyDescent="0.25">
      <c r="A49">
        <v>12820</v>
      </c>
      <c r="B49">
        <v>135</v>
      </c>
    </row>
    <row r="50" spans="1:2" x14ac:dyDescent="0.25">
      <c r="A50">
        <v>12821</v>
      </c>
      <c r="B50">
        <v>28</v>
      </c>
    </row>
    <row r="51" spans="1:2" x14ac:dyDescent="0.25">
      <c r="A51">
        <v>12824</v>
      </c>
      <c r="B51">
        <v>29</v>
      </c>
    </row>
    <row r="52" spans="1:2" x14ac:dyDescent="0.25">
      <c r="A52">
        <v>12829</v>
      </c>
      <c r="B52">
        <v>175</v>
      </c>
    </row>
    <row r="53" spans="1:2" x14ac:dyDescent="0.25">
      <c r="A53">
        <v>12830</v>
      </c>
      <c r="B53">
        <v>271</v>
      </c>
    </row>
    <row r="54" spans="1:2" x14ac:dyDescent="0.25">
      <c r="A54">
        <v>12831</v>
      </c>
      <c r="B54">
        <v>83</v>
      </c>
    </row>
    <row r="55" spans="1:2" x14ac:dyDescent="0.25">
      <c r="A55">
        <v>12835</v>
      </c>
      <c r="B55">
        <v>250</v>
      </c>
    </row>
    <row r="56" spans="1:2" x14ac:dyDescent="0.25">
      <c r="A56">
        <v>12838</v>
      </c>
      <c r="B56">
        <v>140</v>
      </c>
    </row>
    <row r="57" spans="1:2" x14ac:dyDescent="0.25">
      <c r="A57">
        <v>12847</v>
      </c>
      <c r="B57">
        <v>1255</v>
      </c>
    </row>
    <row r="58" spans="1:2" x14ac:dyDescent="0.25">
      <c r="A58">
        <v>12851</v>
      </c>
      <c r="B58">
        <v>5</v>
      </c>
    </row>
    <row r="59" spans="1:2" x14ac:dyDescent="0.25">
      <c r="A59">
        <v>12853</v>
      </c>
      <c r="B59">
        <v>132</v>
      </c>
    </row>
    <row r="60" spans="1:2" x14ac:dyDescent="0.25">
      <c r="A60">
        <v>12856</v>
      </c>
      <c r="B60">
        <v>1447</v>
      </c>
    </row>
    <row r="61" spans="1:2" x14ac:dyDescent="0.25">
      <c r="A61">
        <v>12857</v>
      </c>
      <c r="B61">
        <v>377</v>
      </c>
    </row>
    <row r="62" spans="1:2" x14ac:dyDescent="0.25">
      <c r="A62">
        <v>12869</v>
      </c>
      <c r="B62">
        <v>0</v>
      </c>
    </row>
    <row r="63" spans="1:2" x14ac:dyDescent="0.25">
      <c r="A63">
        <v>12877</v>
      </c>
      <c r="B63">
        <v>337</v>
      </c>
    </row>
    <row r="64" spans="1:2" x14ac:dyDescent="0.25">
      <c r="A64">
        <v>12881</v>
      </c>
      <c r="B64">
        <v>196</v>
      </c>
    </row>
    <row r="65" spans="1:2" x14ac:dyDescent="0.25">
      <c r="A65">
        <v>12884</v>
      </c>
      <c r="B65">
        <v>216</v>
      </c>
    </row>
    <row r="66" spans="1:2" x14ac:dyDescent="0.25">
      <c r="A66">
        <v>12886</v>
      </c>
      <c r="B66">
        <v>148</v>
      </c>
    </row>
    <row r="67" spans="1:2" x14ac:dyDescent="0.25">
      <c r="A67">
        <v>12888</v>
      </c>
      <c r="B67">
        <v>46</v>
      </c>
    </row>
    <row r="68" spans="1:2" x14ac:dyDescent="0.25">
      <c r="A68">
        <v>12891</v>
      </c>
      <c r="B68">
        <v>63</v>
      </c>
    </row>
    <row r="69" spans="1:2" x14ac:dyDescent="0.25">
      <c r="A69">
        <v>12894</v>
      </c>
      <c r="B69">
        <v>593</v>
      </c>
    </row>
    <row r="70" spans="1:2" x14ac:dyDescent="0.25">
      <c r="A70">
        <v>12922</v>
      </c>
      <c r="B70">
        <v>24</v>
      </c>
    </row>
    <row r="71" spans="1:2" x14ac:dyDescent="0.25">
      <c r="A71">
        <v>12937</v>
      </c>
      <c r="B71">
        <v>0</v>
      </c>
    </row>
    <row r="72" spans="1:2" x14ac:dyDescent="0.25">
      <c r="A72">
        <v>12938</v>
      </c>
      <c r="B72">
        <v>0</v>
      </c>
    </row>
    <row r="73" spans="1:2" x14ac:dyDescent="0.25">
      <c r="A73">
        <v>12944</v>
      </c>
      <c r="B73">
        <v>6</v>
      </c>
    </row>
    <row r="74" spans="1:2" x14ac:dyDescent="0.25">
      <c r="A74">
        <v>12948</v>
      </c>
      <c r="B74">
        <v>14</v>
      </c>
    </row>
    <row r="75" spans="1:2" x14ac:dyDescent="0.25">
      <c r="A75">
        <v>12950</v>
      </c>
      <c r="B75">
        <v>104</v>
      </c>
    </row>
    <row r="76" spans="1:2" x14ac:dyDescent="0.25">
      <c r="A76">
        <v>12953</v>
      </c>
      <c r="B76">
        <v>18</v>
      </c>
    </row>
    <row r="77" spans="1:2" x14ac:dyDescent="0.25">
      <c r="A77">
        <v>12956</v>
      </c>
      <c r="B77">
        <v>393</v>
      </c>
    </row>
    <row r="78" spans="1:2" x14ac:dyDescent="0.25">
      <c r="A78">
        <v>12961</v>
      </c>
      <c r="B78">
        <v>0</v>
      </c>
    </row>
    <row r="79" spans="1:2" x14ac:dyDescent="0.25">
      <c r="A79">
        <v>12964</v>
      </c>
      <c r="B79">
        <v>1</v>
      </c>
    </row>
    <row r="80" spans="1:2" x14ac:dyDescent="0.25">
      <c r="A80">
        <v>12971</v>
      </c>
      <c r="B80">
        <v>169</v>
      </c>
    </row>
    <row r="81" spans="1:2" x14ac:dyDescent="0.25">
      <c r="A81">
        <v>12989</v>
      </c>
      <c r="B81">
        <v>226</v>
      </c>
    </row>
    <row r="82" spans="1:2" x14ac:dyDescent="0.25">
      <c r="A82">
        <v>12992</v>
      </c>
      <c r="B82">
        <v>59</v>
      </c>
    </row>
    <row r="83" spans="1:2" x14ac:dyDescent="0.25">
      <c r="A83">
        <v>13007</v>
      </c>
      <c r="B83">
        <v>212</v>
      </c>
    </row>
    <row r="84" spans="1:2" x14ac:dyDescent="0.25">
      <c r="A84">
        <v>13009</v>
      </c>
      <c r="B84">
        <v>654</v>
      </c>
    </row>
    <row r="85" spans="1:2" x14ac:dyDescent="0.25">
      <c r="A85">
        <v>13013</v>
      </c>
      <c r="B85">
        <v>90</v>
      </c>
    </row>
    <row r="86" spans="1:2" x14ac:dyDescent="0.25">
      <c r="A86">
        <v>13019</v>
      </c>
      <c r="B86">
        <v>1630</v>
      </c>
    </row>
    <row r="87" spans="1:2" x14ac:dyDescent="0.25">
      <c r="A87">
        <v>13021</v>
      </c>
      <c r="B87">
        <v>1</v>
      </c>
    </row>
    <row r="88" spans="1:2" x14ac:dyDescent="0.25">
      <c r="A88">
        <v>13033</v>
      </c>
      <c r="B88">
        <v>26</v>
      </c>
    </row>
    <row r="89" spans="1:2" x14ac:dyDescent="0.25">
      <c r="A89">
        <v>13053</v>
      </c>
      <c r="B89">
        <v>462</v>
      </c>
    </row>
    <row r="90" spans="1:2" x14ac:dyDescent="0.25">
      <c r="A90">
        <v>13059</v>
      </c>
      <c r="B90">
        <v>275</v>
      </c>
    </row>
    <row r="91" spans="1:2" x14ac:dyDescent="0.25">
      <c r="A91">
        <v>13060</v>
      </c>
      <c r="B91">
        <v>203</v>
      </c>
    </row>
    <row r="92" spans="1:2" x14ac:dyDescent="0.25">
      <c r="A92">
        <v>13063</v>
      </c>
      <c r="B92">
        <v>558</v>
      </c>
    </row>
    <row r="93" spans="1:2" x14ac:dyDescent="0.25">
      <c r="A93">
        <v>13064</v>
      </c>
      <c r="B93">
        <v>1091</v>
      </c>
    </row>
    <row r="94" spans="1:2" x14ac:dyDescent="0.25">
      <c r="A94">
        <v>13066</v>
      </c>
      <c r="B94">
        <v>411</v>
      </c>
    </row>
    <row r="95" spans="1:2" x14ac:dyDescent="0.25">
      <c r="A95">
        <v>13068</v>
      </c>
      <c r="B95">
        <v>16</v>
      </c>
    </row>
    <row r="96" spans="1:2" x14ac:dyDescent="0.25">
      <c r="A96">
        <v>13070</v>
      </c>
      <c r="B96">
        <v>3</v>
      </c>
    </row>
    <row r="97" spans="1:2" x14ac:dyDescent="0.25">
      <c r="A97">
        <v>13072</v>
      </c>
      <c r="B97">
        <v>106</v>
      </c>
    </row>
    <row r="98" spans="1:2" x14ac:dyDescent="0.25">
      <c r="A98">
        <v>13076</v>
      </c>
      <c r="B98">
        <v>26</v>
      </c>
    </row>
    <row r="99" spans="1:2" x14ac:dyDescent="0.25">
      <c r="A99">
        <v>13077</v>
      </c>
      <c r="B99">
        <v>1</v>
      </c>
    </row>
    <row r="100" spans="1:2" x14ac:dyDescent="0.25">
      <c r="A100">
        <v>13078</v>
      </c>
      <c r="B100">
        <v>2</v>
      </c>
    </row>
    <row r="101" spans="1:2" x14ac:dyDescent="0.25">
      <c r="A101">
        <v>13087</v>
      </c>
      <c r="B101">
        <v>46</v>
      </c>
    </row>
    <row r="102" spans="1:2" x14ac:dyDescent="0.25">
      <c r="A102">
        <v>13088</v>
      </c>
      <c r="B102">
        <v>34</v>
      </c>
    </row>
    <row r="103" spans="1:2" x14ac:dyDescent="0.25">
      <c r="A103">
        <v>13091</v>
      </c>
      <c r="B103">
        <v>4699</v>
      </c>
    </row>
    <row r="104" spans="1:2" x14ac:dyDescent="0.25">
      <c r="A104">
        <v>13092</v>
      </c>
      <c r="B104">
        <v>92</v>
      </c>
    </row>
    <row r="105" spans="1:2" x14ac:dyDescent="0.25">
      <c r="A105">
        <v>13094</v>
      </c>
      <c r="B105">
        <v>888</v>
      </c>
    </row>
    <row r="106" spans="1:2" x14ac:dyDescent="0.25">
      <c r="A106">
        <v>13095</v>
      </c>
      <c r="B106">
        <v>69</v>
      </c>
    </row>
    <row r="107" spans="1:2" x14ac:dyDescent="0.25">
      <c r="A107">
        <v>13096</v>
      </c>
      <c r="B107">
        <v>21</v>
      </c>
    </row>
    <row r="108" spans="1:2" x14ac:dyDescent="0.25">
      <c r="A108">
        <v>13100</v>
      </c>
      <c r="B108">
        <v>0</v>
      </c>
    </row>
    <row r="109" spans="1:2" x14ac:dyDescent="0.25">
      <c r="A109">
        <v>13101</v>
      </c>
      <c r="B109">
        <v>22</v>
      </c>
    </row>
    <row r="110" spans="1:2" x14ac:dyDescent="0.25">
      <c r="A110">
        <v>13102</v>
      </c>
      <c r="B110">
        <v>3</v>
      </c>
    </row>
    <row r="111" spans="1:2" x14ac:dyDescent="0.25">
      <c r="A111">
        <v>13109</v>
      </c>
      <c r="B111">
        <v>105</v>
      </c>
    </row>
    <row r="112" spans="1:2" x14ac:dyDescent="0.25">
      <c r="A112">
        <v>13116</v>
      </c>
      <c r="B112">
        <v>26</v>
      </c>
    </row>
    <row r="113" spans="1:2" x14ac:dyDescent="0.25">
      <c r="A113">
        <v>13117</v>
      </c>
      <c r="B113">
        <v>54</v>
      </c>
    </row>
    <row r="114" spans="1:2" x14ac:dyDescent="0.25">
      <c r="A114">
        <v>13120</v>
      </c>
      <c r="B114">
        <v>11</v>
      </c>
    </row>
    <row r="115" spans="1:2" x14ac:dyDescent="0.25">
      <c r="A115">
        <v>13123</v>
      </c>
      <c r="B115">
        <v>0</v>
      </c>
    </row>
    <row r="116" spans="1:2" x14ac:dyDescent="0.25">
      <c r="A116">
        <v>13125</v>
      </c>
      <c r="B116">
        <v>2</v>
      </c>
    </row>
    <row r="117" spans="1:2" x14ac:dyDescent="0.25">
      <c r="A117">
        <v>13152</v>
      </c>
      <c r="B117">
        <v>19</v>
      </c>
    </row>
    <row r="118" spans="1:2" x14ac:dyDescent="0.25">
      <c r="A118">
        <v>13161</v>
      </c>
      <c r="B118">
        <v>431</v>
      </c>
    </row>
    <row r="119" spans="1:2" x14ac:dyDescent="0.25">
      <c r="A119">
        <v>13165</v>
      </c>
      <c r="B119">
        <v>614</v>
      </c>
    </row>
    <row r="120" spans="1:2" x14ac:dyDescent="0.25">
      <c r="A120">
        <v>13175</v>
      </c>
      <c r="B120">
        <v>328</v>
      </c>
    </row>
    <row r="121" spans="1:2" x14ac:dyDescent="0.25">
      <c r="A121">
        <v>13178</v>
      </c>
      <c r="B121">
        <v>6965</v>
      </c>
    </row>
    <row r="122" spans="1:2" x14ac:dyDescent="0.25">
      <c r="A122">
        <v>13180</v>
      </c>
      <c r="B122">
        <v>233</v>
      </c>
    </row>
    <row r="123" spans="1:2" x14ac:dyDescent="0.25">
      <c r="A123">
        <v>13181</v>
      </c>
      <c r="B123">
        <v>59</v>
      </c>
    </row>
    <row r="124" spans="1:2" x14ac:dyDescent="0.25">
      <c r="A124">
        <v>13186</v>
      </c>
      <c r="B124">
        <v>70</v>
      </c>
    </row>
    <row r="125" spans="1:2" x14ac:dyDescent="0.25">
      <c r="A125">
        <v>13192</v>
      </c>
      <c r="B125">
        <v>49</v>
      </c>
    </row>
    <row r="126" spans="1:2" x14ac:dyDescent="0.25">
      <c r="A126">
        <v>13197</v>
      </c>
      <c r="B126">
        <v>0</v>
      </c>
    </row>
    <row r="127" spans="1:2" x14ac:dyDescent="0.25">
      <c r="A127">
        <v>13199</v>
      </c>
      <c r="B127">
        <v>260</v>
      </c>
    </row>
    <row r="128" spans="1:2" x14ac:dyDescent="0.25">
      <c r="A128">
        <v>13218</v>
      </c>
      <c r="B128">
        <v>211</v>
      </c>
    </row>
    <row r="129" spans="1:2" x14ac:dyDescent="0.25">
      <c r="A129">
        <v>13221</v>
      </c>
      <c r="B129">
        <v>1610</v>
      </c>
    </row>
    <row r="130" spans="1:2" x14ac:dyDescent="0.25">
      <c r="A130">
        <v>13222</v>
      </c>
      <c r="B130">
        <v>235</v>
      </c>
    </row>
    <row r="131" spans="1:2" x14ac:dyDescent="0.25">
      <c r="A131">
        <v>13225</v>
      </c>
      <c r="B131">
        <v>219</v>
      </c>
    </row>
    <row r="132" spans="1:2" x14ac:dyDescent="0.25">
      <c r="A132">
        <v>13517</v>
      </c>
      <c r="B132">
        <v>36</v>
      </c>
    </row>
    <row r="133" spans="1:2" x14ac:dyDescent="0.25">
      <c r="A133">
        <v>13518</v>
      </c>
      <c r="B133">
        <v>60</v>
      </c>
    </row>
    <row r="134" spans="1:2" x14ac:dyDescent="0.25">
      <c r="A134">
        <v>13539</v>
      </c>
      <c r="B134">
        <v>2879</v>
      </c>
    </row>
    <row r="135" spans="1:2" x14ac:dyDescent="0.25">
      <c r="A135">
        <v>13556</v>
      </c>
      <c r="B135">
        <v>30</v>
      </c>
    </row>
    <row r="136" spans="1:2" x14ac:dyDescent="0.25">
      <c r="A136">
        <v>13558</v>
      </c>
      <c r="B136">
        <v>39</v>
      </c>
    </row>
    <row r="137" spans="1:2" x14ac:dyDescent="0.25">
      <c r="A137">
        <v>13559</v>
      </c>
      <c r="B137">
        <v>136</v>
      </c>
    </row>
    <row r="138" spans="1:2" x14ac:dyDescent="0.25">
      <c r="A138">
        <v>13560</v>
      </c>
      <c r="B138">
        <v>17</v>
      </c>
    </row>
    <row r="139" spans="1:2" x14ac:dyDescent="0.25">
      <c r="A139">
        <v>13561</v>
      </c>
      <c r="B139">
        <v>74</v>
      </c>
    </row>
    <row r="140" spans="1:2" x14ac:dyDescent="0.25">
      <c r="A140">
        <v>13562</v>
      </c>
      <c r="B140">
        <v>167</v>
      </c>
    </row>
    <row r="141" spans="1:2" x14ac:dyDescent="0.25">
      <c r="A141">
        <v>13563</v>
      </c>
      <c r="B141">
        <v>281</v>
      </c>
    </row>
    <row r="142" spans="1:2" x14ac:dyDescent="0.25">
      <c r="A142">
        <v>13655</v>
      </c>
      <c r="B142">
        <v>5715</v>
      </c>
    </row>
    <row r="143" spans="1:2" x14ac:dyDescent="0.25">
      <c r="A143">
        <v>13768</v>
      </c>
      <c r="B143">
        <v>2742</v>
      </c>
    </row>
    <row r="144" spans="1:2" x14ac:dyDescent="0.25">
      <c r="A144">
        <v>13905</v>
      </c>
      <c r="B144">
        <v>5512</v>
      </c>
    </row>
    <row r="145" spans="1:2" x14ac:dyDescent="0.25">
      <c r="A145">
        <v>13975</v>
      </c>
      <c r="B145">
        <v>142</v>
      </c>
    </row>
    <row r="146" spans="1:2" x14ac:dyDescent="0.25">
      <c r="A146">
        <v>13991</v>
      </c>
      <c r="B146">
        <v>362</v>
      </c>
    </row>
    <row r="147" spans="1:2" x14ac:dyDescent="0.25">
      <c r="A147">
        <v>14001</v>
      </c>
      <c r="B147">
        <v>179</v>
      </c>
    </row>
    <row r="148" spans="1:2" x14ac:dyDescent="0.25">
      <c r="A148">
        <v>14009</v>
      </c>
      <c r="B148">
        <v>53</v>
      </c>
    </row>
    <row r="149" spans="1:2" x14ac:dyDescent="0.25">
      <c r="A149">
        <v>14010</v>
      </c>
      <c r="B149">
        <v>56</v>
      </c>
    </row>
    <row r="150" spans="1:2" x14ac:dyDescent="0.25">
      <c r="A150">
        <v>14012</v>
      </c>
      <c r="B150">
        <v>380</v>
      </c>
    </row>
    <row r="151" spans="1:2" x14ac:dyDescent="0.25">
      <c r="A151">
        <v>14013</v>
      </c>
      <c r="B151">
        <v>159</v>
      </c>
    </row>
    <row r="152" spans="1:2" x14ac:dyDescent="0.25">
      <c r="A152">
        <v>14014</v>
      </c>
      <c r="B152">
        <v>3</v>
      </c>
    </row>
    <row r="153" spans="1:2" x14ac:dyDescent="0.25">
      <c r="A153">
        <v>14055</v>
      </c>
      <c r="B153">
        <v>28</v>
      </c>
    </row>
    <row r="154" spans="1:2" x14ac:dyDescent="0.25">
      <c r="A154">
        <v>14056</v>
      </c>
      <c r="B154">
        <v>0</v>
      </c>
    </row>
    <row r="155" spans="1:2" x14ac:dyDescent="0.25">
      <c r="A155">
        <v>14121</v>
      </c>
      <c r="B155">
        <v>48992</v>
      </c>
    </row>
    <row r="156" spans="1:2" x14ac:dyDescent="0.25">
      <c r="A156">
        <v>14154</v>
      </c>
      <c r="B156">
        <v>7889</v>
      </c>
    </row>
    <row r="157" spans="1:2" x14ac:dyDescent="0.25">
      <c r="A157">
        <v>14199</v>
      </c>
      <c r="B157">
        <v>1357</v>
      </c>
    </row>
    <row r="158" spans="1:2" x14ac:dyDescent="0.25">
      <c r="A158">
        <v>14662</v>
      </c>
      <c r="B158">
        <v>2470</v>
      </c>
    </row>
    <row r="159" spans="1:2" x14ac:dyDescent="0.25">
      <c r="A159">
        <v>14737</v>
      </c>
      <c r="B159">
        <v>26</v>
      </c>
    </row>
    <row r="160" spans="1:2" x14ac:dyDescent="0.25">
      <c r="A160">
        <v>14754</v>
      </c>
      <c r="B160">
        <v>60</v>
      </c>
    </row>
    <row r="161" spans="1:2" x14ac:dyDescent="0.25">
      <c r="A161">
        <v>14784</v>
      </c>
      <c r="B161">
        <v>26</v>
      </c>
    </row>
    <row r="162" spans="1:2" x14ac:dyDescent="0.25">
      <c r="A162">
        <v>14831</v>
      </c>
      <c r="B162">
        <v>318</v>
      </c>
    </row>
    <row r="163" spans="1:2" x14ac:dyDescent="0.25">
      <c r="A163">
        <v>14885</v>
      </c>
      <c r="B163">
        <v>24</v>
      </c>
    </row>
    <row r="164" spans="1:2" x14ac:dyDescent="0.25">
      <c r="A164">
        <v>14887</v>
      </c>
      <c r="B164">
        <v>388</v>
      </c>
    </row>
    <row r="165" spans="1:2" x14ac:dyDescent="0.25">
      <c r="A165">
        <v>14895</v>
      </c>
      <c r="B165">
        <v>50</v>
      </c>
    </row>
    <row r="166" spans="1:2" x14ac:dyDescent="0.25">
      <c r="A166">
        <v>14921</v>
      </c>
      <c r="B166">
        <v>1137</v>
      </c>
    </row>
    <row r="167" spans="1:2" x14ac:dyDescent="0.25">
      <c r="A167">
        <v>14977</v>
      </c>
      <c r="B167">
        <v>150</v>
      </c>
    </row>
    <row r="168" spans="1:2" x14ac:dyDescent="0.25">
      <c r="A168">
        <v>15029</v>
      </c>
      <c r="B168">
        <v>519</v>
      </c>
    </row>
    <row r="169" spans="1:2" x14ac:dyDescent="0.25">
      <c r="A169">
        <v>15051</v>
      </c>
      <c r="B169">
        <v>24</v>
      </c>
    </row>
    <row r="170" spans="1:2" x14ac:dyDescent="0.25">
      <c r="A170">
        <v>15066</v>
      </c>
      <c r="B170">
        <v>149</v>
      </c>
    </row>
    <row r="171" spans="1:2" x14ac:dyDescent="0.25">
      <c r="A171">
        <v>15085</v>
      </c>
      <c r="B171">
        <v>81</v>
      </c>
    </row>
    <row r="172" spans="1:2" x14ac:dyDescent="0.25">
      <c r="A172">
        <v>15167</v>
      </c>
      <c r="B172">
        <v>645</v>
      </c>
    </row>
    <row r="173" spans="1:2" x14ac:dyDescent="0.25">
      <c r="A173">
        <v>15267</v>
      </c>
      <c r="B173">
        <v>16</v>
      </c>
    </row>
    <row r="174" spans="1:2" x14ac:dyDescent="0.25">
      <c r="A174">
        <v>15271</v>
      </c>
      <c r="B174">
        <v>0</v>
      </c>
    </row>
    <row r="175" spans="1:2" x14ac:dyDescent="0.25">
      <c r="A175">
        <v>15272</v>
      </c>
      <c r="B175">
        <v>0</v>
      </c>
    </row>
    <row r="176" spans="1:2" x14ac:dyDescent="0.25">
      <c r="A176">
        <v>15299</v>
      </c>
      <c r="B176">
        <v>395</v>
      </c>
    </row>
    <row r="177" spans="1:2" x14ac:dyDescent="0.25">
      <c r="A177">
        <v>15436</v>
      </c>
      <c r="B177">
        <v>631</v>
      </c>
    </row>
    <row r="178" spans="1:2" x14ac:dyDescent="0.25">
      <c r="A178">
        <v>15438</v>
      </c>
      <c r="B178">
        <v>64</v>
      </c>
    </row>
    <row r="179" spans="1:2" x14ac:dyDescent="0.25">
      <c r="A179">
        <v>15464</v>
      </c>
      <c r="B179">
        <v>0</v>
      </c>
    </row>
    <row r="180" spans="1:2" x14ac:dyDescent="0.25">
      <c r="A180">
        <v>15465</v>
      </c>
      <c r="B180">
        <v>0</v>
      </c>
    </row>
    <row r="181" spans="1:2" x14ac:dyDescent="0.25">
      <c r="A181">
        <v>15466</v>
      </c>
      <c r="B181">
        <v>5</v>
      </c>
    </row>
    <row r="182" spans="1:2" x14ac:dyDescent="0.25">
      <c r="A182">
        <v>15467</v>
      </c>
      <c r="B182">
        <v>19</v>
      </c>
    </row>
    <row r="183" spans="1:2" x14ac:dyDescent="0.25">
      <c r="A183">
        <v>15469</v>
      </c>
      <c r="B183">
        <v>40</v>
      </c>
    </row>
    <row r="184" spans="1:2" x14ac:dyDescent="0.25">
      <c r="A184">
        <v>15473</v>
      </c>
      <c r="B184">
        <v>10</v>
      </c>
    </row>
    <row r="185" spans="1:2" x14ac:dyDescent="0.25">
      <c r="A185">
        <v>15475</v>
      </c>
      <c r="B185">
        <v>16</v>
      </c>
    </row>
    <row r="186" spans="1:2" x14ac:dyDescent="0.25">
      <c r="A186">
        <v>15530</v>
      </c>
      <c r="B186">
        <v>30849</v>
      </c>
    </row>
    <row r="187" spans="1:2" x14ac:dyDescent="0.25">
      <c r="A187">
        <v>15648</v>
      </c>
      <c r="B187">
        <v>16</v>
      </c>
    </row>
    <row r="188" spans="1:2" x14ac:dyDescent="0.25">
      <c r="A188">
        <v>15656</v>
      </c>
      <c r="B188">
        <v>0</v>
      </c>
    </row>
    <row r="189" spans="1:2" x14ac:dyDescent="0.25">
      <c r="A189">
        <v>15664</v>
      </c>
      <c r="B189">
        <v>18</v>
      </c>
    </row>
    <row r="190" spans="1:2" x14ac:dyDescent="0.25">
      <c r="A190">
        <v>15668</v>
      </c>
      <c r="B190">
        <v>0</v>
      </c>
    </row>
    <row r="191" spans="1:2" x14ac:dyDescent="0.25">
      <c r="A191">
        <v>15672</v>
      </c>
      <c r="B191">
        <v>0</v>
      </c>
    </row>
    <row r="192" spans="1:2" x14ac:dyDescent="0.25">
      <c r="A192">
        <v>15673</v>
      </c>
      <c r="B192">
        <v>4</v>
      </c>
    </row>
    <row r="193" spans="1:2" x14ac:dyDescent="0.25">
      <c r="A193">
        <v>15680</v>
      </c>
      <c r="B193">
        <v>0</v>
      </c>
    </row>
    <row r="194" spans="1:2" x14ac:dyDescent="0.25">
      <c r="A194">
        <v>15761</v>
      </c>
      <c r="B194">
        <v>107</v>
      </c>
    </row>
    <row r="195" spans="1:2" x14ac:dyDescent="0.25">
      <c r="A195">
        <v>15813</v>
      </c>
      <c r="B195">
        <v>5366</v>
      </c>
    </row>
    <row r="196" spans="1:2" x14ac:dyDescent="0.25">
      <c r="A196">
        <v>16053</v>
      </c>
      <c r="B196">
        <v>73</v>
      </c>
    </row>
    <row r="197" spans="1:2" x14ac:dyDescent="0.25">
      <c r="A197">
        <v>16300</v>
      </c>
      <c r="B197">
        <v>3</v>
      </c>
    </row>
    <row r="198" spans="1:2" x14ac:dyDescent="0.25">
      <c r="A198">
        <v>16363</v>
      </c>
      <c r="B198">
        <v>184</v>
      </c>
    </row>
    <row r="199" spans="1:2" x14ac:dyDescent="0.25">
      <c r="A199">
        <v>16365</v>
      </c>
      <c r="B199">
        <v>132</v>
      </c>
    </row>
    <row r="200" spans="1:2" x14ac:dyDescent="0.25">
      <c r="A200">
        <v>16427</v>
      </c>
      <c r="B200">
        <v>4</v>
      </c>
    </row>
    <row r="201" spans="1:2" x14ac:dyDescent="0.25">
      <c r="A201">
        <v>16512</v>
      </c>
      <c r="B201">
        <v>981</v>
      </c>
    </row>
    <row r="202" spans="1:2" x14ac:dyDescent="0.25">
      <c r="A202">
        <v>16528</v>
      </c>
      <c r="B202">
        <v>891</v>
      </c>
    </row>
    <row r="203" spans="1:2" x14ac:dyDescent="0.25">
      <c r="A203">
        <v>16532</v>
      </c>
      <c r="B203">
        <v>49</v>
      </c>
    </row>
    <row r="204" spans="1:2" x14ac:dyDescent="0.25">
      <c r="A204">
        <v>16571</v>
      </c>
      <c r="B204">
        <v>1976</v>
      </c>
    </row>
    <row r="205" spans="1:2" x14ac:dyDescent="0.25">
      <c r="A205">
        <v>16688</v>
      </c>
      <c r="B205">
        <v>2</v>
      </c>
    </row>
    <row r="206" spans="1:2" x14ac:dyDescent="0.25">
      <c r="A206">
        <v>16692</v>
      </c>
      <c r="B206">
        <v>19</v>
      </c>
    </row>
    <row r="207" spans="1:2" x14ac:dyDescent="0.25">
      <c r="A207">
        <v>16729</v>
      </c>
      <c r="B207">
        <v>2234</v>
      </c>
    </row>
    <row r="208" spans="1:2" x14ac:dyDescent="0.25">
      <c r="A208">
        <v>16736</v>
      </c>
      <c r="B208">
        <v>13</v>
      </c>
    </row>
    <row r="209" spans="1:2" x14ac:dyDescent="0.25">
      <c r="A209">
        <v>16737</v>
      </c>
      <c r="B209">
        <v>13</v>
      </c>
    </row>
    <row r="210" spans="1:2" x14ac:dyDescent="0.25">
      <c r="A210">
        <v>16757</v>
      </c>
      <c r="B210">
        <v>197</v>
      </c>
    </row>
    <row r="211" spans="1:2" x14ac:dyDescent="0.25">
      <c r="A211">
        <v>16763</v>
      </c>
      <c r="B211">
        <v>2</v>
      </c>
    </row>
    <row r="212" spans="1:2" x14ac:dyDescent="0.25">
      <c r="A212">
        <v>16808</v>
      </c>
      <c r="B212">
        <v>1279</v>
      </c>
    </row>
    <row r="213" spans="1:2" x14ac:dyDescent="0.25">
      <c r="A213">
        <v>16813</v>
      </c>
      <c r="B213">
        <v>815</v>
      </c>
    </row>
    <row r="214" spans="1:2" x14ac:dyDescent="0.25">
      <c r="A214">
        <v>16827</v>
      </c>
      <c r="B214">
        <v>49</v>
      </c>
    </row>
    <row r="215" spans="1:2" x14ac:dyDescent="0.25">
      <c r="A215">
        <v>16835</v>
      </c>
      <c r="B215">
        <v>1</v>
      </c>
    </row>
    <row r="216" spans="1:2" x14ac:dyDescent="0.25">
      <c r="A216">
        <v>16846</v>
      </c>
      <c r="B216">
        <v>1097</v>
      </c>
    </row>
    <row r="217" spans="1:2" x14ac:dyDescent="0.25">
      <c r="A217">
        <v>16956</v>
      </c>
      <c r="B217">
        <v>115</v>
      </c>
    </row>
    <row r="218" spans="1:2" x14ac:dyDescent="0.25">
      <c r="A218">
        <v>16978</v>
      </c>
      <c r="B218">
        <v>96</v>
      </c>
    </row>
    <row r="219" spans="1:2" x14ac:dyDescent="0.25">
      <c r="A219">
        <v>17026</v>
      </c>
      <c r="B219">
        <v>9</v>
      </c>
    </row>
    <row r="220" spans="1:2" x14ac:dyDescent="0.25">
      <c r="A220">
        <v>17033</v>
      </c>
      <c r="B220">
        <v>1414</v>
      </c>
    </row>
    <row r="221" spans="1:2" x14ac:dyDescent="0.25">
      <c r="A221">
        <v>17064</v>
      </c>
      <c r="B221">
        <v>3</v>
      </c>
    </row>
    <row r="222" spans="1:2" x14ac:dyDescent="0.25">
      <c r="A222">
        <v>17105</v>
      </c>
      <c r="B222">
        <v>60</v>
      </c>
    </row>
    <row r="223" spans="1:2" x14ac:dyDescent="0.25">
      <c r="A223">
        <v>17115</v>
      </c>
      <c r="B223">
        <v>7952</v>
      </c>
    </row>
    <row r="224" spans="1:2" x14ac:dyDescent="0.25">
      <c r="A224">
        <v>17132</v>
      </c>
      <c r="B224">
        <v>547</v>
      </c>
    </row>
    <row r="225" spans="1:2" x14ac:dyDescent="0.25">
      <c r="A225">
        <v>17135</v>
      </c>
      <c r="B225">
        <v>1863</v>
      </c>
    </row>
    <row r="226" spans="1:2" x14ac:dyDescent="0.25">
      <c r="A226">
        <v>17136</v>
      </c>
      <c r="B226">
        <v>1216</v>
      </c>
    </row>
    <row r="227" spans="1:2" x14ac:dyDescent="0.25">
      <c r="A227">
        <v>17299</v>
      </c>
      <c r="B227">
        <v>30</v>
      </c>
    </row>
    <row r="228" spans="1:2" x14ac:dyDescent="0.25">
      <c r="A228">
        <v>17362</v>
      </c>
      <c r="B228">
        <v>8599</v>
      </c>
    </row>
    <row r="229" spans="1:2" x14ac:dyDescent="0.25">
      <c r="A229">
        <v>17370</v>
      </c>
      <c r="B229">
        <v>9554</v>
      </c>
    </row>
    <row r="230" spans="1:2" x14ac:dyDescent="0.25">
      <c r="A230">
        <v>17371</v>
      </c>
      <c r="B230">
        <v>10108</v>
      </c>
    </row>
    <row r="231" spans="1:2" x14ac:dyDescent="0.25">
      <c r="A231">
        <v>17422</v>
      </c>
      <c r="B231">
        <v>22</v>
      </c>
    </row>
    <row r="232" spans="1:2" x14ac:dyDescent="0.25">
      <c r="A232">
        <v>17426</v>
      </c>
      <c r="B232">
        <v>8</v>
      </c>
    </row>
    <row r="233" spans="1:2" x14ac:dyDescent="0.25">
      <c r="A233">
        <v>17454</v>
      </c>
      <c r="B233">
        <v>10900</v>
      </c>
    </row>
    <row r="234" spans="1:2" x14ac:dyDescent="0.25">
      <c r="A234">
        <v>17562</v>
      </c>
      <c r="B234">
        <v>0</v>
      </c>
    </row>
    <row r="235" spans="1:2" x14ac:dyDescent="0.25">
      <c r="A235">
        <v>17659</v>
      </c>
      <c r="B235">
        <v>0</v>
      </c>
    </row>
    <row r="236" spans="1:2" x14ac:dyDescent="0.25">
      <c r="A236">
        <v>17662</v>
      </c>
      <c r="B236">
        <v>278</v>
      </c>
    </row>
    <row r="237" spans="1:2" x14ac:dyDescent="0.25">
      <c r="A237">
        <v>17663</v>
      </c>
      <c r="B237">
        <v>45</v>
      </c>
    </row>
    <row r="238" spans="1:2" x14ac:dyDescent="0.25">
      <c r="A238">
        <v>17670</v>
      </c>
      <c r="B238">
        <v>3</v>
      </c>
    </row>
    <row r="239" spans="1:2" x14ac:dyDescent="0.25">
      <c r="A239">
        <v>17696</v>
      </c>
      <c r="B239">
        <v>50</v>
      </c>
    </row>
    <row r="240" spans="1:2" x14ac:dyDescent="0.25">
      <c r="A240">
        <v>17698</v>
      </c>
      <c r="B240">
        <v>202</v>
      </c>
    </row>
    <row r="241" spans="1:2" x14ac:dyDescent="0.25">
      <c r="A241">
        <v>17704</v>
      </c>
      <c r="B241">
        <v>270</v>
      </c>
    </row>
    <row r="242" spans="1:2" x14ac:dyDescent="0.25">
      <c r="A242">
        <v>17946</v>
      </c>
      <c r="B242">
        <v>61</v>
      </c>
    </row>
    <row r="243" spans="1:2" x14ac:dyDescent="0.25">
      <c r="A243">
        <v>18337</v>
      </c>
      <c r="B243">
        <v>0</v>
      </c>
    </row>
    <row r="244" spans="1:2" x14ac:dyDescent="0.25">
      <c r="A244">
        <v>18342</v>
      </c>
      <c r="B244">
        <v>1</v>
      </c>
    </row>
    <row r="245" spans="1:2" x14ac:dyDescent="0.25">
      <c r="A245">
        <v>18346</v>
      </c>
      <c r="B245">
        <v>14</v>
      </c>
    </row>
    <row r="246" spans="1:2" x14ac:dyDescent="0.25">
      <c r="A246">
        <v>18351</v>
      </c>
      <c r="B246">
        <v>1</v>
      </c>
    </row>
    <row r="247" spans="1:2" x14ac:dyDescent="0.25">
      <c r="A247">
        <v>18353</v>
      </c>
      <c r="B247">
        <v>128</v>
      </c>
    </row>
    <row r="248" spans="1:2" x14ac:dyDescent="0.25">
      <c r="A248">
        <v>18357</v>
      </c>
      <c r="B248">
        <v>138</v>
      </c>
    </row>
    <row r="249" spans="1:2" x14ac:dyDescent="0.25">
      <c r="A249">
        <v>18358</v>
      </c>
      <c r="B249">
        <v>66</v>
      </c>
    </row>
    <row r="250" spans="1:2" x14ac:dyDescent="0.25">
      <c r="A250">
        <v>19842</v>
      </c>
      <c r="B250">
        <v>5312</v>
      </c>
    </row>
    <row r="251" spans="1:2" x14ac:dyDescent="0.25">
      <c r="A251">
        <v>19871</v>
      </c>
      <c r="B251">
        <v>73</v>
      </c>
    </row>
    <row r="252" spans="1:2" x14ac:dyDescent="0.25">
      <c r="A252">
        <v>19882</v>
      </c>
      <c r="B252">
        <v>35</v>
      </c>
    </row>
    <row r="253" spans="1:2" x14ac:dyDescent="0.25">
      <c r="A253">
        <v>19883</v>
      </c>
      <c r="B253">
        <v>79</v>
      </c>
    </row>
    <row r="254" spans="1:2" x14ac:dyDescent="0.25">
      <c r="A254">
        <v>19884</v>
      </c>
      <c r="B254">
        <v>9</v>
      </c>
    </row>
    <row r="255" spans="1:2" x14ac:dyDescent="0.25">
      <c r="A255">
        <v>19998</v>
      </c>
      <c r="B255">
        <v>43</v>
      </c>
    </row>
    <row r="256" spans="1:2" x14ac:dyDescent="0.25">
      <c r="A256">
        <v>20001</v>
      </c>
      <c r="B256">
        <v>227</v>
      </c>
    </row>
    <row r="257" spans="1:2" x14ac:dyDescent="0.25">
      <c r="A257">
        <v>20034</v>
      </c>
      <c r="B257">
        <v>340</v>
      </c>
    </row>
    <row r="258" spans="1:2" x14ac:dyDescent="0.25">
      <c r="A258">
        <v>20035</v>
      </c>
      <c r="B258">
        <v>39</v>
      </c>
    </row>
    <row r="259" spans="1:2" x14ac:dyDescent="0.25">
      <c r="A259">
        <v>20037</v>
      </c>
      <c r="B259">
        <v>51</v>
      </c>
    </row>
    <row r="260" spans="1:2" x14ac:dyDescent="0.25">
      <c r="A260">
        <v>20104</v>
      </c>
      <c r="B260">
        <v>120</v>
      </c>
    </row>
    <row r="261" spans="1:2" x14ac:dyDescent="0.25">
      <c r="A261">
        <v>20106</v>
      </c>
      <c r="B261">
        <v>152</v>
      </c>
    </row>
    <row r="262" spans="1:2" x14ac:dyDescent="0.25">
      <c r="A262">
        <v>20135</v>
      </c>
      <c r="B262">
        <v>173</v>
      </c>
    </row>
    <row r="263" spans="1:2" x14ac:dyDescent="0.25">
      <c r="A263">
        <v>20144</v>
      </c>
      <c r="B263">
        <v>229</v>
      </c>
    </row>
    <row r="264" spans="1:2" x14ac:dyDescent="0.25">
      <c r="A264">
        <v>20167</v>
      </c>
      <c r="B264">
        <v>10</v>
      </c>
    </row>
    <row r="265" spans="1:2" x14ac:dyDescent="0.25">
      <c r="A265">
        <v>20537</v>
      </c>
      <c r="B265">
        <v>4</v>
      </c>
    </row>
    <row r="266" spans="1:2" x14ac:dyDescent="0.25">
      <c r="A266">
        <v>20540</v>
      </c>
      <c r="B266">
        <v>8</v>
      </c>
    </row>
    <row r="267" spans="1:2" x14ac:dyDescent="0.25">
      <c r="A267">
        <v>20554</v>
      </c>
      <c r="B267">
        <v>11000</v>
      </c>
    </row>
    <row r="268" spans="1:2" x14ac:dyDescent="0.25">
      <c r="A268">
        <v>20558</v>
      </c>
      <c r="B268">
        <v>7900</v>
      </c>
    </row>
    <row r="269" spans="1:2" x14ac:dyDescent="0.25">
      <c r="A269">
        <v>20576</v>
      </c>
      <c r="B269">
        <v>2400</v>
      </c>
    </row>
    <row r="270" spans="1:2" x14ac:dyDescent="0.25">
      <c r="A270">
        <v>20583</v>
      </c>
      <c r="B270">
        <v>6420</v>
      </c>
    </row>
    <row r="271" spans="1:2" x14ac:dyDescent="0.25">
      <c r="A271">
        <v>20584</v>
      </c>
      <c r="B271">
        <v>6150</v>
      </c>
    </row>
    <row r="272" spans="1:2" x14ac:dyDescent="0.25">
      <c r="A272">
        <v>20760</v>
      </c>
      <c r="B272">
        <v>155</v>
      </c>
    </row>
    <row r="273" spans="1:2" x14ac:dyDescent="0.25">
      <c r="A273">
        <v>20763</v>
      </c>
      <c r="B273">
        <v>106</v>
      </c>
    </row>
    <row r="274" spans="1:2" x14ac:dyDescent="0.25">
      <c r="A274">
        <v>23581</v>
      </c>
      <c r="B274">
        <v>11049</v>
      </c>
    </row>
    <row r="275" spans="1:2" x14ac:dyDescent="0.25">
      <c r="A275">
        <v>23607</v>
      </c>
      <c r="B275">
        <v>0</v>
      </c>
    </row>
    <row r="276" spans="1:2" x14ac:dyDescent="0.25">
      <c r="A276">
        <v>23676</v>
      </c>
      <c r="B276">
        <v>1854</v>
      </c>
    </row>
    <row r="277" spans="1:2" x14ac:dyDescent="0.25">
      <c r="A277">
        <v>23687</v>
      </c>
      <c r="B277">
        <v>15803</v>
      </c>
    </row>
    <row r="278" spans="1:2" x14ac:dyDescent="0.25">
      <c r="A278">
        <v>23692</v>
      </c>
      <c r="B278">
        <v>15327</v>
      </c>
    </row>
    <row r="279" spans="1:2" x14ac:dyDescent="0.25">
      <c r="A279">
        <v>23778</v>
      </c>
      <c r="B279">
        <v>154</v>
      </c>
    </row>
    <row r="280" spans="1:2" x14ac:dyDescent="0.25">
      <c r="A280">
        <v>23846</v>
      </c>
      <c r="B280">
        <v>19445</v>
      </c>
    </row>
    <row r="281" spans="1:2" x14ac:dyDescent="0.25">
      <c r="A281">
        <v>23862</v>
      </c>
      <c r="B281">
        <v>19026</v>
      </c>
    </row>
    <row r="282" spans="1:2" x14ac:dyDescent="0.25">
      <c r="A282">
        <v>23875</v>
      </c>
      <c r="B282">
        <v>19658</v>
      </c>
    </row>
    <row r="283" spans="1:2" x14ac:dyDescent="0.25">
      <c r="A283">
        <v>23986</v>
      </c>
      <c r="B283">
        <v>8702</v>
      </c>
    </row>
    <row r="284" spans="1:2" x14ac:dyDescent="0.25">
      <c r="A284">
        <v>23989</v>
      </c>
      <c r="B284">
        <v>7969</v>
      </c>
    </row>
    <row r="285" spans="1:2" x14ac:dyDescent="0.25">
      <c r="A285">
        <v>23992</v>
      </c>
      <c r="B285">
        <v>1972</v>
      </c>
    </row>
    <row r="286" spans="1:2" x14ac:dyDescent="0.25">
      <c r="A286">
        <v>23993</v>
      </c>
      <c r="B286">
        <v>6824</v>
      </c>
    </row>
    <row r="287" spans="1:2" x14ac:dyDescent="0.25">
      <c r="A287">
        <v>23996</v>
      </c>
      <c r="B287">
        <v>8355</v>
      </c>
    </row>
    <row r="288" spans="1:2" x14ac:dyDescent="0.25">
      <c r="A288">
        <v>24204</v>
      </c>
      <c r="B288">
        <v>345</v>
      </c>
    </row>
    <row r="289" spans="1:2" x14ac:dyDescent="0.25">
      <c r="A289">
        <v>24205</v>
      </c>
      <c r="B289">
        <v>523</v>
      </c>
    </row>
    <row r="290" spans="1:2" x14ac:dyDescent="0.25">
      <c r="A290">
        <v>24219</v>
      </c>
      <c r="B290">
        <v>340</v>
      </c>
    </row>
    <row r="291" spans="1:2" x14ac:dyDescent="0.25">
      <c r="A291">
        <v>24371</v>
      </c>
      <c r="B291">
        <v>17159</v>
      </c>
    </row>
    <row r="292" spans="1:2" x14ac:dyDescent="0.25">
      <c r="A292">
        <v>24476</v>
      </c>
      <c r="B292">
        <v>8534</v>
      </c>
    </row>
    <row r="293" spans="1:2" x14ac:dyDescent="0.25">
      <c r="A293">
        <v>24477</v>
      </c>
      <c r="B293">
        <v>8683</v>
      </c>
    </row>
    <row r="294" spans="1:2" x14ac:dyDescent="0.25">
      <c r="A294">
        <v>24500</v>
      </c>
      <c r="B294">
        <v>274</v>
      </c>
    </row>
    <row r="295" spans="1:2" x14ac:dyDescent="0.25">
      <c r="A295">
        <v>24542</v>
      </c>
      <c r="B295">
        <v>6</v>
      </c>
    </row>
    <row r="296" spans="1:2" x14ac:dyDescent="0.25">
      <c r="A296">
        <v>24551</v>
      </c>
      <c r="B296">
        <v>0</v>
      </c>
    </row>
    <row r="297" spans="1:2" x14ac:dyDescent="0.25">
      <c r="A297">
        <v>24888</v>
      </c>
      <c r="B297">
        <v>9</v>
      </c>
    </row>
    <row r="298" spans="1:2" x14ac:dyDescent="0.25">
      <c r="A298">
        <v>24890</v>
      </c>
      <c r="B298">
        <v>0</v>
      </c>
    </row>
    <row r="299" spans="1:2" x14ac:dyDescent="0.25">
      <c r="A299">
        <v>25489</v>
      </c>
      <c r="B299">
        <v>2</v>
      </c>
    </row>
    <row r="300" spans="1:2" x14ac:dyDescent="0.25">
      <c r="A300">
        <v>25519</v>
      </c>
      <c r="B300">
        <v>21</v>
      </c>
    </row>
    <row r="301" spans="1:2" x14ac:dyDescent="0.25">
      <c r="A301">
        <v>25523</v>
      </c>
      <c r="B301">
        <v>151</v>
      </c>
    </row>
    <row r="302" spans="1:2" x14ac:dyDescent="0.25">
      <c r="A302">
        <v>25536</v>
      </c>
      <c r="B302">
        <v>3</v>
      </c>
    </row>
    <row r="303" spans="1:2" x14ac:dyDescent="0.25">
      <c r="A303">
        <v>25559</v>
      </c>
      <c r="B303">
        <v>10493</v>
      </c>
    </row>
    <row r="304" spans="1:2" x14ac:dyDescent="0.25">
      <c r="A304">
        <v>25630</v>
      </c>
      <c r="B304">
        <v>75</v>
      </c>
    </row>
    <row r="305" spans="1:2" x14ac:dyDescent="0.25">
      <c r="A305">
        <v>25756</v>
      </c>
      <c r="B305">
        <v>59</v>
      </c>
    </row>
    <row r="306" spans="1:2" x14ac:dyDescent="0.25">
      <c r="A306">
        <v>26215</v>
      </c>
      <c r="B306">
        <v>84</v>
      </c>
    </row>
    <row r="307" spans="1:2" x14ac:dyDescent="0.25">
      <c r="A307">
        <v>26282</v>
      </c>
      <c r="B307">
        <v>2</v>
      </c>
    </row>
    <row r="308" spans="1:2" x14ac:dyDescent="0.25">
      <c r="A308">
        <v>26368</v>
      </c>
      <c r="B308">
        <v>2</v>
      </c>
    </row>
    <row r="309" spans="1:2" x14ac:dyDescent="0.25">
      <c r="A309">
        <v>26503</v>
      </c>
      <c r="B309">
        <v>1500</v>
      </c>
    </row>
    <row r="310" spans="1:2" x14ac:dyDescent="0.25">
      <c r="A310">
        <v>26504</v>
      </c>
      <c r="B310">
        <v>550</v>
      </c>
    </row>
    <row r="311" spans="1:2" x14ac:dyDescent="0.25">
      <c r="A311">
        <v>26506</v>
      </c>
      <c r="B311">
        <v>550</v>
      </c>
    </row>
    <row r="312" spans="1:2" x14ac:dyDescent="0.25">
      <c r="A312">
        <v>26508</v>
      </c>
      <c r="B312">
        <v>1530</v>
      </c>
    </row>
    <row r="313" spans="1:2" x14ac:dyDescent="0.25">
      <c r="A313">
        <v>27136</v>
      </c>
      <c r="B313">
        <v>35569</v>
      </c>
    </row>
    <row r="314" spans="1:2" x14ac:dyDescent="0.25">
      <c r="A314">
        <v>27137</v>
      </c>
      <c r="B314">
        <v>9216</v>
      </c>
    </row>
    <row r="315" spans="1:2" x14ac:dyDescent="0.25">
      <c r="A315">
        <v>27138</v>
      </c>
      <c r="B315">
        <v>9194</v>
      </c>
    </row>
    <row r="316" spans="1:2" x14ac:dyDescent="0.25">
      <c r="A316">
        <v>27139</v>
      </c>
      <c r="B316">
        <v>9120</v>
      </c>
    </row>
    <row r="317" spans="1:2" x14ac:dyDescent="0.25">
      <c r="A317">
        <v>27140</v>
      </c>
      <c r="B317">
        <v>10644</v>
      </c>
    </row>
    <row r="318" spans="1:2" x14ac:dyDescent="0.25">
      <c r="A318">
        <v>27287</v>
      </c>
      <c r="B318">
        <v>207</v>
      </c>
    </row>
    <row r="319" spans="1:2" x14ac:dyDescent="0.25">
      <c r="A319">
        <v>27353</v>
      </c>
      <c r="B319">
        <v>155</v>
      </c>
    </row>
    <row r="320" spans="1:2" x14ac:dyDescent="0.25">
      <c r="A320">
        <v>27479</v>
      </c>
      <c r="B320">
        <v>133</v>
      </c>
    </row>
    <row r="321" spans="1:2" x14ac:dyDescent="0.25">
      <c r="A321">
        <v>27759</v>
      </c>
      <c r="B321">
        <v>0</v>
      </c>
    </row>
    <row r="322" spans="1:2" x14ac:dyDescent="0.25">
      <c r="A322">
        <v>27760</v>
      </c>
      <c r="B322">
        <v>10</v>
      </c>
    </row>
    <row r="323" spans="1:2" x14ac:dyDescent="0.25">
      <c r="A323">
        <v>27761</v>
      </c>
      <c r="B323">
        <v>18</v>
      </c>
    </row>
    <row r="324" spans="1:2" x14ac:dyDescent="0.25">
      <c r="A324">
        <v>27764</v>
      </c>
      <c r="B324">
        <v>20</v>
      </c>
    </row>
    <row r="325" spans="1:2" x14ac:dyDescent="0.25">
      <c r="A325">
        <v>28040</v>
      </c>
      <c r="B325">
        <v>0</v>
      </c>
    </row>
    <row r="326" spans="1:2" x14ac:dyDescent="0.25">
      <c r="A326">
        <v>28093</v>
      </c>
      <c r="B326">
        <v>37</v>
      </c>
    </row>
    <row r="327" spans="1:2" x14ac:dyDescent="0.25">
      <c r="A327">
        <v>28181</v>
      </c>
      <c r="B327">
        <v>1</v>
      </c>
    </row>
    <row r="328" spans="1:2" x14ac:dyDescent="0.25">
      <c r="A328">
        <v>28184</v>
      </c>
      <c r="B328">
        <v>97</v>
      </c>
    </row>
    <row r="329" spans="1:2" x14ac:dyDescent="0.25">
      <c r="A329">
        <v>28306</v>
      </c>
      <c r="B329">
        <v>22</v>
      </c>
    </row>
    <row r="330" spans="1:2" x14ac:dyDescent="0.25">
      <c r="A330">
        <v>28307</v>
      </c>
      <c r="B330">
        <v>2</v>
      </c>
    </row>
    <row r="331" spans="1:2" x14ac:dyDescent="0.25">
      <c r="A331">
        <v>28308</v>
      </c>
      <c r="B331">
        <v>47</v>
      </c>
    </row>
    <row r="332" spans="1:2" x14ac:dyDescent="0.25">
      <c r="A332">
        <v>28512</v>
      </c>
      <c r="B332">
        <v>50</v>
      </c>
    </row>
    <row r="333" spans="1:2" x14ac:dyDescent="0.25">
      <c r="A333">
        <v>28781</v>
      </c>
      <c r="B333">
        <v>0</v>
      </c>
    </row>
    <row r="334" spans="1:2" x14ac:dyDescent="0.25">
      <c r="A334">
        <v>28782</v>
      </c>
      <c r="B334">
        <v>0</v>
      </c>
    </row>
    <row r="335" spans="1:2" x14ac:dyDescent="0.25">
      <c r="A335">
        <v>29288</v>
      </c>
      <c r="B335">
        <v>0</v>
      </c>
    </row>
    <row r="336" spans="1:2" x14ac:dyDescent="0.25">
      <c r="A336">
        <v>29293</v>
      </c>
      <c r="B336">
        <v>770</v>
      </c>
    </row>
    <row r="337" spans="1:2" x14ac:dyDescent="0.25">
      <c r="A337">
        <v>29294</v>
      </c>
      <c r="B337">
        <v>60</v>
      </c>
    </row>
    <row r="338" spans="1:2" x14ac:dyDescent="0.25">
      <c r="A338">
        <v>29296</v>
      </c>
      <c r="B338">
        <v>2225</v>
      </c>
    </row>
    <row r="339" spans="1:2" x14ac:dyDescent="0.25">
      <c r="A339">
        <v>29435</v>
      </c>
      <c r="B339">
        <v>29</v>
      </c>
    </row>
    <row r="340" spans="1:2" x14ac:dyDescent="0.25">
      <c r="A340">
        <v>29437</v>
      </c>
      <c r="B340">
        <v>0</v>
      </c>
    </row>
    <row r="341" spans="1:2" x14ac:dyDescent="0.25">
      <c r="A341">
        <v>29524</v>
      </c>
      <c r="B341">
        <v>219</v>
      </c>
    </row>
    <row r="342" spans="1:2" x14ac:dyDescent="0.25">
      <c r="A342">
        <v>29537</v>
      </c>
      <c r="B342">
        <v>8</v>
      </c>
    </row>
    <row r="343" spans="1:2" x14ac:dyDescent="0.25">
      <c r="A343">
        <v>29829</v>
      </c>
      <c r="B343">
        <v>0</v>
      </c>
    </row>
    <row r="344" spans="1:2" x14ac:dyDescent="0.25">
      <c r="A344">
        <v>29935</v>
      </c>
      <c r="B344">
        <v>64</v>
      </c>
    </row>
    <row r="345" spans="1:2" x14ac:dyDescent="0.25">
      <c r="A345">
        <v>29952</v>
      </c>
      <c r="B345">
        <v>3970</v>
      </c>
    </row>
    <row r="346" spans="1:2" x14ac:dyDescent="0.25">
      <c r="A346">
        <v>29956</v>
      </c>
      <c r="B346">
        <v>9343</v>
      </c>
    </row>
    <row r="347" spans="1:2" x14ac:dyDescent="0.25">
      <c r="A347">
        <v>29959</v>
      </c>
      <c r="B347">
        <v>9673</v>
      </c>
    </row>
    <row r="348" spans="1:2" x14ac:dyDescent="0.25">
      <c r="A348">
        <v>29960</v>
      </c>
      <c r="B348">
        <v>4862</v>
      </c>
    </row>
    <row r="349" spans="1:2" x14ac:dyDescent="0.25">
      <c r="A349">
        <v>29961</v>
      </c>
      <c r="B349">
        <v>9979</v>
      </c>
    </row>
    <row r="350" spans="1:2" x14ac:dyDescent="0.25">
      <c r="A350">
        <v>29962</v>
      </c>
      <c r="B350">
        <v>8682</v>
      </c>
    </row>
    <row r="351" spans="1:2" x14ac:dyDescent="0.25">
      <c r="A351">
        <v>29964</v>
      </c>
      <c r="B351">
        <v>9283</v>
      </c>
    </row>
    <row r="352" spans="1:2" x14ac:dyDescent="0.25">
      <c r="A352">
        <v>30165</v>
      </c>
      <c r="B352">
        <v>19244</v>
      </c>
    </row>
    <row r="353" spans="1:2" x14ac:dyDescent="0.25">
      <c r="A353">
        <v>30171</v>
      </c>
      <c r="B353">
        <v>26</v>
      </c>
    </row>
    <row r="354" spans="1:2" x14ac:dyDescent="0.25">
      <c r="A354">
        <v>30658</v>
      </c>
      <c r="B354">
        <v>18</v>
      </c>
    </row>
    <row r="355" spans="1:2" x14ac:dyDescent="0.25">
      <c r="A355">
        <v>30772</v>
      </c>
      <c r="B355">
        <v>60</v>
      </c>
    </row>
    <row r="356" spans="1:2" x14ac:dyDescent="0.25">
      <c r="A356">
        <v>31321</v>
      </c>
      <c r="B356">
        <v>17511</v>
      </c>
    </row>
    <row r="357" spans="1:2" x14ac:dyDescent="0.25">
      <c r="A357">
        <v>31427</v>
      </c>
      <c r="B357">
        <v>26</v>
      </c>
    </row>
    <row r="358" spans="1:2" x14ac:dyDescent="0.25">
      <c r="A358">
        <v>31428</v>
      </c>
      <c r="B358">
        <v>18</v>
      </c>
    </row>
    <row r="359" spans="1:2" x14ac:dyDescent="0.25">
      <c r="A359">
        <v>31555</v>
      </c>
      <c r="B359">
        <v>0</v>
      </c>
    </row>
    <row r="360" spans="1:2" x14ac:dyDescent="0.25">
      <c r="A360">
        <v>31580</v>
      </c>
      <c r="B360">
        <v>5</v>
      </c>
    </row>
    <row r="361" spans="1:2" x14ac:dyDescent="0.25">
      <c r="A361">
        <v>32487</v>
      </c>
      <c r="B361">
        <v>48</v>
      </c>
    </row>
    <row r="362" spans="1:2" x14ac:dyDescent="0.25">
      <c r="A362">
        <v>32534</v>
      </c>
      <c r="B362">
        <v>9530</v>
      </c>
    </row>
    <row r="363" spans="1:2" x14ac:dyDescent="0.25">
      <c r="A363">
        <v>32648</v>
      </c>
      <c r="B363">
        <v>2</v>
      </c>
    </row>
    <row r="364" spans="1:2" x14ac:dyDescent="0.25">
      <c r="A364">
        <v>32752</v>
      </c>
      <c r="B364">
        <v>2</v>
      </c>
    </row>
    <row r="365" spans="1:2" x14ac:dyDescent="0.25">
      <c r="A365">
        <v>32759</v>
      </c>
      <c r="B365">
        <v>0</v>
      </c>
    </row>
    <row r="366" spans="1:2" x14ac:dyDescent="0.25">
      <c r="A366">
        <v>32761</v>
      </c>
      <c r="B366">
        <v>5</v>
      </c>
    </row>
    <row r="367" spans="1:2" x14ac:dyDescent="0.25">
      <c r="A367">
        <v>32927</v>
      </c>
      <c r="B367">
        <v>8615</v>
      </c>
    </row>
    <row r="368" spans="1:2" x14ac:dyDescent="0.25">
      <c r="A368">
        <v>32933</v>
      </c>
      <c r="B368">
        <v>19384</v>
      </c>
    </row>
    <row r="369" spans="1:2" x14ac:dyDescent="0.25">
      <c r="A369">
        <v>33609</v>
      </c>
      <c r="B369">
        <v>44</v>
      </c>
    </row>
    <row r="370" spans="1:2" x14ac:dyDescent="0.25">
      <c r="A370">
        <v>33612</v>
      </c>
      <c r="B370">
        <v>138</v>
      </c>
    </row>
    <row r="371" spans="1:2" x14ac:dyDescent="0.25">
      <c r="A371">
        <v>33623</v>
      </c>
      <c r="B371">
        <v>166</v>
      </c>
    </row>
    <row r="372" spans="1:2" x14ac:dyDescent="0.25">
      <c r="A372">
        <v>34214</v>
      </c>
      <c r="B372">
        <v>3</v>
      </c>
    </row>
    <row r="373" spans="1:2" x14ac:dyDescent="0.25">
      <c r="A373">
        <v>34801</v>
      </c>
      <c r="B373">
        <v>4933</v>
      </c>
    </row>
    <row r="374" spans="1:2" x14ac:dyDescent="0.25">
      <c r="A374">
        <v>35224</v>
      </c>
      <c r="B374">
        <v>21</v>
      </c>
    </row>
    <row r="375" spans="1:2" x14ac:dyDescent="0.25">
      <c r="A375">
        <v>35227</v>
      </c>
      <c r="B375">
        <v>93</v>
      </c>
    </row>
    <row r="376" spans="1:2" x14ac:dyDescent="0.25">
      <c r="A376">
        <v>35238</v>
      </c>
      <c r="B376">
        <v>0</v>
      </c>
    </row>
    <row r="377" spans="1:2" x14ac:dyDescent="0.25">
      <c r="A377">
        <v>35256</v>
      </c>
      <c r="B377">
        <v>369</v>
      </c>
    </row>
    <row r="378" spans="1:2" x14ac:dyDescent="0.25">
      <c r="A378">
        <v>35331</v>
      </c>
      <c r="B378">
        <v>10</v>
      </c>
    </row>
    <row r="379" spans="1:2" x14ac:dyDescent="0.25">
      <c r="A379">
        <v>35359</v>
      </c>
      <c r="B379">
        <v>0</v>
      </c>
    </row>
    <row r="380" spans="1:2" x14ac:dyDescent="0.25">
      <c r="A380">
        <v>35550</v>
      </c>
      <c r="B380">
        <v>90</v>
      </c>
    </row>
    <row r="381" spans="1:2" x14ac:dyDescent="0.25">
      <c r="A381">
        <v>35554</v>
      </c>
      <c r="B381">
        <v>18</v>
      </c>
    </row>
    <row r="382" spans="1:2" x14ac:dyDescent="0.25">
      <c r="A382">
        <v>35555</v>
      </c>
      <c r="B382">
        <v>25</v>
      </c>
    </row>
    <row r="383" spans="1:2" x14ac:dyDescent="0.25">
      <c r="A383">
        <v>36011</v>
      </c>
      <c r="B383">
        <v>19</v>
      </c>
    </row>
    <row r="384" spans="1:2" x14ac:dyDescent="0.25">
      <c r="A384">
        <v>36031</v>
      </c>
      <c r="B384">
        <v>190</v>
      </c>
    </row>
    <row r="385" spans="1:2" x14ac:dyDescent="0.25">
      <c r="A385">
        <v>36107</v>
      </c>
      <c r="B385">
        <v>2</v>
      </c>
    </row>
    <row r="386" spans="1:2" x14ac:dyDescent="0.25">
      <c r="A386">
        <v>36399</v>
      </c>
      <c r="B386">
        <v>16</v>
      </c>
    </row>
    <row r="387" spans="1:2" x14ac:dyDescent="0.25">
      <c r="A387">
        <v>36400</v>
      </c>
      <c r="B387">
        <v>0</v>
      </c>
    </row>
    <row r="388" spans="1:2" x14ac:dyDescent="0.25">
      <c r="A388">
        <v>37518</v>
      </c>
      <c r="B388">
        <v>30</v>
      </c>
    </row>
    <row r="389" spans="1:2" x14ac:dyDescent="0.25">
      <c r="A389">
        <v>37519</v>
      </c>
      <c r="B389">
        <v>30</v>
      </c>
    </row>
    <row r="390" spans="1:2" x14ac:dyDescent="0.25">
      <c r="A390">
        <v>37528</v>
      </c>
      <c r="B390">
        <v>564</v>
      </c>
    </row>
    <row r="391" spans="1:2" x14ac:dyDescent="0.25">
      <c r="A391">
        <v>37847</v>
      </c>
      <c r="B391">
        <v>0</v>
      </c>
    </row>
    <row r="392" spans="1:2" x14ac:dyDescent="0.25">
      <c r="A392">
        <v>38079</v>
      </c>
      <c r="B392">
        <v>11</v>
      </c>
    </row>
    <row r="393" spans="1:2" x14ac:dyDescent="0.25">
      <c r="A393">
        <v>38534</v>
      </c>
      <c r="B393">
        <v>10</v>
      </c>
    </row>
    <row r="394" spans="1:2" x14ac:dyDescent="0.25">
      <c r="A394">
        <v>38648</v>
      </c>
      <c r="B394">
        <v>0</v>
      </c>
    </row>
    <row r="395" spans="1:2" x14ac:dyDescent="0.25">
      <c r="A395">
        <v>38930</v>
      </c>
      <c r="B395">
        <v>22</v>
      </c>
    </row>
    <row r="396" spans="1:2" x14ac:dyDescent="0.25">
      <c r="A396">
        <v>39378</v>
      </c>
      <c r="B396">
        <v>315</v>
      </c>
    </row>
    <row r="397" spans="1:2" x14ac:dyDescent="0.25">
      <c r="A397">
        <v>40086</v>
      </c>
      <c r="B397">
        <v>202</v>
      </c>
    </row>
    <row r="398" spans="1:2" x14ac:dyDescent="0.25">
      <c r="A398">
        <v>40251</v>
      </c>
      <c r="B398">
        <v>186</v>
      </c>
    </row>
    <row r="399" spans="1:2" x14ac:dyDescent="0.25">
      <c r="A399">
        <v>40685</v>
      </c>
      <c r="B399">
        <v>915</v>
      </c>
    </row>
    <row r="400" spans="1:2" x14ac:dyDescent="0.25">
      <c r="A400">
        <v>40688</v>
      </c>
      <c r="B400">
        <v>776</v>
      </c>
    </row>
    <row r="401" spans="1:2" x14ac:dyDescent="0.25">
      <c r="A401">
        <v>40772</v>
      </c>
      <c r="B401">
        <v>14</v>
      </c>
    </row>
    <row r="402" spans="1:2" x14ac:dyDescent="0.25">
      <c r="A402">
        <v>42566</v>
      </c>
      <c r="B402">
        <v>41</v>
      </c>
    </row>
    <row r="403" spans="1:2" x14ac:dyDescent="0.25">
      <c r="A403">
        <v>42681</v>
      </c>
      <c r="B403">
        <v>0</v>
      </c>
    </row>
    <row r="404" spans="1:2" x14ac:dyDescent="0.25">
      <c r="A404">
        <v>42854</v>
      </c>
      <c r="B404">
        <v>976</v>
      </c>
    </row>
    <row r="405" spans="1:2" x14ac:dyDescent="0.25">
      <c r="A405">
        <v>43648</v>
      </c>
      <c r="B405">
        <v>116</v>
      </c>
    </row>
    <row r="406" spans="1:2" x14ac:dyDescent="0.25">
      <c r="A406">
        <v>44398</v>
      </c>
      <c r="B406">
        <v>744</v>
      </c>
    </row>
    <row r="407" spans="1:2" x14ac:dyDescent="0.25">
      <c r="A407">
        <v>44789</v>
      </c>
      <c r="B407">
        <v>8</v>
      </c>
    </row>
    <row r="408" spans="1:2" x14ac:dyDescent="0.25">
      <c r="A408">
        <v>45067</v>
      </c>
      <c r="B408">
        <v>110</v>
      </c>
    </row>
    <row r="409" spans="1:2" x14ac:dyDescent="0.25">
      <c r="A409">
        <v>45195</v>
      </c>
      <c r="B409">
        <v>0</v>
      </c>
    </row>
    <row r="410" spans="1:2" x14ac:dyDescent="0.25">
      <c r="A410">
        <v>45607</v>
      </c>
      <c r="B410">
        <v>21</v>
      </c>
    </row>
    <row r="411" spans="1:2" x14ac:dyDescent="0.25">
      <c r="A411">
        <v>45637</v>
      </c>
      <c r="B411">
        <v>80</v>
      </c>
    </row>
    <row r="412" spans="1:2" x14ac:dyDescent="0.25">
      <c r="A412">
        <v>45651</v>
      </c>
      <c r="B412">
        <v>94</v>
      </c>
    </row>
    <row r="413" spans="1:2" x14ac:dyDescent="0.25">
      <c r="A413">
        <v>46420</v>
      </c>
      <c r="B413">
        <v>1857</v>
      </c>
    </row>
    <row r="414" spans="1:2" x14ac:dyDescent="0.25">
      <c r="A414">
        <v>47447</v>
      </c>
      <c r="B414">
        <v>15702</v>
      </c>
    </row>
    <row r="415" spans="1:2" x14ac:dyDescent="0.25">
      <c r="A415">
        <v>48178</v>
      </c>
      <c r="B415">
        <v>5</v>
      </c>
    </row>
    <row r="416" spans="1:2" x14ac:dyDescent="0.25">
      <c r="A416">
        <v>48714</v>
      </c>
      <c r="B416">
        <v>0</v>
      </c>
    </row>
    <row r="417" spans="1:2" x14ac:dyDescent="0.25">
      <c r="A417">
        <v>48901</v>
      </c>
      <c r="B417">
        <v>67</v>
      </c>
    </row>
    <row r="418" spans="1:2" x14ac:dyDescent="0.25">
      <c r="A418">
        <v>49033</v>
      </c>
      <c r="B418">
        <v>61</v>
      </c>
    </row>
    <row r="419" spans="1:2" x14ac:dyDescent="0.25">
      <c r="A419">
        <v>49099</v>
      </c>
      <c r="B419">
        <v>0</v>
      </c>
    </row>
    <row r="420" spans="1:2" x14ac:dyDescent="0.25">
      <c r="A420">
        <v>49184</v>
      </c>
      <c r="B420">
        <v>12</v>
      </c>
    </row>
    <row r="421" spans="1:2" x14ac:dyDescent="0.25">
      <c r="A421">
        <v>49188</v>
      </c>
      <c r="B421">
        <v>7</v>
      </c>
    </row>
    <row r="422" spans="1:2" x14ac:dyDescent="0.25">
      <c r="A422">
        <v>49254</v>
      </c>
      <c r="B422">
        <v>1077</v>
      </c>
    </row>
    <row r="423" spans="1:2" x14ac:dyDescent="0.25">
      <c r="A423">
        <v>49695</v>
      </c>
      <c r="B423">
        <v>235</v>
      </c>
    </row>
    <row r="424" spans="1:2" x14ac:dyDescent="0.25">
      <c r="A424">
        <v>49858</v>
      </c>
      <c r="B424">
        <v>37</v>
      </c>
    </row>
    <row r="425" spans="1:2" x14ac:dyDescent="0.25">
      <c r="A425">
        <v>49866</v>
      </c>
      <c r="B425">
        <v>192</v>
      </c>
    </row>
    <row r="426" spans="1:2" x14ac:dyDescent="0.25">
      <c r="A426">
        <v>49867</v>
      </c>
      <c r="B426">
        <v>12</v>
      </c>
    </row>
    <row r="427" spans="1:2" x14ac:dyDescent="0.25">
      <c r="A427">
        <v>49984</v>
      </c>
      <c r="B427">
        <v>3</v>
      </c>
    </row>
    <row r="428" spans="1:2" x14ac:dyDescent="0.25">
      <c r="A428">
        <v>49988</v>
      </c>
      <c r="B428">
        <v>21</v>
      </c>
    </row>
    <row r="429" spans="1:2" x14ac:dyDescent="0.25">
      <c r="A429">
        <v>50294</v>
      </c>
      <c r="B429">
        <v>21</v>
      </c>
    </row>
    <row r="430" spans="1:2" x14ac:dyDescent="0.25">
      <c r="A430">
        <v>50475</v>
      </c>
      <c r="B430">
        <v>223</v>
      </c>
    </row>
    <row r="431" spans="1:2" x14ac:dyDescent="0.25">
      <c r="A431">
        <v>50476</v>
      </c>
      <c r="B431">
        <v>89</v>
      </c>
    </row>
    <row r="432" spans="1:2" x14ac:dyDescent="0.25">
      <c r="A432">
        <v>50591</v>
      </c>
      <c r="B432">
        <v>33</v>
      </c>
    </row>
    <row r="433" spans="1:2" x14ac:dyDescent="0.25">
      <c r="A433">
        <v>50797</v>
      </c>
      <c r="B433">
        <v>202</v>
      </c>
    </row>
    <row r="434" spans="1:2" x14ac:dyDescent="0.25">
      <c r="A434">
        <v>51013</v>
      </c>
      <c r="B434">
        <v>1</v>
      </c>
    </row>
    <row r="435" spans="1:2" x14ac:dyDescent="0.25">
      <c r="A435">
        <v>51222</v>
      </c>
      <c r="B435">
        <v>43</v>
      </c>
    </row>
    <row r="436" spans="1:2" x14ac:dyDescent="0.25">
      <c r="A436">
        <v>51223</v>
      </c>
      <c r="B436">
        <v>0</v>
      </c>
    </row>
    <row r="437" spans="1:2" x14ac:dyDescent="0.25">
      <c r="A437">
        <v>51579</v>
      </c>
      <c r="B437">
        <v>903</v>
      </c>
    </row>
    <row r="438" spans="1:2" x14ac:dyDescent="0.25">
      <c r="A438">
        <v>52129</v>
      </c>
      <c r="B438">
        <v>120</v>
      </c>
    </row>
    <row r="439" spans="1:2" x14ac:dyDescent="0.25">
      <c r="A439">
        <v>52994</v>
      </c>
      <c r="B439">
        <v>22</v>
      </c>
    </row>
    <row r="440" spans="1:2" x14ac:dyDescent="0.25">
      <c r="A440">
        <v>52995</v>
      </c>
      <c r="B440">
        <v>12</v>
      </c>
    </row>
    <row r="441" spans="1:2" x14ac:dyDescent="0.25">
      <c r="A441">
        <v>53446</v>
      </c>
      <c r="B441">
        <v>903</v>
      </c>
    </row>
    <row r="442" spans="1:2" x14ac:dyDescent="0.25">
      <c r="A442">
        <v>53810</v>
      </c>
      <c r="B442">
        <v>3</v>
      </c>
    </row>
    <row r="443" spans="1:2" x14ac:dyDescent="0.25">
      <c r="A443">
        <v>53813</v>
      </c>
      <c r="B443">
        <v>57</v>
      </c>
    </row>
    <row r="444" spans="1:2" x14ac:dyDescent="0.25">
      <c r="A444">
        <v>53814</v>
      </c>
      <c r="B444">
        <v>70</v>
      </c>
    </row>
    <row r="445" spans="1:2" x14ac:dyDescent="0.25">
      <c r="A445">
        <v>53849</v>
      </c>
      <c r="B445">
        <v>31</v>
      </c>
    </row>
    <row r="446" spans="1:2" x14ac:dyDescent="0.25">
      <c r="A446">
        <v>54017</v>
      </c>
      <c r="B446">
        <v>6</v>
      </c>
    </row>
    <row r="447" spans="1:2" x14ac:dyDescent="0.25">
      <c r="A447">
        <v>54018</v>
      </c>
      <c r="B447">
        <v>0</v>
      </c>
    </row>
    <row r="448" spans="1:2" x14ac:dyDescent="0.25">
      <c r="A448">
        <v>54019</v>
      </c>
      <c r="B448">
        <v>8</v>
      </c>
    </row>
    <row r="449" spans="1:2" x14ac:dyDescent="0.25">
      <c r="A449">
        <v>54026</v>
      </c>
      <c r="B449">
        <v>7</v>
      </c>
    </row>
    <row r="450" spans="1:2" x14ac:dyDescent="0.25">
      <c r="A450">
        <v>54029</v>
      </c>
      <c r="B450">
        <v>220</v>
      </c>
    </row>
    <row r="451" spans="1:2" x14ac:dyDescent="0.25">
      <c r="A451">
        <v>54032</v>
      </c>
      <c r="B451">
        <v>1370</v>
      </c>
    </row>
    <row r="452" spans="1:2" x14ac:dyDescent="0.25">
      <c r="A452">
        <v>54144</v>
      </c>
      <c r="B452">
        <v>14</v>
      </c>
    </row>
    <row r="453" spans="1:2" x14ac:dyDescent="0.25">
      <c r="A453">
        <v>54550</v>
      </c>
      <c r="B453">
        <v>48</v>
      </c>
    </row>
    <row r="454" spans="1:2" x14ac:dyDescent="0.25">
      <c r="A454">
        <v>54552</v>
      </c>
      <c r="B454">
        <v>149</v>
      </c>
    </row>
    <row r="455" spans="1:2" x14ac:dyDescent="0.25">
      <c r="A455">
        <v>54586</v>
      </c>
      <c r="B455">
        <v>8</v>
      </c>
    </row>
    <row r="456" spans="1:2" x14ac:dyDescent="0.25">
      <c r="A456">
        <v>54587</v>
      </c>
      <c r="B456">
        <v>20</v>
      </c>
    </row>
    <row r="457" spans="1:2" x14ac:dyDescent="0.25">
      <c r="A457">
        <v>54668</v>
      </c>
      <c r="B457">
        <v>122</v>
      </c>
    </row>
    <row r="458" spans="1:2" x14ac:dyDescent="0.25">
      <c r="A458">
        <v>54682</v>
      </c>
      <c r="B458">
        <v>2637</v>
      </c>
    </row>
    <row r="459" spans="1:2" x14ac:dyDescent="0.25">
      <c r="A459">
        <v>54969</v>
      </c>
      <c r="B459">
        <v>11</v>
      </c>
    </row>
    <row r="460" spans="1:2" x14ac:dyDescent="0.25">
      <c r="A460">
        <v>55836</v>
      </c>
      <c r="B460">
        <v>0</v>
      </c>
    </row>
    <row r="461" spans="1:2" x14ac:dyDescent="0.25">
      <c r="A461">
        <v>56519</v>
      </c>
      <c r="B461">
        <v>17</v>
      </c>
    </row>
    <row r="462" spans="1:2" x14ac:dyDescent="0.25">
      <c r="A462">
        <v>56520</v>
      </c>
      <c r="B462">
        <v>28</v>
      </c>
    </row>
    <row r="463" spans="1:2" x14ac:dyDescent="0.25">
      <c r="A463">
        <v>57444</v>
      </c>
      <c r="B463">
        <v>120</v>
      </c>
    </row>
    <row r="464" spans="1:2" x14ac:dyDescent="0.25">
      <c r="A464">
        <v>57598</v>
      </c>
      <c r="B464">
        <v>1219</v>
      </c>
    </row>
    <row r="465" spans="1:2" x14ac:dyDescent="0.25">
      <c r="A465">
        <v>57900</v>
      </c>
      <c r="B465">
        <v>9</v>
      </c>
    </row>
    <row r="466" spans="1:2" x14ac:dyDescent="0.25">
      <c r="A466">
        <v>58116</v>
      </c>
      <c r="B466">
        <v>0</v>
      </c>
    </row>
    <row r="467" spans="1:2" x14ac:dyDescent="0.25">
      <c r="A467">
        <v>58117</v>
      </c>
      <c r="B467">
        <v>20</v>
      </c>
    </row>
    <row r="468" spans="1:2" x14ac:dyDescent="0.25">
      <c r="A468">
        <v>58436</v>
      </c>
      <c r="B468">
        <v>30</v>
      </c>
    </row>
    <row r="469" spans="1:2" x14ac:dyDescent="0.25">
      <c r="A469">
        <v>58647</v>
      </c>
      <c r="B469">
        <v>90</v>
      </c>
    </row>
    <row r="470" spans="1:2" x14ac:dyDescent="0.25">
      <c r="A470">
        <v>58706</v>
      </c>
      <c r="B470">
        <v>96</v>
      </c>
    </row>
    <row r="471" spans="1:2" x14ac:dyDescent="0.25">
      <c r="A471">
        <v>58792</v>
      </c>
      <c r="B471">
        <v>0</v>
      </c>
    </row>
    <row r="472" spans="1:2" x14ac:dyDescent="0.25">
      <c r="A472">
        <v>58977</v>
      </c>
      <c r="B472">
        <v>56</v>
      </c>
    </row>
    <row r="473" spans="1:2" x14ac:dyDescent="0.25">
      <c r="A473">
        <v>59018</v>
      </c>
      <c r="B473">
        <v>92</v>
      </c>
    </row>
    <row r="474" spans="1:2" x14ac:dyDescent="0.25">
      <c r="A474">
        <v>59069</v>
      </c>
      <c r="B474">
        <v>8</v>
      </c>
    </row>
    <row r="475" spans="1:2" x14ac:dyDescent="0.25">
      <c r="A475">
        <v>59074</v>
      </c>
      <c r="B475">
        <v>1508</v>
      </c>
    </row>
    <row r="476" spans="1:2" x14ac:dyDescent="0.25">
      <c r="A476">
        <v>59097</v>
      </c>
      <c r="B476">
        <v>51</v>
      </c>
    </row>
    <row r="477" spans="1:2" x14ac:dyDescent="0.25">
      <c r="A477">
        <v>59882</v>
      </c>
      <c r="B477">
        <v>469</v>
      </c>
    </row>
    <row r="478" spans="1:2" x14ac:dyDescent="0.25">
      <c r="A478">
        <v>59942</v>
      </c>
      <c r="B478">
        <v>111</v>
      </c>
    </row>
    <row r="479" spans="1:2" x14ac:dyDescent="0.25">
      <c r="A479">
        <v>60108</v>
      </c>
      <c r="B479">
        <v>85</v>
      </c>
    </row>
    <row r="480" spans="1:2" x14ac:dyDescent="0.25">
      <c r="A480">
        <v>60110</v>
      </c>
      <c r="B480">
        <v>28</v>
      </c>
    </row>
    <row r="481" spans="1:2" x14ac:dyDescent="0.25">
      <c r="A481">
        <v>60116</v>
      </c>
      <c r="B481">
        <v>133</v>
      </c>
    </row>
    <row r="482" spans="1:2" x14ac:dyDescent="0.25">
      <c r="A482">
        <v>60517</v>
      </c>
      <c r="B482">
        <v>640</v>
      </c>
    </row>
    <row r="483" spans="1:2" x14ac:dyDescent="0.25">
      <c r="A483">
        <v>60830</v>
      </c>
      <c r="B483">
        <v>2</v>
      </c>
    </row>
    <row r="484" spans="1:2" x14ac:dyDescent="0.25">
      <c r="A484">
        <v>60854</v>
      </c>
      <c r="B484">
        <v>3</v>
      </c>
    </row>
    <row r="485" spans="1:2" x14ac:dyDescent="0.25">
      <c r="A485">
        <v>60889</v>
      </c>
      <c r="B485">
        <v>494</v>
      </c>
    </row>
    <row r="486" spans="1:2" x14ac:dyDescent="0.25">
      <c r="A486">
        <v>60973</v>
      </c>
      <c r="B486">
        <v>0</v>
      </c>
    </row>
    <row r="487" spans="1:2" x14ac:dyDescent="0.25">
      <c r="A487">
        <v>61046</v>
      </c>
      <c r="B487">
        <v>22</v>
      </c>
    </row>
    <row r="488" spans="1:2" x14ac:dyDescent="0.25">
      <c r="A488">
        <v>61167</v>
      </c>
      <c r="B488">
        <v>53</v>
      </c>
    </row>
    <row r="489" spans="1:2" x14ac:dyDescent="0.25">
      <c r="A489">
        <v>61200</v>
      </c>
      <c r="B489">
        <v>68</v>
      </c>
    </row>
    <row r="490" spans="1:2" x14ac:dyDescent="0.25">
      <c r="A490">
        <v>61201</v>
      </c>
      <c r="B490">
        <v>83</v>
      </c>
    </row>
    <row r="491" spans="1:2" x14ac:dyDescent="0.25">
      <c r="A491">
        <v>62625</v>
      </c>
      <c r="B491">
        <v>4735</v>
      </c>
    </row>
    <row r="492" spans="1:2" x14ac:dyDescent="0.25">
      <c r="A492">
        <v>63031</v>
      </c>
      <c r="B492">
        <v>737</v>
      </c>
    </row>
    <row r="493" spans="1:2" x14ac:dyDescent="0.25">
      <c r="A493">
        <v>63252</v>
      </c>
      <c r="B493">
        <v>89</v>
      </c>
    </row>
    <row r="494" spans="1:2" x14ac:dyDescent="0.25">
      <c r="A494">
        <v>63382</v>
      </c>
      <c r="B494">
        <v>20</v>
      </c>
    </row>
    <row r="495" spans="1:2" x14ac:dyDescent="0.25">
      <c r="A495">
        <v>63385</v>
      </c>
      <c r="B495">
        <v>25717</v>
      </c>
    </row>
    <row r="496" spans="1:2" x14ac:dyDescent="0.25">
      <c r="A496">
        <v>63591</v>
      </c>
      <c r="B496">
        <v>12294</v>
      </c>
    </row>
    <row r="497" spans="1:2" x14ac:dyDescent="0.25">
      <c r="A497">
        <v>63839</v>
      </c>
      <c r="B497">
        <v>246</v>
      </c>
    </row>
    <row r="498" spans="1:2" x14ac:dyDescent="0.25">
      <c r="A498">
        <v>63991</v>
      </c>
      <c r="B498">
        <v>3264</v>
      </c>
    </row>
    <row r="499" spans="1:2" x14ac:dyDescent="0.25">
      <c r="A499">
        <v>64253</v>
      </c>
      <c r="B499">
        <v>1098</v>
      </c>
    </row>
    <row r="500" spans="1:2" x14ac:dyDescent="0.25">
      <c r="A500">
        <v>64302</v>
      </c>
      <c r="B500">
        <v>4885</v>
      </c>
    </row>
    <row r="501" spans="1:2" x14ac:dyDescent="0.25">
      <c r="A501">
        <v>64460</v>
      </c>
      <c r="B501">
        <v>20</v>
      </c>
    </row>
    <row r="502" spans="1:2" x14ac:dyDescent="0.25">
      <c r="A502">
        <v>64461</v>
      </c>
      <c r="B502">
        <v>30</v>
      </c>
    </row>
    <row r="503" spans="1:2" x14ac:dyDescent="0.25">
      <c r="A503">
        <v>64462</v>
      </c>
      <c r="B503">
        <v>604</v>
      </c>
    </row>
    <row r="504" spans="1:2" x14ac:dyDescent="0.25">
      <c r="A504">
        <v>64463</v>
      </c>
      <c r="B504">
        <v>96</v>
      </c>
    </row>
    <row r="505" spans="1:2" x14ac:dyDescent="0.25">
      <c r="A505">
        <v>64466</v>
      </c>
      <c r="B505">
        <v>73</v>
      </c>
    </row>
    <row r="506" spans="1:2" x14ac:dyDescent="0.25">
      <c r="A506">
        <v>64604</v>
      </c>
      <c r="B506">
        <v>143</v>
      </c>
    </row>
    <row r="507" spans="1:2" x14ac:dyDescent="0.25">
      <c r="A507">
        <v>64605</v>
      </c>
      <c r="B507">
        <v>178</v>
      </c>
    </row>
    <row r="508" spans="1:2" x14ac:dyDescent="0.25">
      <c r="A508">
        <v>64607</v>
      </c>
      <c r="B508">
        <v>187</v>
      </c>
    </row>
    <row r="509" spans="1:2" x14ac:dyDescent="0.25">
      <c r="A509">
        <v>64608</v>
      </c>
      <c r="B509">
        <v>1</v>
      </c>
    </row>
    <row r="510" spans="1:2" x14ac:dyDescent="0.25">
      <c r="A510">
        <v>64609</v>
      </c>
      <c r="B510">
        <v>7</v>
      </c>
    </row>
    <row r="511" spans="1:2" x14ac:dyDescent="0.25">
      <c r="A511">
        <v>64610</v>
      </c>
      <c r="B511">
        <v>321</v>
      </c>
    </row>
    <row r="512" spans="1:2" x14ac:dyDescent="0.25">
      <c r="A512">
        <v>64625</v>
      </c>
      <c r="B512">
        <v>106</v>
      </c>
    </row>
    <row r="513" spans="1:2" x14ac:dyDescent="0.25">
      <c r="A513">
        <v>64626</v>
      </c>
      <c r="B513">
        <v>1500</v>
      </c>
    </row>
    <row r="514" spans="1:2" x14ac:dyDescent="0.25">
      <c r="A514">
        <v>64627</v>
      </c>
      <c r="B514">
        <v>379</v>
      </c>
    </row>
    <row r="515" spans="1:2" x14ac:dyDescent="0.25">
      <c r="A515">
        <v>64630</v>
      </c>
      <c r="B515">
        <v>20</v>
      </c>
    </row>
    <row r="516" spans="1:2" x14ac:dyDescent="0.25">
      <c r="A516">
        <v>64631</v>
      </c>
      <c r="B516">
        <v>20</v>
      </c>
    </row>
    <row r="517" spans="1:2" x14ac:dyDescent="0.25">
      <c r="A517">
        <v>64634</v>
      </c>
      <c r="B517">
        <v>50</v>
      </c>
    </row>
    <row r="518" spans="1:2" x14ac:dyDescent="0.25">
      <c r="A518">
        <v>64635</v>
      </c>
      <c r="B518">
        <v>2</v>
      </c>
    </row>
    <row r="519" spans="1:2" x14ac:dyDescent="0.25">
      <c r="A519">
        <v>64636</v>
      </c>
      <c r="B519">
        <v>45</v>
      </c>
    </row>
    <row r="520" spans="1:2" x14ac:dyDescent="0.25">
      <c r="A520">
        <v>64646</v>
      </c>
      <c r="B520">
        <v>0</v>
      </c>
    </row>
    <row r="521" spans="1:2" x14ac:dyDescent="0.25">
      <c r="A521">
        <v>64647</v>
      </c>
      <c r="B521">
        <v>0</v>
      </c>
    </row>
    <row r="522" spans="1:2" x14ac:dyDescent="0.25">
      <c r="A522">
        <v>64648</v>
      </c>
      <c r="B522">
        <v>0</v>
      </c>
    </row>
    <row r="523" spans="1:2" x14ac:dyDescent="0.25">
      <c r="A523">
        <v>64817</v>
      </c>
      <c r="B523">
        <v>5</v>
      </c>
    </row>
    <row r="524" spans="1:2" x14ac:dyDescent="0.25">
      <c r="A524">
        <v>64818</v>
      </c>
      <c r="B524">
        <v>5</v>
      </c>
    </row>
    <row r="525" spans="1:2" x14ac:dyDescent="0.25">
      <c r="A525">
        <v>64819</v>
      </c>
      <c r="B525">
        <v>560</v>
      </c>
    </row>
    <row r="526" spans="1:2" x14ac:dyDescent="0.25">
      <c r="A526">
        <v>64821</v>
      </c>
      <c r="B526">
        <v>22</v>
      </c>
    </row>
    <row r="527" spans="1:2" x14ac:dyDescent="0.25">
      <c r="A527">
        <v>64822</v>
      </c>
      <c r="B527">
        <v>41</v>
      </c>
    </row>
    <row r="528" spans="1:2" x14ac:dyDescent="0.25">
      <c r="A528">
        <v>64860</v>
      </c>
      <c r="B528">
        <v>75</v>
      </c>
    </row>
    <row r="529" spans="1:2" x14ac:dyDescent="0.25">
      <c r="A529">
        <v>64861</v>
      </c>
      <c r="B529">
        <v>70</v>
      </c>
    </row>
    <row r="530" spans="1:2" x14ac:dyDescent="0.25">
      <c r="A530">
        <v>65173</v>
      </c>
      <c r="B530">
        <v>32</v>
      </c>
    </row>
    <row r="531" spans="1:2" x14ac:dyDescent="0.25">
      <c r="A531">
        <v>65609</v>
      </c>
      <c r="B531">
        <v>5</v>
      </c>
    </row>
    <row r="532" spans="1:2" x14ac:dyDescent="0.25">
      <c r="A532">
        <v>65610</v>
      </c>
      <c r="B532">
        <v>15</v>
      </c>
    </row>
    <row r="533" spans="1:2" x14ac:dyDescent="0.25">
      <c r="A533">
        <v>65748</v>
      </c>
      <c r="B533">
        <v>5400</v>
      </c>
    </row>
    <row r="534" spans="1:2" x14ac:dyDescent="0.25">
      <c r="A534">
        <v>66168</v>
      </c>
      <c r="B534">
        <v>325</v>
      </c>
    </row>
    <row r="535" spans="1:2" x14ac:dyDescent="0.25">
      <c r="A535">
        <v>66308</v>
      </c>
      <c r="B535">
        <v>15</v>
      </c>
    </row>
    <row r="536" spans="1:2" x14ac:dyDescent="0.25">
      <c r="A536">
        <v>66786</v>
      </c>
      <c r="B536">
        <v>1354</v>
      </c>
    </row>
    <row r="537" spans="1:2" x14ac:dyDescent="0.25">
      <c r="A537">
        <v>67375</v>
      </c>
      <c r="B537">
        <v>28</v>
      </c>
    </row>
    <row r="538" spans="1:2" x14ac:dyDescent="0.25">
      <c r="A538">
        <v>67376</v>
      </c>
      <c r="B538">
        <v>78</v>
      </c>
    </row>
    <row r="539" spans="1:2" x14ac:dyDescent="0.25">
      <c r="A539">
        <v>67862</v>
      </c>
      <c r="B539">
        <v>26</v>
      </c>
    </row>
    <row r="540" spans="1:2" x14ac:dyDescent="0.25">
      <c r="A540">
        <v>67892</v>
      </c>
      <c r="B540">
        <v>50</v>
      </c>
    </row>
    <row r="541" spans="1:2" x14ac:dyDescent="0.25">
      <c r="A541">
        <v>68351</v>
      </c>
      <c r="B541">
        <v>15</v>
      </c>
    </row>
    <row r="542" spans="1:2" x14ac:dyDescent="0.25">
      <c r="A542">
        <v>69222</v>
      </c>
      <c r="B542">
        <v>2635</v>
      </c>
    </row>
    <row r="543" spans="1:2" x14ac:dyDescent="0.25">
      <c r="A543">
        <v>69229</v>
      </c>
      <c r="B543">
        <v>128</v>
      </c>
    </row>
    <row r="544" spans="1:2" x14ac:dyDescent="0.25">
      <c r="A544">
        <v>69339</v>
      </c>
      <c r="B544">
        <v>2</v>
      </c>
    </row>
    <row r="545" spans="1:2" x14ac:dyDescent="0.25">
      <c r="A545">
        <v>70379</v>
      </c>
      <c r="B545">
        <v>2887</v>
      </c>
    </row>
    <row r="546" spans="1:2" x14ac:dyDescent="0.25">
      <c r="A546">
        <v>70967</v>
      </c>
      <c r="B546">
        <v>59</v>
      </c>
    </row>
    <row r="547" spans="1:2" x14ac:dyDescent="0.25">
      <c r="A547">
        <v>71053</v>
      </c>
      <c r="B547">
        <v>0</v>
      </c>
    </row>
    <row r="548" spans="1:2" x14ac:dyDescent="0.25">
      <c r="A548">
        <v>71189</v>
      </c>
      <c r="B548">
        <v>501</v>
      </c>
    </row>
    <row r="549" spans="1:2" x14ac:dyDescent="0.25">
      <c r="A549">
        <v>71190</v>
      </c>
      <c r="B549">
        <v>3460</v>
      </c>
    </row>
    <row r="550" spans="1:2" x14ac:dyDescent="0.25">
      <c r="A550">
        <v>71697</v>
      </c>
      <c r="B550">
        <v>656</v>
      </c>
    </row>
    <row r="551" spans="1:2" x14ac:dyDescent="0.25">
      <c r="A551">
        <v>71874</v>
      </c>
      <c r="B551">
        <v>55</v>
      </c>
    </row>
    <row r="552" spans="1:2" x14ac:dyDescent="0.25">
      <c r="A552">
        <v>72052</v>
      </c>
      <c r="B552">
        <v>33</v>
      </c>
    </row>
    <row r="553" spans="1:2" x14ac:dyDescent="0.25">
      <c r="A553">
        <v>72174</v>
      </c>
      <c r="B553">
        <v>0</v>
      </c>
    </row>
    <row r="554" spans="1:2" x14ac:dyDescent="0.25">
      <c r="A554">
        <v>72184</v>
      </c>
      <c r="B554">
        <v>630</v>
      </c>
    </row>
    <row r="555" spans="1:2" x14ac:dyDescent="0.25">
      <c r="A555">
        <v>72222</v>
      </c>
      <c r="B555">
        <v>326</v>
      </c>
    </row>
    <row r="556" spans="1:2" x14ac:dyDescent="0.25">
      <c r="A556">
        <v>74081</v>
      </c>
      <c r="B556">
        <v>0</v>
      </c>
    </row>
    <row r="557" spans="1:2" x14ac:dyDescent="0.25">
      <c r="A557">
        <v>74124</v>
      </c>
      <c r="B557">
        <v>2910</v>
      </c>
    </row>
    <row r="558" spans="1:2" x14ac:dyDescent="0.25">
      <c r="A558">
        <v>74907</v>
      </c>
      <c r="B558">
        <v>13</v>
      </c>
    </row>
    <row r="559" spans="1:2" x14ac:dyDescent="0.25">
      <c r="A559">
        <v>74908</v>
      </c>
      <c r="B559">
        <v>13</v>
      </c>
    </row>
    <row r="560" spans="1:2" x14ac:dyDescent="0.25">
      <c r="A560">
        <v>74909</v>
      </c>
      <c r="B560">
        <v>21</v>
      </c>
    </row>
    <row r="561" spans="1:2" x14ac:dyDescent="0.25">
      <c r="A561">
        <v>74911</v>
      </c>
      <c r="B561">
        <v>67</v>
      </c>
    </row>
    <row r="562" spans="1:2" x14ac:dyDescent="0.25">
      <c r="A562">
        <v>74976</v>
      </c>
      <c r="B562">
        <v>125</v>
      </c>
    </row>
    <row r="563" spans="1:2" x14ac:dyDescent="0.25">
      <c r="A563">
        <v>74979</v>
      </c>
      <c r="B563">
        <v>86</v>
      </c>
    </row>
    <row r="564" spans="1:2" x14ac:dyDescent="0.25">
      <c r="A564">
        <v>75324</v>
      </c>
      <c r="B564">
        <v>557</v>
      </c>
    </row>
    <row r="565" spans="1:2" x14ac:dyDescent="0.25">
      <c r="A565">
        <v>75334</v>
      </c>
      <c r="B565">
        <v>613</v>
      </c>
    </row>
    <row r="566" spans="1:2" x14ac:dyDescent="0.25">
      <c r="A566">
        <v>75915</v>
      </c>
      <c r="B566">
        <v>93</v>
      </c>
    </row>
    <row r="567" spans="1:2" x14ac:dyDescent="0.25">
      <c r="A567">
        <v>75938</v>
      </c>
      <c r="B567">
        <v>5858</v>
      </c>
    </row>
    <row r="568" spans="1:2" x14ac:dyDescent="0.25">
      <c r="A568">
        <v>76218</v>
      </c>
      <c r="B568">
        <v>2</v>
      </c>
    </row>
    <row r="569" spans="1:2" x14ac:dyDescent="0.25">
      <c r="A569">
        <v>76430</v>
      </c>
      <c r="B569">
        <v>5</v>
      </c>
    </row>
    <row r="570" spans="1:2" x14ac:dyDescent="0.25">
      <c r="A570">
        <v>76583</v>
      </c>
      <c r="B570">
        <v>96</v>
      </c>
    </row>
    <row r="571" spans="1:2" x14ac:dyDescent="0.25">
      <c r="A571">
        <v>76776</v>
      </c>
      <c r="B571">
        <v>8815</v>
      </c>
    </row>
    <row r="572" spans="1:2" x14ac:dyDescent="0.25">
      <c r="A572">
        <v>76777</v>
      </c>
      <c r="B572">
        <v>2056</v>
      </c>
    </row>
    <row r="573" spans="1:2" x14ac:dyDescent="0.25">
      <c r="A573">
        <v>76780</v>
      </c>
      <c r="B573">
        <v>1800</v>
      </c>
    </row>
    <row r="574" spans="1:2" x14ac:dyDescent="0.25">
      <c r="A574">
        <v>76781</v>
      </c>
      <c r="B574">
        <v>452</v>
      </c>
    </row>
    <row r="575" spans="1:2" x14ac:dyDescent="0.25">
      <c r="A575">
        <v>76806</v>
      </c>
      <c r="B575">
        <v>0</v>
      </c>
    </row>
    <row r="576" spans="1:2" x14ac:dyDescent="0.25">
      <c r="A576">
        <v>77109</v>
      </c>
      <c r="B576">
        <v>63</v>
      </c>
    </row>
    <row r="577" spans="1:2" x14ac:dyDescent="0.25">
      <c r="A577">
        <v>77110</v>
      </c>
      <c r="B577">
        <v>3</v>
      </c>
    </row>
    <row r="578" spans="1:2" x14ac:dyDescent="0.25">
      <c r="A578">
        <v>77380</v>
      </c>
      <c r="B578">
        <v>0</v>
      </c>
    </row>
    <row r="579" spans="1:2" x14ac:dyDescent="0.25">
      <c r="A579">
        <v>77493</v>
      </c>
      <c r="B579">
        <v>24</v>
      </c>
    </row>
    <row r="580" spans="1:2" x14ac:dyDescent="0.25">
      <c r="A580">
        <v>77554</v>
      </c>
      <c r="B580">
        <v>3</v>
      </c>
    </row>
    <row r="581" spans="1:2" x14ac:dyDescent="0.25">
      <c r="A581">
        <v>77556</v>
      </c>
      <c r="B581">
        <v>0</v>
      </c>
    </row>
    <row r="582" spans="1:2" x14ac:dyDescent="0.25">
      <c r="A582">
        <v>77557</v>
      </c>
      <c r="B582">
        <v>30</v>
      </c>
    </row>
    <row r="583" spans="1:2" x14ac:dyDescent="0.25">
      <c r="A583">
        <v>77562</v>
      </c>
      <c r="B583">
        <v>2171</v>
      </c>
    </row>
    <row r="584" spans="1:2" x14ac:dyDescent="0.25">
      <c r="A584">
        <v>77755</v>
      </c>
      <c r="B584">
        <v>2698</v>
      </c>
    </row>
    <row r="585" spans="1:2" x14ac:dyDescent="0.25">
      <c r="A585">
        <v>77786</v>
      </c>
      <c r="B585">
        <v>12</v>
      </c>
    </row>
    <row r="586" spans="1:2" x14ac:dyDescent="0.25">
      <c r="A586">
        <v>77788</v>
      </c>
      <c r="B586">
        <v>570</v>
      </c>
    </row>
    <row r="587" spans="1:2" x14ac:dyDescent="0.25">
      <c r="A587">
        <v>77819</v>
      </c>
      <c r="B587">
        <v>1298</v>
      </c>
    </row>
    <row r="588" spans="1:2" x14ac:dyDescent="0.25">
      <c r="A588">
        <v>77822</v>
      </c>
      <c r="B588">
        <v>125</v>
      </c>
    </row>
    <row r="589" spans="1:2" x14ac:dyDescent="0.25">
      <c r="A589">
        <v>77823</v>
      </c>
      <c r="B589">
        <v>98</v>
      </c>
    </row>
    <row r="590" spans="1:2" x14ac:dyDescent="0.25">
      <c r="A590">
        <v>77992</v>
      </c>
      <c r="B590">
        <v>1892</v>
      </c>
    </row>
    <row r="591" spans="1:2" x14ac:dyDescent="0.25">
      <c r="A591">
        <v>78025</v>
      </c>
      <c r="B591">
        <v>179</v>
      </c>
    </row>
    <row r="592" spans="1:2" x14ac:dyDescent="0.25">
      <c r="A592">
        <v>78027</v>
      </c>
      <c r="B592">
        <v>17</v>
      </c>
    </row>
    <row r="593" spans="1:2" x14ac:dyDescent="0.25">
      <c r="A593">
        <v>78043</v>
      </c>
      <c r="B593">
        <v>0</v>
      </c>
    </row>
    <row r="594" spans="1:2" x14ac:dyDescent="0.25">
      <c r="A594">
        <v>78055</v>
      </c>
      <c r="B594">
        <v>60</v>
      </c>
    </row>
    <row r="595" spans="1:2" x14ac:dyDescent="0.25">
      <c r="A595">
        <v>78057</v>
      </c>
      <c r="B595">
        <v>18</v>
      </c>
    </row>
    <row r="596" spans="1:2" x14ac:dyDescent="0.25">
      <c r="A596">
        <v>78181</v>
      </c>
      <c r="B596">
        <v>445</v>
      </c>
    </row>
    <row r="597" spans="1:2" x14ac:dyDescent="0.25">
      <c r="A597">
        <v>78303</v>
      </c>
      <c r="B597">
        <v>15</v>
      </c>
    </row>
    <row r="598" spans="1:2" x14ac:dyDescent="0.25">
      <c r="A598">
        <v>78304</v>
      </c>
      <c r="B598">
        <v>52</v>
      </c>
    </row>
    <row r="599" spans="1:2" x14ac:dyDescent="0.25">
      <c r="A599">
        <v>78306</v>
      </c>
      <c r="B599">
        <v>4</v>
      </c>
    </row>
    <row r="600" spans="1:2" x14ac:dyDescent="0.25">
      <c r="A600">
        <v>78307</v>
      </c>
      <c r="B600">
        <v>9</v>
      </c>
    </row>
    <row r="601" spans="1:2" x14ac:dyDescent="0.25">
      <c r="A601">
        <v>78398</v>
      </c>
      <c r="B601">
        <v>0</v>
      </c>
    </row>
    <row r="602" spans="1:2" x14ac:dyDescent="0.25">
      <c r="A602">
        <v>78399</v>
      </c>
      <c r="B602">
        <v>21</v>
      </c>
    </row>
    <row r="603" spans="1:2" x14ac:dyDescent="0.25">
      <c r="A603">
        <v>78416</v>
      </c>
      <c r="B603">
        <v>144</v>
      </c>
    </row>
    <row r="604" spans="1:2" x14ac:dyDescent="0.25">
      <c r="A604">
        <v>78418</v>
      </c>
      <c r="B604">
        <v>88</v>
      </c>
    </row>
    <row r="605" spans="1:2" x14ac:dyDescent="0.25">
      <c r="A605">
        <v>78509</v>
      </c>
      <c r="B605">
        <v>5</v>
      </c>
    </row>
    <row r="606" spans="1:2" x14ac:dyDescent="0.25">
      <c r="A606">
        <v>78641</v>
      </c>
      <c r="B606">
        <v>4086</v>
      </c>
    </row>
    <row r="607" spans="1:2" x14ac:dyDescent="0.25">
      <c r="A607">
        <v>78642</v>
      </c>
      <c r="B607">
        <v>3115</v>
      </c>
    </row>
    <row r="608" spans="1:2" x14ac:dyDescent="0.25">
      <c r="A608">
        <v>78643</v>
      </c>
      <c r="B608">
        <v>4319</v>
      </c>
    </row>
    <row r="609" spans="1:2" x14ac:dyDescent="0.25">
      <c r="A609">
        <v>78646</v>
      </c>
      <c r="B609">
        <v>4246</v>
      </c>
    </row>
    <row r="610" spans="1:2" x14ac:dyDescent="0.25">
      <c r="A610">
        <v>79635</v>
      </c>
      <c r="B610">
        <v>0</v>
      </c>
    </row>
    <row r="611" spans="1:2" x14ac:dyDescent="0.25">
      <c r="A611">
        <v>79687</v>
      </c>
      <c r="B611">
        <v>4411</v>
      </c>
    </row>
    <row r="612" spans="1:2" x14ac:dyDescent="0.25">
      <c r="A612">
        <v>79688</v>
      </c>
      <c r="B612">
        <v>4913</v>
      </c>
    </row>
    <row r="613" spans="1:2" x14ac:dyDescent="0.25">
      <c r="A613">
        <v>80297</v>
      </c>
      <c r="B613">
        <v>0</v>
      </c>
    </row>
    <row r="614" spans="1:2" x14ac:dyDescent="0.25">
      <c r="A614">
        <v>80298</v>
      </c>
      <c r="B614">
        <v>9</v>
      </c>
    </row>
    <row r="615" spans="1:2" x14ac:dyDescent="0.25">
      <c r="A615">
        <v>80300</v>
      </c>
      <c r="B615">
        <v>63</v>
      </c>
    </row>
    <row r="616" spans="1:2" x14ac:dyDescent="0.25">
      <c r="A616">
        <v>80384</v>
      </c>
      <c r="B616">
        <v>25</v>
      </c>
    </row>
    <row r="617" spans="1:2" x14ac:dyDescent="0.25">
      <c r="A617">
        <v>80385</v>
      </c>
      <c r="B617">
        <v>1</v>
      </c>
    </row>
    <row r="618" spans="1:2" x14ac:dyDescent="0.25">
      <c r="A618">
        <v>80387</v>
      </c>
      <c r="B618">
        <v>361</v>
      </c>
    </row>
    <row r="619" spans="1:2" x14ac:dyDescent="0.25">
      <c r="A619">
        <v>80390</v>
      </c>
      <c r="B619">
        <v>42</v>
      </c>
    </row>
    <row r="620" spans="1:2" x14ac:dyDescent="0.25">
      <c r="A620">
        <v>80391</v>
      </c>
      <c r="B620">
        <v>18</v>
      </c>
    </row>
    <row r="621" spans="1:2" x14ac:dyDescent="0.25">
      <c r="A621">
        <v>80575</v>
      </c>
      <c r="B621">
        <v>31</v>
      </c>
    </row>
    <row r="622" spans="1:2" x14ac:dyDescent="0.25">
      <c r="A622">
        <v>80650</v>
      </c>
      <c r="B622">
        <v>0</v>
      </c>
    </row>
    <row r="623" spans="1:2" x14ac:dyDescent="0.25">
      <c r="A623">
        <v>80749</v>
      </c>
      <c r="B623">
        <v>0</v>
      </c>
    </row>
    <row r="624" spans="1:2" x14ac:dyDescent="0.25">
      <c r="A624">
        <v>80872</v>
      </c>
      <c r="B624">
        <v>4342</v>
      </c>
    </row>
    <row r="625" spans="1:2" x14ac:dyDescent="0.25">
      <c r="A625">
        <v>80874</v>
      </c>
      <c r="B625">
        <v>4411</v>
      </c>
    </row>
    <row r="626" spans="1:2" x14ac:dyDescent="0.25">
      <c r="A626">
        <v>81131</v>
      </c>
      <c r="B626">
        <v>327</v>
      </c>
    </row>
    <row r="627" spans="1:2" x14ac:dyDescent="0.25">
      <c r="A627">
        <v>81152</v>
      </c>
      <c r="B627">
        <v>1174</v>
      </c>
    </row>
    <row r="628" spans="1:2" x14ac:dyDescent="0.25">
      <c r="A628">
        <v>81370</v>
      </c>
      <c r="B628">
        <v>1097</v>
      </c>
    </row>
    <row r="629" spans="1:2" x14ac:dyDescent="0.25">
      <c r="A629">
        <v>81371</v>
      </c>
      <c r="B629">
        <v>1139</v>
      </c>
    </row>
    <row r="630" spans="1:2" x14ac:dyDescent="0.25">
      <c r="A630">
        <v>81455</v>
      </c>
      <c r="B630">
        <v>430</v>
      </c>
    </row>
    <row r="631" spans="1:2" x14ac:dyDescent="0.25">
      <c r="A631">
        <v>81493</v>
      </c>
      <c r="B631">
        <v>51</v>
      </c>
    </row>
    <row r="632" spans="1:2" x14ac:dyDescent="0.25">
      <c r="A632">
        <v>81514</v>
      </c>
      <c r="B632">
        <v>69200</v>
      </c>
    </row>
    <row r="633" spans="1:2" x14ac:dyDescent="0.25">
      <c r="A633">
        <v>81563</v>
      </c>
      <c r="B633">
        <v>3</v>
      </c>
    </row>
    <row r="634" spans="1:2" x14ac:dyDescent="0.25">
      <c r="A634">
        <v>81564</v>
      </c>
      <c r="B634">
        <v>3</v>
      </c>
    </row>
    <row r="635" spans="1:2" x14ac:dyDescent="0.25">
      <c r="A635">
        <v>81565</v>
      </c>
      <c r="B635">
        <v>3</v>
      </c>
    </row>
    <row r="636" spans="1:2" x14ac:dyDescent="0.25">
      <c r="A636">
        <v>81566</v>
      </c>
      <c r="B636">
        <v>343</v>
      </c>
    </row>
    <row r="637" spans="1:2" x14ac:dyDescent="0.25">
      <c r="A637">
        <v>81807</v>
      </c>
      <c r="B637">
        <v>12</v>
      </c>
    </row>
    <row r="638" spans="1:2" x14ac:dyDescent="0.25">
      <c r="A638">
        <v>81808</v>
      </c>
      <c r="B638">
        <v>17</v>
      </c>
    </row>
    <row r="639" spans="1:2" x14ac:dyDescent="0.25">
      <c r="A639">
        <v>82185</v>
      </c>
      <c r="B639">
        <v>27</v>
      </c>
    </row>
    <row r="640" spans="1:2" x14ac:dyDescent="0.25">
      <c r="A640">
        <v>82452</v>
      </c>
      <c r="B640">
        <v>149</v>
      </c>
    </row>
    <row r="641" spans="1:2" x14ac:dyDescent="0.25">
      <c r="A641">
        <v>82732</v>
      </c>
      <c r="B641">
        <v>312</v>
      </c>
    </row>
    <row r="642" spans="1:2" x14ac:dyDescent="0.25">
      <c r="A642">
        <v>82829</v>
      </c>
      <c r="B642">
        <v>15</v>
      </c>
    </row>
    <row r="643" spans="1:2" x14ac:dyDescent="0.25">
      <c r="A643">
        <v>82916</v>
      </c>
      <c r="B643">
        <v>14</v>
      </c>
    </row>
    <row r="644" spans="1:2" x14ac:dyDescent="0.25">
      <c r="A644">
        <v>82995</v>
      </c>
      <c r="B644">
        <v>378</v>
      </c>
    </row>
    <row r="645" spans="1:2" x14ac:dyDescent="0.25">
      <c r="A645">
        <v>82996</v>
      </c>
      <c r="B645">
        <v>160</v>
      </c>
    </row>
    <row r="646" spans="1:2" x14ac:dyDescent="0.25">
      <c r="A646">
        <v>83627</v>
      </c>
      <c r="B646">
        <v>27709</v>
      </c>
    </row>
    <row r="647" spans="1:2" x14ac:dyDescent="0.25">
      <c r="A647">
        <v>83788</v>
      </c>
      <c r="B647">
        <v>0</v>
      </c>
    </row>
    <row r="648" spans="1:2" x14ac:dyDescent="0.25">
      <c r="A648">
        <v>83838</v>
      </c>
      <c r="B648">
        <v>10783</v>
      </c>
    </row>
    <row r="649" spans="1:2" x14ac:dyDescent="0.25">
      <c r="A649">
        <v>83839</v>
      </c>
      <c r="B649">
        <v>3263</v>
      </c>
    </row>
    <row r="650" spans="1:2" x14ac:dyDescent="0.25">
      <c r="A650">
        <v>84878</v>
      </c>
      <c r="B650">
        <v>20207</v>
      </c>
    </row>
    <row r="651" spans="1:2" x14ac:dyDescent="0.25">
      <c r="A651">
        <v>86030</v>
      </c>
      <c r="B651">
        <v>58</v>
      </c>
    </row>
    <row r="652" spans="1:2" x14ac:dyDescent="0.25">
      <c r="A652">
        <v>86118</v>
      </c>
      <c r="B652">
        <v>137</v>
      </c>
    </row>
    <row r="653" spans="1:2" x14ac:dyDescent="0.25">
      <c r="A653">
        <v>86891</v>
      </c>
      <c r="B653">
        <v>0</v>
      </c>
    </row>
    <row r="654" spans="1:2" x14ac:dyDescent="0.25">
      <c r="A654">
        <v>87157</v>
      </c>
      <c r="B654">
        <v>294</v>
      </c>
    </row>
    <row r="655" spans="1:2" x14ac:dyDescent="0.25">
      <c r="A655">
        <v>87160</v>
      </c>
      <c r="B655">
        <v>30</v>
      </c>
    </row>
    <row r="656" spans="1:2" x14ac:dyDescent="0.25">
      <c r="A656">
        <v>87247</v>
      </c>
      <c r="B656">
        <v>0</v>
      </c>
    </row>
    <row r="657" spans="1:2" x14ac:dyDescent="0.25">
      <c r="A657">
        <v>87348</v>
      </c>
      <c r="B657">
        <v>95</v>
      </c>
    </row>
    <row r="658" spans="1:2" x14ac:dyDescent="0.25">
      <c r="A658">
        <v>87465</v>
      </c>
      <c r="B658">
        <v>1810</v>
      </c>
    </row>
    <row r="659" spans="1:2" x14ac:dyDescent="0.25">
      <c r="A659">
        <v>87586</v>
      </c>
      <c r="B659">
        <v>16</v>
      </c>
    </row>
    <row r="660" spans="1:2" x14ac:dyDescent="0.25">
      <c r="A660">
        <v>87698</v>
      </c>
      <c r="B660">
        <v>95</v>
      </c>
    </row>
    <row r="661" spans="1:2" x14ac:dyDescent="0.25">
      <c r="A661">
        <v>87699</v>
      </c>
      <c r="B661">
        <v>126</v>
      </c>
    </row>
    <row r="662" spans="1:2" x14ac:dyDescent="0.25">
      <c r="A662">
        <v>88718</v>
      </c>
      <c r="B662">
        <v>40</v>
      </c>
    </row>
    <row r="663" spans="1:2" x14ac:dyDescent="0.25">
      <c r="A663">
        <v>88719</v>
      </c>
      <c r="B663">
        <v>98</v>
      </c>
    </row>
    <row r="664" spans="1:2" x14ac:dyDescent="0.25">
      <c r="A664">
        <v>88726</v>
      </c>
      <c r="B664">
        <v>29</v>
      </c>
    </row>
    <row r="665" spans="1:2" x14ac:dyDescent="0.25">
      <c r="A665">
        <v>88727</v>
      </c>
      <c r="B665">
        <v>90</v>
      </c>
    </row>
    <row r="666" spans="1:2" x14ac:dyDescent="0.25">
      <c r="A666">
        <v>88728</v>
      </c>
      <c r="B666">
        <v>113</v>
      </c>
    </row>
    <row r="667" spans="1:2" x14ac:dyDescent="0.25">
      <c r="A667">
        <v>88729</v>
      </c>
      <c r="B667">
        <v>26</v>
      </c>
    </row>
    <row r="668" spans="1:2" x14ac:dyDescent="0.25">
      <c r="A668">
        <v>88730</v>
      </c>
      <c r="B668">
        <v>24</v>
      </c>
    </row>
    <row r="669" spans="1:2" x14ac:dyDescent="0.25">
      <c r="A669">
        <v>88731</v>
      </c>
      <c r="B669">
        <v>2</v>
      </c>
    </row>
    <row r="670" spans="1:2" x14ac:dyDescent="0.25">
      <c r="A670">
        <v>88732</v>
      </c>
      <c r="B670">
        <v>11</v>
      </c>
    </row>
    <row r="671" spans="1:2" x14ac:dyDescent="0.25">
      <c r="A671">
        <v>88733</v>
      </c>
      <c r="B671">
        <v>7</v>
      </c>
    </row>
    <row r="672" spans="1:2" x14ac:dyDescent="0.25">
      <c r="A672">
        <v>88734</v>
      </c>
      <c r="B672">
        <v>8</v>
      </c>
    </row>
    <row r="673" spans="1:2" x14ac:dyDescent="0.25">
      <c r="A673">
        <v>88735</v>
      </c>
      <c r="B673">
        <v>14</v>
      </c>
    </row>
    <row r="674" spans="1:2" x14ac:dyDescent="0.25">
      <c r="A674">
        <v>88740</v>
      </c>
      <c r="B674">
        <v>13</v>
      </c>
    </row>
    <row r="675" spans="1:2" x14ac:dyDescent="0.25">
      <c r="A675">
        <v>88741</v>
      </c>
      <c r="B675">
        <v>0</v>
      </c>
    </row>
    <row r="676" spans="1:2" x14ac:dyDescent="0.25">
      <c r="A676">
        <v>88742</v>
      </c>
      <c r="B676">
        <v>0</v>
      </c>
    </row>
    <row r="677" spans="1:2" x14ac:dyDescent="0.25">
      <c r="A677">
        <v>88744</v>
      </c>
      <c r="B677">
        <v>10</v>
      </c>
    </row>
    <row r="678" spans="1:2" x14ac:dyDescent="0.25">
      <c r="A678">
        <v>88745</v>
      </c>
      <c r="B678">
        <v>10</v>
      </c>
    </row>
    <row r="679" spans="1:2" x14ac:dyDescent="0.25">
      <c r="A679">
        <v>88746</v>
      </c>
      <c r="B679">
        <v>3</v>
      </c>
    </row>
    <row r="680" spans="1:2" x14ac:dyDescent="0.25">
      <c r="A680">
        <v>88747</v>
      </c>
      <c r="B680">
        <v>2</v>
      </c>
    </row>
    <row r="681" spans="1:2" x14ac:dyDescent="0.25">
      <c r="A681">
        <v>88838</v>
      </c>
      <c r="B681">
        <v>1229</v>
      </c>
    </row>
    <row r="682" spans="1:2" x14ac:dyDescent="0.25">
      <c r="A682">
        <v>88839</v>
      </c>
      <c r="B682">
        <v>24</v>
      </c>
    </row>
    <row r="683" spans="1:2" x14ac:dyDescent="0.25">
      <c r="A683">
        <v>88849</v>
      </c>
      <c r="B683">
        <v>223</v>
      </c>
    </row>
    <row r="684" spans="1:2" x14ac:dyDescent="0.25">
      <c r="A684">
        <v>88856</v>
      </c>
      <c r="B684">
        <v>57</v>
      </c>
    </row>
    <row r="685" spans="1:2" x14ac:dyDescent="0.25">
      <c r="A685">
        <v>88876</v>
      </c>
      <c r="B685">
        <v>0</v>
      </c>
    </row>
    <row r="686" spans="1:2" x14ac:dyDescent="0.25">
      <c r="A686">
        <v>88989</v>
      </c>
      <c r="B686">
        <v>3</v>
      </c>
    </row>
    <row r="687" spans="1:2" x14ac:dyDescent="0.25">
      <c r="A687">
        <v>88992</v>
      </c>
      <c r="B687">
        <v>1</v>
      </c>
    </row>
    <row r="688" spans="1:2" x14ac:dyDescent="0.25">
      <c r="A688">
        <v>88993</v>
      </c>
      <c r="B688">
        <v>1</v>
      </c>
    </row>
    <row r="689" spans="1:2" x14ac:dyDescent="0.25">
      <c r="A689">
        <v>89818</v>
      </c>
      <c r="B689">
        <v>15</v>
      </c>
    </row>
    <row r="690" spans="1:2" x14ac:dyDescent="0.25">
      <c r="A690">
        <v>89855</v>
      </c>
      <c r="B690">
        <v>0</v>
      </c>
    </row>
    <row r="691" spans="1:2" x14ac:dyDescent="0.25">
      <c r="A691">
        <v>89863</v>
      </c>
      <c r="B691">
        <v>211</v>
      </c>
    </row>
    <row r="692" spans="1:2" x14ac:dyDescent="0.25">
      <c r="A692">
        <v>89864</v>
      </c>
      <c r="B692">
        <v>33</v>
      </c>
    </row>
    <row r="693" spans="1:2" x14ac:dyDescent="0.25">
      <c r="A693">
        <v>89865</v>
      </c>
      <c r="B693">
        <v>73</v>
      </c>
    </row>
    <row r="694" spans="1:2" x14ac:dyDescent="0.25">
      <c r="A694">
        <v>89866</v>
      </c>
      <c r="B694">
        <v>114</v>
      </c>
    </row>
    <row r="695" spans="1:2" x14ac:dyDescent="0.25">
      <c r="A695">
        <v>90500</v>
      </c>
      <c r="B695">
        <v>994</v>
      </c>
    </row>
    <row r="696" spans="1:2" x14ac:dyDescent="0.25">
      <c r="A696">
        <v>90502</v>
      </c>
      <c r="B696">
        <v>1920</v>
      </c>
    </row>
    <row r="697" spans="1:2" x14ac:dyDescent="0.25">
      <c r="A697">
        <v>90884</v>
      </c>
      <c r="B697">
        <v>15</v>
      </c>
    </row>
    <row r="698" spans="1:2" x14ac:dyDescent="0.25">
      <c r="A698">
        <v>91250</v>
      </c>
      <c r="B698">
        <v>67</v>
      </c>
    </row>
    <row r="699" spans="1:2" x14ac:dyDescent="0.25">
      <c r="A699">
        <v>91669</v>
      </c>
      <c r="B699">
        <v>2264</v>
      </c>
    </row>
    <row r="700" spans="1:2" x14ac:dyDescent="0.25">
      <c r="A700">
        <v>91811</v>
      </c>
      <c r="B700">
        <v>418</v>
      </c>
    </row>
    <row r="701" spans="1:2" x14ac:dyDescent="0.25">
      <c r="A701">
        <v>91868</v>
      </c>
      <c r="B701">
        <v>93</v>
      </c>
    </row>
    <row r="702" spans="1:2" x14ac:dyDescent="0.25">
      <c r="A702">
        <v>92111</v>
      </c>
      <c r="B702">
        <v>800</v>
      </c>
    </row>
    <row r="703" spans="1:2" x14ac:dyDescent="0.25">
      <c r="A703">
        <v>92842</v>
      </c>
      <c r="B703">
        <v>39</v>
      </c>
    </row>
    <row r="704" spans="1:2" x14ac:dyDescent="0.25">
      <c r="A704">
        <v>92906</v>
      </c>
      <c r="B704">
        <v>3193</v>
      </c>
    </row>
    <row r="705" spans="1:2" x14ac:dyDescent="0.25">
      <c r="A705">
        <v>92907</v>
      </c>
      <c r="B705">
        <v>3163</v>
      </c>
    </row>
    <row r="706" spans="1:2" x14ac:dyDescent="0.25">
      <c r="A706">
        <v>92908</v>
      </c>
      <c r="B706">
        <v>3230</v>
      </c>
    </row>
    <row r="707" spans="1:2" x14ac:dyDescent="0.25">
      <c r="A707">
        <v>93139</v>
      </c>
      <c r="B707">
        <v>41</v>
      </c>
    </row>
    <row r="708" spans="1:2" x14ac:dyDescent="0.25">
      <c r="A708">
        <v>93325</v>
      </c>
      <c r="B708">
        <v>9574</v>
      </c>
    </row>
    <row r="709" spans="1:2" x14ac:dyDescent="0.25">
      <c r="A709">
        <v>93327</v>
      </c>
      <c r="B709">
        <v>4987</v>
      </c>
    </row>
    <row r="710" spans="1:2" x14ac:dyDescent="0.25">
      <c r="A710">
        <v>93329</v>
      </c>
      <c r="B710">
        <v>6512</v>
      </c>
    </row>
    <row r="711" spans="1:2" x14ac:dyDescent="0.25">
      <c r="A711">
        <v>93332</v>
      </c>
      <c r="B711">
        <v>8685</v>
      </c>
    </row>
    <row r="712" spans="1:2" x14ac:dyDescent="0.25">
      <c r="A712">
        <v>93334</v>
      </c>
      <c r="B712">
        <v>6099</v>
      </c>
    </row>
    <row r="713" spans="1:2" x14ac:dyDescent="0.25">
      <c r="A713">
        <v>93335</v>
      </c>
      <c r="B713">
        <v>8035</v>
      </c>
    </row>
    <row r="714" spans="1:2" x14ac:dyDescent="0.25">
      <c r="A714">
        <v>93344</v>
      </c>
      <c r="B714">
        <v>5</v>
      </c>
    </row>
    <row r="715" spans="1:2" x14ac:dyDescent="0.25">
      <c r="A715">
        <v>93346</v>
      </c>
      <c r="B715">
        <v>0</v>
      </c>
    </row>
    <row r="716" spans="1:2" x14ac:dyDescent="0.25">
      <c r="A716">
        <v>93453</v>
      </c>
      <c r="B716">
        <v>11089</v>
      </c>
    </row>
    <row r="717" spans="1:2" x14ac:dyDescent="0.25">
      <c r="A717">
        <v>93454</v>
      </c>
      <c r="B717">
        <v>11819</v>
      </c>
    </row>
    <row r="718" spans="1:2" x14ac:dyDescent="0.25">
      <c r="A718">
        <v>93456</v>
      </c>
      <c r="B718">
        <v>10626</v>
      </c>
    </row>
    <row r="719" spans="1:2" x14ac:dyDescent="0.25">
      <c r="A719">
        <v>93461</v>
      </c>
      <c r="B719">
        <v>11105</v>
      </c>
    </row>
    <row r="720" spans="1:2" x14ac:dyDescent="0.25">
      <c r="A720">
        <v>93462</v>
      </c>
      <c r="B720">
        <v>10536</v>
      </c>
    </row>
    <row r="721" spans="1:2" x14ac:dyDescent="0.25">
      <c r="A721">
        <v>93486</v>
      </c>
      <c r="B721">
        <v>12</v>
      </c>
    </row>
    <row r="722" spans="1:2" x14ac:dyDescent="0.25">
      <c r="A722">
        <v>93487</v>
      </c>
      <c r="B722">
        <v>6</v>
      </c>
    </row>
    <row r="723" spans="1:2" x14ac:dyDescent="0.25">
      <c r="A723">
        <v>93488</v>
      </c>
      <c r="B723">
        <v>5</v>
      </c>
    </row>
    <row r="724" spans="1:2" x14ac:dyDescent="0.25">
      <c r="A724">
        <v>94013</v>
      </c>
      <c r="B724">
        <v>17</v>
      </c>
    </row>
    <row r="725" spans="1:2" x14ac:dyDescent="0.25">
      <c r="A725">
        <v>94615</v>
      </c>
      <c r="B725">
        <v>5</v>
      </c>
    </row>
    <row r="726" spans="1:2" x14ac:dyDescent="0.25">
      <c r="A726">
        <v>94616</v>
      </c>
      <c r="B726">
        <v>3</v>
      </c>
    </row>
    <row r="727" spans="1:2" x14ac:dyDescent="0.25">
      <c r="A727">
        <v>94617</v>
      </c>
      <c r="B727">
        <v>4</v>
      </c>
    </row>
    <row r="728" spans="1:2" x14ac:dyDescent="0.25">
      <c r="A728">
        <v>94618</v>
      </c>
      <c r="B728">
        <v>5</v>
      </c>
    </row>
    <row r="729" spans="1:2" x14ac:dyDescent="0.25">
      <c r="A729">
        <v>94627</v>
      </c>
      <c r="B729">
        <v>231</v>
      </c>
    </row>
    <row r="730" spans="1:2" x14ac:dyDescent="0.25">
      <c r="A730">
        <v>94787</v>
      </c>
      <c r="B730">
        <v>0</v>
      </c>
    </row>
    <row r="731" spans="1:2" x14ac:dyDescent="0.25">
      <c r="A731">
        <v>95121</v>
      </c>
      <c r="B731">
        <v>54</v>
      </c>
    </row>
    <row r="732" spans="1:2" x14ac:dyDescent="0.25">
      <c r="A732">
        <v>95209</v>
      </c>
      <c r="B732">
        <v>138</v>
      </c>
    </row>
    <row r="733" spans="1:2" x14ac:dyDescent="0.25">
      <c r="A733">
        <v>95513</v>
      </c>
      <c r="B733">
        <v>787</v>
      </c>
    </row>
    <row r="734" spans="1:2" x14ac:dyDescent="0.25">
      <c r="A734">
        <v>95970</v>
      </c>
      <c r="B734">
        <v>0</v>
      </c>
    </row>
    <row r="735" spans="1:2" x14ac:dyDescent="0.25">
      <c r="A735">
        <v>96516</v>
      </c>
      <c r="B735">
        <v>723</v>
      </c>
    </row>
    <row r="736" spans="1:2" x14ac:dyDescent="0.25">
      <c r="A736">
        <v>97965</v>
      </c>
      <c r="B736">
        <v>0</v>
      </c>
    </row>
    <row r="737" spans="1:2" x14ac:dyDescent="0.25">
      <c r="A737">
        <v>98080</v>
      </c>
      <c r="B737">
        <v>540</v>
      </c>
    </row>
    <row r="738" spans="1:2" x14ac:dyDescent="0.25">
      <c r="A738">
        <v>98359</v>
      </c>
      <c r="B738">
        <v>50</v>
      </c>
    </row>
    <row r="739" spans="1:2" x14ac:dyDescent="0.25">
      <c r="A739">
        <v>98360</v>
      </c>
      <c r="B739">
        <v>1</v>
      </c>
    </row>
    <row r="740" spans="1:2" x14ac:dyDescent="0.25">
      <c r="A740">
        <v>98702</v>
      </c>
      <c r="B740">
        <v>2366</v>
      </c>
    </row>
    <row r="741" spans="1:2" x14ac:dyDescent="0.25">
      <c r="A741">
        <v>98703</v>
      </c>
      <c r="B741">
        <v>542</v>
      </c>
    </row>
    <row r="742" spans="1:2" x14ac:dyDescent="0.25">
      <c r="A742">
        <v>98704</v>
      </c>
      <c r="B742">
        <v>63</v>
      </c>
    </row>
    <row r="743" spans="1:2" x14ac:dyDescent="0.25">
      <c r="A743">
        <v>98732</v>
      </c>
      <c r="B743">
        <v>0</v>
      </c>
    </row>
    <row r="744" spans="1:2" x14ac:dyDescent="0.25">
      <c r="A744">
        <v>98733</v>
      </c>
      <c r="B744">
        <v>0</v>
      </c>
    </row>
    <row r="745" spans="1:2" x14ac:dyDescent="0.25">
      <c r="A745">
        <v>98734</v>
      </c>
      <c r="B745">
        <v>1</v>
      </c>
    </row>
    <row r="746" spans="1:2" x14ac:dyDescent="0.25">
      <c r="A746">
        <v>98747</v>
      </c>
      <c r="B746">
        <v>0</v>
      </c>
    </row>
    <row r="747" spans="1:2" x14ac:dyDescent="0.25">
      <c r="A747">
        <v>98748</v>
      </c>
      <c r="B747">
        <v>0</v>
      </c>
    </row>
    <row r="748" spans="1:2" x14ac:dyDescent="0.25">
      <c r="A748">
        <v>98749</v>
      </c>
      <c r="B748">
        <v>0</v>
      </c>
    </row>
    <row r="749" spans="1:2" x14ac:dyDescent="0.25">
      <c r="A749">
        <v>98750</v>
      </c>
      <c r="B749">
        <v>0</v>
      </c>
    </row>
    <row r="750" spans="1:2" x14ac:dyDescent="0.25">
      <c r="A750">
        <v>98751</v>
      </c>
      <c r="B750">
        <v>0</v>
      </c>
    </row>
    <row r="751" spans="1:2" x14ac:dyDescent="0.25">
      <c r="A751">
        <v>98819</v>
      </c>
      <c r="B751">
        <v>32</v>
      </c>
    </row>
    <row r="752" spans="1:2" x14ac:dyDescent="0.25">
      <c r="A752">
        <v>99787</v>
      </c>
      <c r="B752">
        <v>27</v>
      </c>
    </row>
    <row r="753" spans="1:2" x14ac:dyDescent="0.25">
      <c r="A753">
        <v>99788</v>
      </c>
      <c r="B753">
        <v>1</v>
      </c>
    </row>
    <row r="754" spans="1:2" x14ac:dyDescent="0.25">
      <c r="A754">
        <v>99790</v>
      </c>
      <c r="B754">
        <v>0</v>
      </c>
    </row>
    <row r="755" spans="1:2" x14ac:dyDescent="0.25">
      <c r="A755">
        <v>99796</v>
      </c>
      <c r="B755">
        <v>3</v>
      </c>
    </row>
    <row r="756" spans="1:2" x14ac:dyDescent="0.25">
      <c r="A756">
        <v>99810</v>
      </c>
      <c r="B756">
        <v>3310</v>
      </c>
    </row>
    <row r="757" spans="1:2" x14ac:dyDescent="0.25">
      <c r="A757">
        <v>100383</v>
      </c>
      <c r="B757">
        <v>20</v>
      </c>
    </row>
    <row r="758" spans="1:2" x14ac:dyDescent="0.25">
      <c r="A758">
        <v>100802</v>
      </c>
      <c r="B758">
        <v>621</v>
      </c>
    </row>
    <row r="759" spans="1:2" x14ac:dyDescent="0.25">
      <c r="A759">
        <v>100907</v>
      </c>
      <c r="B759">
        <v>124</v>
      </c>
    </row>
    <row r="760" spans="1:2" x14ac:dyDescent="0.25">
      <c r="A760">
        <v>101867</v>
      </c>
      <c r="B760">
        <v>201</v>
      </c>
    </row>
    <row r="761" spans="1:2" x14ac:dyDescent="0.25">
      <c r="A761">
        <v>101868</v>
      </c>
      <c r="B761">
        <v>168</v>
      </c>
    </row>
    <row r="762" spans="1:2" x14ac:dyDescent="0.25">
      <c r="A762">
        <v>101891</v>
      </c>
      <c r="B762">
        <v>3</v>
      </c>
    </row>
    <row r="763" spans="1:2" x14ac:dyDescent="0.25">
      <c r="A763">
        <v>101917</v>
      </c>
      <c r="B763">
        <v>600</v>
      </c>
    </row>
    <row r="764" spans="1:2" x14ac:dyDescent="0.25">
      <c r="A764">
        <v>101938</v>
      </c>
      <c r="B764">
        <v>53</v>
      </c>
    </row>
    <row r="765" spans="1:2" x14ac:dyDescent="0.25">
      <c r="A765">
        <v>102000</v>
      </c>
      <c r="B765">
        <v>1025</v>
      </c>
    </row>
    <row r="766" spans="1:2" x14ac:dyDescent="0.25">
      <c r="A766">
        <v>102234</v>
      </c>
      <c r="B766">
        <v>15</v>
      </c>
    </row>
    <row r="767" spans="1:2" x14ac:dyDescent="0.25">
      <c r="A767">
        <v>102276</v>
      </c>
      <c r="B767">
        <v>100</v>
      </c>
    </row>
    <row r="768" spans="1:2" x14ac:dyDescent="0.25">
      <c r="A768">
        <v>102277</v>
      </c>
      <c r="B768">
        <v>130</v>
      </c>
    </row>
    <row r="769" spans="1:2" x14ac:dyDescent="0.25">
      <c r="A769">
        <v>102278</v>
      </c>
      <c r="B769">
        <v>1</v>
      </c>
    </row>
    <row r="770" spans="1:2" x14ac:dyDescent="0.25">
      <c r="A770">
        <v>102279</v>
      </c>
      <c r="B770">
        <v>113</v>
      </c>
    </row>
    <row r="771" spans="1:2" x14ac:dyDescent="0.25">
      <c r="A771">
        <v>102443</v>
      </c>
      <c r="B771">
        <v>154</v>
      </c>
    </row>
    <row r="772" spans="1:2" x14ac:dyDescent="0.25">
      <c r="A772">
        <v>102588</v>
      </c>
      <c r="B772">
        <v>10</v>
      </c>
    </row>
    <row r="773" spans="1:2" x14ac:dyDescent="0.25">
      <c r="A773">
        <v>102634</v>
      </c>
      <c r="B773">
        <v>0</v>
      </c>
    </row>
    <row r="774" spans="1:2" x14ac:dyDescent="0.25">
      <c r="A774">
        <v>102684</v>
      </c>
      <c r="B774">
        <v>0</v>
      </c>
    </row>
    <row r="775" spans="1:2" x14ac:dyDescent="0.25">
      <c r="A775">
        <v>102685</v>
      </c>
      <c r="B775">
        <v>0</v>
      </c>
    </row>
    <row r="776" spans="1:2" x14ac:dyDescent="0.25">
      <c r="A776">
        <v>102686</v>
      </c>
      <c r="B776">
        <v>0</v>
      </c>
    </row>
    <row r="777" spans="1:2" x14ac:dyDescent="0.25">
      <c r="A777">
        <v>102687</v>
      </c>
      <c r="B777">
        <v>0</v>
      </c>
    </row>
    <row r="778" spans="1:2" x14ac:dyDescent="0.25">
      <c r="A778">
        <v>102688</v>
      </c>
      <c r="B778">
        <v>0</v>
      </c>
    </row>
    <row r="779" spans="1:2" x14ac:dyDescent="0.25">
      <c r="A779">
        <v>102690</v>
      </c>
      <c r="B779">
        <v>3</v>
      </c>
    </row>
    <row r="780" spans="1:2" x14ac:dyDescent="0.25">
      <c r="A780">
        <v>102691</v>
      </c>
      <c r="B780">
        <v>0</v>
      </c>
    </row>
    <row r="781" spans="1:2" x14ac:dyDescent="0.25">
      <c r="A781">
        <v>102692</v>
      </c>
      <c r="B781">
        <v>0</v>
      </c>
    </row>
    <row r="782" spans="1:2" x14ac:dyDescent="0.25">
      <c r="A782">
        <v>102693</v>
      </c>
      <c r="B782">
        <v>0</v>
      </c>
    </row>
    <row r="783" spans="1:2" x14ac:dyDescent="0.25">
      <c r="A783">
        <v>102694</v>
      </c>
      <c r="B783">
        <v>2</v>
      </c>
    </row>
    <row r="784" spans="1:2" x14ac:dyDescent="0.25">
      <c r="A784">
        <v>102695</v>
      </c>
      <c r="B784">
        <v>0</v>
      </c>
    </row>
    <row r="785" spans="1:2" x14ac:dyDescent="0.25">
      <c r="A785">
        <v>102696</v>
      </c>
      <c r="B785">
        <v>0</v>
      </c>
    </row>
    <row r="786" spans="1:2" x14ac:dyDescent="0.25">
      <c r="A786">
        <v>102697</v>
      </c>
      <c r="B786">
        <v>0</v>
      </c>
    </row>
    <row r="787" spans="1:2" x14ac:dyDescent="0.25">
      <c r="A787">
        <v>102698</v>
      </c>
      <c r="B787">
        <v>0</v>
      </c>
    </row>
    <row r="788" spans="1:2" x14ac:dyDescent="0.25">
      <c r="A788">
        <v>102699</v>
      </c>
      <c r="B788">
        <v>0</v>
      </c>
    </row>
    <row r="789" spans="1:2" x14ac:dyDescent="0.25">
      <c r="A789">
        <v>102702</v>
      </c>
      <c r="B789">
        <v>7675</v>
      </c>
    </row>
    <row r="790" spans="1:2" x14ac:dyDescent="0.25">
      <c r="A790">
        <v>102723</v>
      </c>
      <c r="B790">
        <v>2</v>
      </c>
    </row>
    <row r="791" spans="1:2" x14ac:dyDescent="0.25">
      <c r="A791">
        <v>102726</v>
      </c>
      <c r="B791">
        <v>0</v>
      </c>
    </row>
    <row r="792" spans="1:2" x14ac:dyDescent="0.25">
      <c r="A792">
        <v>102728</v>
      </c>
      <c r="B792">
        <v>30</v>
      </c>
    </row>
    <row r="793" spans="1:2" x14ac:dyDescent="0.25">
      <c r="A793">
        <v>102775</v>
      </c>
      <c r="B793">
        <v>0</v>
      </c>
    </row>
    <row r="794" spans="1:2" x14ac:dyDescent="0.25">
      <c r="A794">
        <v>102776</v>
      </c>
      <c r="B794">
        <v>0</v>
      </c>
    </row>
    <row r="795" spans="1:2" x14ac:dyDescent="0.25">
      <c r="A795">
        <v>102777</v>
      </c>
      <c r="B795">
        <v>2</v>
      </c>
    </row>
    <row r="796" spans="1:2" x14ac:dyDescent="0.25">
      <c r="A796">
        <v>102782</v>
      </c>
      <c r="B796">
        <v>0</v>
      </c>
    </row>
    <row r="797" spans="1:2" x14ac:dyDescent="0.25">
      <c r="A797">
        <v>102791</v>
      </c>
      <c r="B797">
        <v>0</v>
      </c>
    </row>
    <row r="798" spans="1:2" x14ac:dyDescent="0.25">
      <c r="A798">
        <v>102814</v>
      </c>
      <c r="B798">
        <v>42</v>
      </c>
    </row>
    <row r="799" spans="1:2" x14ac:dyDescent="0.25">
      <c r="A799">
        <v>102819</v>
      </c>
      <c r="B799">
        <v>0</v>
      </c>
    </row>
    <row r="800" spans="1:2" x14ac:dyDescent="0.25">
      <c r="A800">
        <v>102820</v>
      </c>
      <c r="B800">
        <v>5</v>
      </c>
    </row>
    <row r="801" spans="1:2" x14ac:dyDescent="0.25">
      <c r="A801">
        <v>102822</v>
      </c>
      <c r="B801">
        <v>13</v>
      </c>
    </row>
    <row r="802" spans="1:2" x14ac:dyDescent="0.25">
      <c r="A802">
        <v>102832</v>
      </c>
      <c r="B802">
        <v>0</v>
      </c>
    </row>
    <row r="803" spans="1:2" x14ac:dyDescent="0.25">
      <c r="A803">
        <v>102922</v>
      </c>
      <c r="B803">
        <v>21871</v>
      </c>
    </row>
    <row r="804" spans="1:2" x14ac:dyDescent="0.25">
      <c r="A804">
        <v>103142</v>
      </c>
      <c r="B804">
        <v>10</v>
      </c>
    </row>
    <row r="805" spans="1:2" x14ac:dyDescent="0.25">
      <c r="A805">
        <v>103251</v>
      </c>
      <c r="B805">
        <v>320</v>
      </c>
    </row>
    <row r="806" spans="1:2" x14ac:dyDescent="0.25">
      <c r="A806">
        <v>103298</v>
      </c>
      <c r="B806">
        <v>0</v>
      </c>
    </row>
    <row r="807" spans="1:2" x14ac:dyDescent="0.25">
      <c r="A807">
        <v>103299</v>
      </c>
      <c r="B807">
        <v>20</v>
      </c>
    </row>
    <row r="808" spans="1:2" x14ac:dyDescent="0.25">
      <c r="A808">
        <v>103344</v>
      </c>
      <c r="B808">
        <v>26</v>
      </c>
    </row>
    <row r="809" spans="1:2" x14ac:dyDescent="0.25">
      <c r="A809">
        <v>103405</v>
      </c>
      <c r="B809">
        <v>110</v>
      </c>
    </row>
    <row r="810" spans="1:2" x14ac:dyDescent="0.25">
      <c r="A810">
        <v>103444</v>
      </c>
      <c r="B810">
        <v>0</v>
      </c>
    </row>
    <row r="811" spans="1:2" x14ac:dyDescent="0.25">
      <c r="A811">
        <v>103490</v>
      </c>
      <c r="B811">
        <v>1</v>
      </c>
    </row>
    <row r="812" spans="1:2" x14ac:dyDescent="0.25">
      <c r="A812">
        <v>104625</v>
      </c>
      <c r="B812">
        <v>7</v>
      </c>
    </row>
    <row r="813" spans="1:2" x14ac:dyDescent="0.25">
      <c r="A813">
        <v>104626</v>
      </c>
      <c r="B813">
        <v>2</v>
      </c>
    </row>
    <row r="814" spans="1:2" x14ac:dyDescent="0.25">
      <c r="A814">
        <v>104627</v>
      </c>
      <c r="B814">
        <v>3</v>
      </c>
    </row>
    <row r="815" spans="1:2" x14ac:dyDescent="0.25">
      <c r="A815">
        <v>104639</v>
      </c>
      <c r="B815">
        <v>6</v>
      </c>
    </row>
    <row r="816" spans="1:2" x14ac:dyDescent="0.25">
      <c r="A816">
        <v>104640</v>
      </c>
      <c r="B816">
        <v>4</v>
      </c>
    </row>
    <row r="817" spans="1:2" x14ac:dyDescent="0.25">
      <c r="A817">
        <v>104641</v>
      </c>
      <c r="B817">
        <v>1</v>
      </c>
    </row>
    <row r="818" spans="1:2" x14ac:dyDescent="0.25">
      <c r="A818">
        <v>104642</v>
      </c>
      <c r="B818">
        <v>1</v>
      </c>
    </row>
    <row r="819" spans="1:2" x14ac:dyDescent="0.25">
      <c r="A819">
        <v>104655</v>
      </c>
      <c r="B819">
        <v>400</v>
      </c>
    </row>
    <row r="820" spans="1:2" x14ac:dyDescent="0.25">
      <c r="A820">
        <v>104665</v>
      </c>
      <c r="B820">
        <v>4</v>
      </c>
    </row>
    <row r="821" spans="1:2" x14ac:dyDescent="0.25">
      <c r="A821">
        <v>104667</v>
      </c>
      <c r="B821">
        <v>117</v>
      </c>
    </row>
    <row r="822" spans="1:2" x14ac:dyDescent="0.25">
      <c r="A822">
        <v>104755</v>
      </c>
      <c r="B822">
        <v>1303</v>
      </c>
    </row>
    <row r="823" spans="1:2" x14ac:dyDescent="0.25">
      <c r="A823">
        <v>104832</v>
      </c>
      <c r="B823">
        <v>107</v>
      </c>
    </row>
    <row r="824" spans="1:2" x14ac:dyDescent="0.25">
      <c r="A824">
        <v>104911</v>
      </c>
      <c r="B824">
        <v>15</v>
      </c>
    </row>
    <row r="825" spans="1:2" x14ac:dyDescent="0.25">
      <c r="A825">
        <v>105106</v>
      </c>
      <c r="B825">
        <v>12</v>
      </c>
    </row>
    <row r="826" spans="1:2" x14ac:dyDescent="0.25">
      <c r="A826">
        <v>105107</v>
      </c>
      <c r="B826">
        <v>9</v>
      </c>
    </row>
    <row r="827" spans="1:2" x14ac:dyDescent="0.25">
      <c r="A827">
        <v>105108</v>
      </c>
      <c r="B827">
        <v>0</v>
      </c>
    </row>
    <row r="828" spans="1:2" x14ac:dyDescent="0.25">
      <c r="A828">
        <v>105109</v>
      </c>
      <c r="B828">
        <v>6</v>
      </c>
    </row>
    <row r="829" spans="1:2" x14ac:dyDescent="0.25">
      <c r="A829">
        <v>105110</v>
      </c>
      <c r="B829">
        <v>7</v>
      </c>
    </row>
    <row r="830" spans="1:2" x14ac:dyDescent="0.25">
      <c r="A830">
        <v>105112</v>
      </c>
      <c r="B830">
        <v>0</v>
      </c>
    </row>
    <row r="831" spans="1:2" x14ac:dyDescent="0.25">
      <c r="A831">
        <v>105113</v>
      </c>
      <c r="B831">
        <v>0</v>
      </c>
    </row>
    <row r="832" spans="1:2" x14ac:dyDescent="0.25">
      <c r="A832">
        <v>105114</v>
      </c>
      <c r="B832">
        <v>10</v>
      </c>
    </row>
    <row r="833" spans="1:2" x14ac:dyDescent="0.25">
      <c r="A833">
        <v>105115</v>
      </c>
      <c r="B833">
        <v>8</v>
      </c>
    </row>
    <row r="834" spans="1:2" x14ac:dyDescent="0.25">
      <c r="A834">
        <v>105116</v>
      </c>
      <c r="B834">
        <v>10</v>
      </c>
    </row>
    <row r="835" spans="1:2" x14ac:dyDescent="0.25">
      <c r="A835">
        <v>105117</v>
      </c>
      <c r="B835">
        <v>3</v>
      </c>
    </row>
    <row r="836" spans="1:2" x14ac:dyDescent="0.25">
      <c r="A836">
        <v>105118</v>
      </c>
      <c r="B836">
        <v>6</v>
      </c>
    </row>
    <row r="837" spans="1:2" x14ac:dyDescent="0.25">
      <c r="A837">
        <v>105128</v>
      </c>
      <c r="B837">
        <v>218</v>
      </c>
    </row>
    <row r="838" spans="1:2" x14ac:dyDescent="0.25">
      <c r="A838">
        <v>105259</v>
      </c>
      <c r="B838">
        <v>2111</v>
      </c>
    </row>
    <row r="839" spans="1:2" x14ac:dyDescent="0.25">
      <c r="A839">
        <v>105293</v>
      </c>
      <c r="B839">
        <v>1100</v>
      </c>
    </row>
    <row r="840" spans="1:2" x14ac:dyDescent="0.25">
      <c r="A840">
        <v>105294</v>
      </c>
      <c r="B840">
        <v>18</v>
      </c>
    </row>
    <row r="841" spans="1:2" x14ac:dyDescent="0.25">
      <c r="A841">
        <v>105348</v>
      </c>
      <c r="B841">
        <v>1</v>
      </c>
    </row>
    <row r="842" spans="1:2" x14ac:dyDescent="0.25">
      <c r="A842">
        <v>105419</v>
      </c>
      <c r="B842">
        <v>0</v>
      </c>
    </row>
    <row r="843" spans="1:2" x14ac:dyDescent="0.25">
      <c r="A843">
        <v>105489</v>
      </c>
      <c r="B843">
        <v>141</v>
      </c>
    </row>
    <row r="844" spans="1:2" x14ac:dyDescent="0.25">
      <c r="A844">
        <v>105491</v>
      </c>
      <c r="B844">
        <v>35</v>
      </c>
    </row>
    <row r="845" spans="1:2" x14ac:dyDescent="0.25">
      <c r="A845">
        <v>105492</v>
      </c>
      <c r="B845">
        <v>13</v>
      </c>
    </row>
    <row r="846" spans="1:2" x14ac:dyDescent="0.25">
      <c r="A846">
        <v>105493</v>
      </c>
      <c r="B846">
        <v>154</v>
      </c>
    </row>
    <row r="847" spans="1:2" x14ac:dyDescent="0.25">
      <c r="A847">
        <v>105704</v>
      </c>
      <c r="B847">
        <v>10</v>
      </c>
    </row>
    <row r="848" spans="1:2" x14ac:dyDescent="0.25">
      <c r="A848">
        <v>105709</v>
      </c>
      <c r="B848">
        <v>2</v>
      </c>
    </row>
    <row r="849" spans="1:2" x14ac:dyDescent="0.25">
      <c r="A849">
        <v>105810</v>
      </c>
      <c r="B849">
        <v>0</v>
      </c>
    </row>
    <row r="850" spans="1:2" x14ac:dyDescent="0.25">
      <c r="A850">
        <v>105889</v>
      </c>
      <c r="B850">
        <v>344</v>
      </c>
    </row>
    <row r="851" spans="1:2" x14ac:dyDescent="0.25">
      <c r="A851">
        <v>105993</v>
      </c>
      <c r="B851">
        <v>34</v>
      </c>
    </row>
    <row r="852" spans="1:2" x14ac:dyDescent="0.25">
      <c r="A852">
        <v>105994</v>
      </c>
      <c r="B852">
        <v>50</v>
      </c>
    </row>
    <row r="853" spans="1:2" x14ac:dyDescent="0.25">
      <c r="A853">
        <v>106027</v>
      </c>
      <c r="B853">
        <v>10</v>
      </c>
    </row>
    <row r="854" spans="1:2" x14ac:dyDescent="0.25">
      <c r="A854">
        <v>106038</v>
      </c>
      <c r="B854">
        <v>0</v>
      </c>
    </row>
    <row r="855" spans="1:2" x14ac:dyDescent="0.25">
      <c r="A855">
        <v>106039</v>
      </c>
      <c r="B855">
        <v>6</v>
      </c>
    </row>
    <row r="856" spans="1:2" x14ac:dyDescent="0.25">
      <c r="A856">
        <v>106128</v>
      </c>
      <c r="B856">
        <v>53</v>
      </c>
    </row>
    <row r="857" spans="1:2" x14ac:dyDescent="0.25">
      <c r="A857">
        <v>106129</v>
      </c>
      <c r="B857">
        <v>16</v>
      </c>
    </row>
    <row r="858" spans="1:2" x14ac:dyDescent="0.25">
      <c r="A858">
        <v>106130</v>
      </c>
      <c r="B858">
        <v>9</v>
      </c>
    </row>
    <row r="859" spans="1:2" x14ac:dyDescent="0.25">
      <c r="A859">
        <v>106131</v>
      </c>
      <c r="B859">
        <v>13</v>
      </c>
    </row>
    <row r="860" spans="1:2" x14ac:dyDescent="0.25">
      <c r="A860">
        <v>106375</v>
      </c>
      <c r="B860">
        <v>511</v>
      </c>
    </row>
    <row r="861" spans="1:2" x14ac:dyDescent="0.25">
      <c r="A861">
        <v>106376</v>
      </c>
      <c r="B861">
        <v>773</v>
      </c>
    </row>
    <row r="862" spans="1:2" x14ac:dyDescent="0.25">
      <c r="A862">
        <v>106408</v>
      </c>
      <c r="B862">
        <v>18</v>
      </c>
    </row>
    <row r="863" spans="1:2" x14ac:dyDescent="0.25">
      <c r="A863">
        <v>106414</v>
      </c>
      <c r="B863">
        <v>953</v>
      </c>
    </row>
    <row r="864" spans="1:2" x14ac:dyDescent="0.25">
      <c r="A864">
        <v>106544</v>
      </c>
      <c r="B864">
        <v>890</v>
      </c>
    </row>
    <row r="865" spans="1:2" x14ac:dyDescent="0.25">
      <c r="A865">
        <v>106546</v>
      </c>
      <c r="B865">
        <v>725</v>
      </c>
    </row>
    <row r="866" spans="1:2" x14ac:dyDescent="0.25">
      <c r="A866">
        <v>106631</v>
      </c>
      <c r="B866">
        <v>117</v>
      </c>
    </row>
    <row r="867" spans="1:2" x14ac:dyDescent="0.25">
      <c r="A867">
        <v>106697</v>
      </c>
      <c r="B867">
        <v>4369</v>
      </c>
    </row>
    <row r="868" spans="1:2" x14ac:dyDescent="0.25">
      <c r="A868">
        <v>107401</v>
      </c>
      <c r="B868">
        <v>39</v>
      </c>
    </row>
    <row r="869" spans="1:2" x14ac:dyDescent="0.25">
      <c r="A869">
        <v>107483</v>
      </c>
      <c r="B869">
        <v>181</v>
      </c>
    </row>
    <row r="870" spans="1:2" x14ac:dyDescent="0.25">
      <c r="A870">
        <v>107790</v>
      </c>
      <c r="B870">
        <v>172</v>
      </c>
    </row>
    <row r="871" spans="1:2" x14ac:dyDescent="0.25">
      <c r="A871">
        <v>107889</v>
      </c>
      <c r="B871">
        <v>166</v>
      </c>
    </row>
    <row r="872" spans="1:2" x14ac:dyDescent="0.25">
      <c r="A872">
        <v>107909</v>
      </c>
      <c r="B872">
        <v>23</v>
      </c>
    </row>
    <row r="873" spans="1:2" x14ac:dyDescent="0.25">
      <c r="A873">
        <v>107925</v>
      </c>
      <c r="B873">
        <v>700</v>
      </c>
    </row>
    <row r="874" spans="1:2" x14ac:dyDescent="0.25">
      <c r="A874">
        <v>107926</v>
      </c>
      <c r="B874">
        <v>2700</v>
      </c>
    </row>
    <row r="875" spans="1:2" x14ac:dyDescent="0.25">
      <c r="A875">
        <v>108393</v>
      </c>
      <c r="B875">
        <v>53</v>
      </c>
    </row>
    <row r="876" spans="1:2" x14ac:dyDescent="0.25">
      <c r="A876">
        <v>108398</v>
      </c>
      <c r="B876">
        <v>0</v>
      </c>
    </row>
    <row r="877" spans="1:2" x14ac:dyDescent="0.25">
      <c r="A877">
        <v>108440</v>
      </c>
      <c r="B877">
        <v>116</v>
      </c>
    </row>
    <row r="878" spans="1:2" x14ac:dyDescent="0.25">
      <c r="A878">
        <v>108441</v>
      </c>
      <c r="B878">
        <v>79</v>
      </c>
    </row>
    <row r="879" spans="1:2" x14ac:dyDescent="0.25">
      <c r="A879">
        <v>108463</v>
      </c>
      <c r="B879">
        <v>611</v>
      </c>
    </row>
    <row r="880" spans="1:2" x14ac:dyDescent="0.25">
      <c r="A880">
        <v>108697</v>
      </c>
      <c r="B880">
        <v>1</v>
      </c>
    </row>
    <row r="881" spans="1:2" x14ac:dyDescent="0.25">
      <c r="A881">
        <v>108711</v>
      </c>
      <c r="B881">
        <v>1</v>
      </c>
    </row>
    <row r="882" spans="1:2" x14ac:dyDescent="0.25">
      <c r="A882">
        <v>108732</v>
      </c>
      <c r="B882">
        <v>1</v>
      </c>
    </row>
    <row r="883" spans="1:2" x14ac:dyDescent="0.25">
      <c r="A883">
        <v>108734</v>
      </c>
      <c r="B883">
        <v>4</v>
      </c>
    </row>
    <row r="884" spans="1:2" x14ac:dyDescent="0.25">
      <c r="A884">
        <v>108735</v>
      </c>
      <c r="B884">
        <v>1</v>
      </c>
    </row>
    <row r="885" spans="1:2" x14ac:dyDescent="0.25">
      <c r="A885">
        <v>108736</v>
      </c>
      <c r="B885">
        <v>3</v>
      </c>
    </row>
    <row r="886" spans="1:2" x14ac:dyDescent="0.25">
      <c r="A886">
        <v>109163</v>
      </c>
      <c r="B886">
        <v>1528</v>
      </c>
    </row>
    <row r="887" spans="1:2" x14ac:dyDescent="0.25">
      <c r="A887">
        <v>109848</v>
      </c>
      <c r="B887">
        <v>55</v>
      </c>
    </row>
    <row r="888" spans="1:2" x14ac:dyDescent="0.25">
      <c r="A888">
        <v>109944</v>
      </c>
      <c r="B888">
        <v>328</v>
      </c>
    </row>
    <row r="889" spans="1:2" x14ac:dyDescent="0.25">
      <c r="A889">
        <v>110216</v>
      </c>
      <c r="B889">
        <v>64</v>
      </c>
    </row>
    <row r="890" spans="1:2" x14ac:dyDescent="0.25">
      <c r="A890">
        <v>110503</v>
      </c>
      <c r="B890">
        <v>2840</v>
      </c>
    </row>
    <row r="891" spans="1:2" x14ac:dyDescent="0.25">
      <c r="A891">
        <v>110578</v>
      </c>
      <c r="B891">
        <v>2360</v>
      </c>
    </row>
    <row r="892" spans="1:2" x14ac:dyDescent="0.25">
      <c r="A892">
        <v>110702</v>
      </c>
      <c r="B892">
        <v>11</v>
      </c>
    </row>
    <row r="893" spans="1:2" x14ac:dyDescent="0.25">
      <c r="A893">
        <v>110771</v>
      </c>
      <c r="B893">
        <v>68</v>
      </c>
    </row>
    <row r="894" spans="1:2" x14ac:dyDescent="0.25">
      <c r="A894">
        <v>110888</v>
      </c>
      <c r="B894">
        <v>2</v>
      </c>
    </row>
    <row r="895" spans="1:2" x14ac:dyDescent="0.25">
      <c r="A895">
        <v>110889</v>
      </c>
      <c r="B895">
        <v>0</v>
      </c>
    </row>
    <row r="896" spans="1:2" x14ac:dyDescent="0.25">
      <c r="A896">
        <v>110890</v>
      </c>
      <c r="B896">
        <v>0</v>
      </c>
    </row>
    <row r="897" spans="1:2" x14ac:dyDescent="0.25">
      <c r="A897">
        <v>110891</v>
      </c>
      <c r="B897">
        <v>150</v>
      </c>
    </row>
    <row r="898" spans="1:2" x14ac:dyDescent="0.25">
      <c r="A898">
        <v>110892</v>
      </c>
      <c r="B898">
        <v>0</v>
      </c>
    </row>
    <row r="899" spans="1:2" x14ac:dyDescent="0.25">
      <c r="A899">
        <v>110893</v>
      </c>
      <c r="B899">
        <v>0</v>
      </c>
    </row>
    <row r="900" spans="1:2" x14ac:dyDescent="0.25">
      <c r="A900">
        <v>110895</v>
      </c>
      <c r="B900">
        <v>241</v>
      </c>
    </row>
    <row r="901" spans="1:2" x14ac:dyDescent="0.25">
      <c r="A901">
        <v>110896</v>
      </c>
      <c r="B901">
        <v>20</v>
      </c>
    </row>
    <row r="902" spans="1:2" x14ac:dyDescent="0.25">
      <c r="A902">
        <v>111336</v>
      </c>
      <c r="B902">
        <v>290</v>
      </c>
    </row>
    <row r="903" spans="1:2" x14ac:dyDescent="0.25">
      <c r="A903">
        <v>111524</v>
      </c>
      <c r="B903">
        <v>324</v>
      </c>
    </row>
    <row r="904" spans="1:2" x14ac:dyDescent="0.25">
      <c r="A904">
        <v>111756</v>
      </c>
      <c r="B904">
        <v>570</v>
      </c>
    </row>
    <row r="905" spans="1:2" x14ac:dyDescent="0.25">
      <c r="A905">
        <v>111806</v>
      </c>
      <c r="B905">
        <v>104</v>
      </c>
    </row>
    <row r="906" spans="1:2" x14ac:dyDescent="0.25">
      <c r="A906">
        <v>111841</v>
      </c>
      <c r="B906">
        <v>0</v>
      </c>
    </row>
    <row r="907" spans="1:2" x14ac:dyDescent="0.25">
      <c r="A907">
        <v>112064</v>
      </c>
      <c r="B907">
        <v>3</v>
      </c>
    </row>
    <row r="908" spans="1:2" x14ac:dyDescent="0.25">
      <c r="A908">
        <v>112109</v>
      </c>
      <c r="B908">
        <v>14992</v>
      </c>
    </row>
    <row r="909" spans="1:2" x14ac:dyDescent="0.25">
      <c r="A909">
        <v>112154</v>
      </c>
      <c r="B909">
        <v>191</v>
      </c>
    </row>
    <row r="910" spans="1:2" x14ac:dyDescent="0.25">
      <c r="A910">
        <v>112155</v>
      </c>
      <c r="B910">
        <v>76</v>
      </c>
    </row>
    <row r="911" spans="1:2" x14ac:dyDescent="0.25">
      <c r="A911">
        <v>112156</v>
      </c>
      <c r="B911">
        <v>255</v>
      </c>
    </row>
    <row r="912" spans="1:2" x14ac:dyDescent="0.25">
      <c r="A912">
        <v>112157</v>
      </c>
      <c r="B912">
        <v>1</v>
      </c>
    </row>
    <row r="913" spans="1:2" x14ac:dyDescent="0.25">
      <c r="A913">
        <v>112158</v>
      </c>
      <c r="B913">
        <v>119</v>
      </c>
    </row>
    <row r="914" spans="1:2" x14ac:dyDescent="0.25">
      <c r="A914">
        <v>112159</v>
      </c>
      <c r="B914">
        <v>24</v>
      </c>
    </row>
    <row r="915" spans="1:2" x14ac:dyDescent="0.25">
      <c r="A915">
        <v>112160</v>
      </c>
      <c r="B915">
        <v>0</v>
      </c>
    </row>
    <row r="916" spans="1:2" x14ac:dyDescent="0.25">
      <c r="A916">
        <v>112162</v>
      </c>
      <c r="B916">
        <v>173</v>
      </c>
    </row>
    <row r="917" spans="1:2" x14ac:dyDescent="0.25">
      <c r="A917">
        <v>112163</v>
      </c>
      <c r="B917">
        <v>286</v>
      </c>
    </row>
    <row r="918" spans="1:2" x14ac:dyDescent="0.25">
      <c r="A918">
        <v>112164</v>
      </c>
      <c r="B918">
        <v>36</v>
      </c>
    </row>
    <row r="919" spans="1:2" x14ac:dyDescent="0.25">
      <c r="A919">
        <v>112494</v>
      </c>
      <c r="B919">
        <v>20</v>
      </c>
    </row>
    <row r="920" spans="1:2" x14ac:dyDescent="0.25">
      <c r="A920">
        <v>112965</v>
      </c>
      <c r="B920">
        <v>250</v>
      </c>
    </row>
    <row r="921" spans="1:2" x14ac:dyDescent="0.25">
      <c r="A921">
        <v>113180</v>
      </c>
      <c r="B921">
        <v>253</v>
      </c>
    </row>
    <row r="922" spans="1:2" x14ac:dyDescent="0.25">
      <c r="A922">
        <v>113207</v>
      </c>
      <c r="B922">
        <v>667</v>
      </c>
    </row>
    <row r="923" spans="1:2" x14ac:dyDescent="0.25">
      <c r="A923">
        <v>113238</v>
      </c>
      <c r="B923">
        <v>2</v>
      </c>
    </row>
    <row r="924" spans="1:2" x14ac:dyDescent="0.25">
      <c r="A924">
        <v>113242</v>
      </c>
      <c r="B924">
        <v>12</v>
      </c>
    </row>
    <row r="925" spans="1:2" x14ac:dyDescent="0.25">
      <c r="A925">
        <v>113581</v>
      </c>
      <c r="B925">
        <v>57</v>
      </c>
    </row>
    <row r="926" spans="1:2" x14ac:dyDescent="0.25">
      <c r="A926">
        <v>113611</v>
      </c>
      <c r="B926">
        <v>272</v>
      </c>
    </row>
    <row r="927" spans="1:2" x14ac:dyDescent="0.25">
      <c r="A927">
        <v>113634</v>
      </c>
      <c r="B927">
        <v>3</v>
      </c>
    </row>
    <row r="928" spans="1:2" x14ac:dyDescent="0.25">
      <c r="A928">
        <v>113846</v>
      </c>
      <c r="B928">
        <v>853</v>
      </c>
    </row>
    <row r="929" spans="1:2" x14ac:dyDescent="0.25">
      <c r="A929">
        <v>114255</v>
      </c>
      <c r="B929">
        <v>314</v>
      </c>
    </row>
    <row r="930" spans="1:2" x14ac:dyDescent="0.25">
      <c r="A930">
        <v>114297</v>
      </c>
      <c r="B930">
        <v>60</v>
      </c>
    </row>
    <row r="931" spans="1:2" x14ac:dyDescent="0.25">
      <c r="A931">
        <v>114299</v>
      </c>
      <c r="B931">
        <v>0</v>
      </c>
    </row>
    <row r="932" spans="1:2" x14ac:dyDescent="0.25">
      <c r="A932">
        <v>114430</v>
      </c>
      <c r="B932">
        <v>259</v>
      </c>
    </row>
    <row r="933" spans="1:2" x14ac:dyDescent="0.25">
      <c r="A933">
        <v>114771</v>
      </c>
      <c r="B933">
        <v>0</v>
      </c>
    </row>
    <row r="934" spans="1:2" x14ac:dyDescent="0.25">
      <c r="A934">
        <v>114772</v>
      </c>
      <c r="B934">
        <v>2</v>
      </c>
    </row>
    <row r="935" spans="1:2" x14ac:dyDescent="0.25">
      <c r="A935">
        <v>114773</v>
      </c>
      <c r="B935">
        <v>2</v>
      </c>
    </row>
    <row r="936" spans="1:2" x14ac:dyDescent="0.25">
      <c r="A936">
        <v>114822</v>
      </c>
      <c r="B936">
        <v>11</v>
      </c>
    </row>
    <row r="937" spans="1:2" x14ac:dyDescent="0.25">
      <c r="A937">
        <v>114852</v>
      </c>
      <c r="B937">
        <v>2</v>
      </c>
    </row>
    <row r="938" spans="1:2" x14ac:dyDescent="0.25">
      <c r="A938">
        <v>114853</v>
      </c>
      <c r="B938">
        <v>16</v>
      </c>
    </row>
    <row r="939" spans="1:2" x14ac:dyDescent="0.25">
      <c r="A939">
        <v>114923</v>
      </c>
      <c r="B939">
        <v>1630</v>
      </c>
    </row>
    <row r="940" spans="1:2" x14ac:dyDescent="0.25">
      <c r="A940">
        <v>114928</v>
      </c>
      <c r="B940">
        <v>200</v>
      </c>
    </row>
    <row r="941" spans="1:2" x14ac:dyDescent="0.25">
      <c r="A941">
        <v>114976</v>
      </c>
      <c r="B941">
        <v>40</v>
      </c>
    </row>
    <row r="942" spans="1:2" x14ac:dyDescent="0.25">
      <c r="A942">
        <v>115060</v>
      </c>
      <c r="B942">
        <v>10</v>
      </c>
    </row>
    <row r="943" spans="1:2" x14ac:dyDescent="0.25">
      <c r="A943">
        <v>115135</v>
      </c>
      <c r="B943">
        <v>0</v>
      </c>
    </row>
    <row r="944" spans="1:2" x14ac:dyDescent="0.25">
      <c r="A944">
        <v>115146</v>
      </c>
      <c r="B944">
        <v>0</v>
      </c>
    </row>
    <row r="945" spans="1:2" x14ac:dyDescent="0.25">
      <c r="A945">
        <v>115149</v>
      </c>
      <c r="B945">
        <v>45</v>
      </c>
    </row>
    <row r="946" spans="1:2" x14ac:dyDescent="0.25">
      <c r="A946">
        <v>115151</v>
      </c>
      <c r="B946">
        <v>0</v>
      </c>
    </row>
    <row r="947" spans="1:2" x14ac:dyDescent="0.25">
      <c r="A947">
        <v>115154</v>
      </c>
      <c r="B947">
        <v>10</v>
      </c>
    </row>
    <row r="948" spans="1:2" x14ac:dyDescent="0.25">
      <c r="A948">
        <v>115282</v>
      </c>
      <c r="B948">
        <v>262</v>
      </c>
    </row>
    <row r="949" spans="1:2" x14ac:dyDescent="0.25">
      <c r="A949">
        <v>115781</v>
      </c>
      <c r="B949">
        <v>26</v>
      </c>
    </row>
    <row r="950" spans="1:2" x14ac:dyDescent="0.25">
      <c r="A950">
        <v>115807</v>
      </c>
      <c r="B950">
        <v>197</v>
      </c>
    </row>
    <row r="951" spans="1:2" x14ac:dyDescent="0.25">
      <c r="A951">
        <v>115840</v>
      </c>
      <c r="B951">
        <v>14</v>
      </c>
    </row>
    <row r="952" spans="1:2" x14ac:dyDescent="0.25">
      <c r="A952">
        <v>115841</v>
      </c>
      <c r="B952">
        <v>10</v>
      </c>
    </row>
    <row r="953" spans="1:2" x14ac:dyDescent="0.25">
      <c r="A953">
        <v>116466</v>
      </c>
      <c r="B953">
        <v>4255</v>
      </c>
    </row>
    <row r="954" spans="1:2" x14ac:dyDescent="0.25">
      <c r="A954">
        <v>116751</v>
      </c>
      <c r="B954">
        <v>188</v>
      </c>
    </row>
    <row r="955" spans="1:2" x14ac:dyDescent="0.25">
      <c r="A955">
        <v>116754</v>
      </c>
      <c r="B955">
        <v>0</v>
      </c>
    </row>
    <row r="956" spans="1:2" x14ac:dyDescent="0.25">
      <c r="A956">
        <v>116771</v>
      </c>
      <c r="B956">
        <v>52</v>
      </c>
    </row>
    <row r="957" spans="1:2" x14ac:dyDescent="0.25">
      <c r="A957">
        <v>116874</v>
      </c>
      <c r="B957">
        <v>1169</v>
      </c>
    </row>
    <row r="958" spans="1:2" x14ac:dyDescent="0.25">
      <c r="A958">
        <v>117734</v>
      </c>
      <c r="B958">
        <v>8</v>
      </c>
    </row>
    <row r="959" spans="1:2" x14ac:dyDescent="0.25">
      <c r="A959">
        <v>118243</v>
      </c>
      <c r="B959">
        <v>0</v>
      </c>
    </row>
    <row r="960" spans="1:2" x14ac:dyDescent="0.25">
      <c r="A960">
        <v>118244</v>
      </c>
      <c r="B960">
        <v>2</v>
      </c>
    </row>
    <row r="961" spans="1:2" x14ac:dyDescent="0.25">
      <c r="A961">
        <v>118245</v>
      </c>
      <c r="B961">
        <v>30</v>
      </c>
    </row>
    <row r="962" spans="1:2" x14ac:dyDescent="0.25">
      <c r="A962">
        <v>118246</v>
      </c>
      <c r="B962">
        <v>0</v>
      </c>
    </row>
    <row r="963" spans="1:2" x14ac:dyDescent="0.25">
      <c r="A963">
        <v>118248</v>
      </c>
      <c r="B963">
        <v>979</v>
      </c>
    </row>
    <row r="964" spans="1:2" x14ac:dyDescent="0.25">
      <c r="A964">
        <v>118427</v>
      </c>
      <c r="B964">
        <v>2402</v>
      </c>
    </row>
    <row r="965" spans="1:2" x14ac:dyDescent="0.25">
      <c r="A965">
        <v>118515</v>
      </c>
      <c r="B965">
        <v>153</v>
      </c>
    </row>
    <row r="966" spans="1:2" x14ac:dyDescent="0.25">
      <c r="A966">
        <v>118577</v>
      </c>
      <c r="B966">
        <v>421</v>
      </c>
    </row>
    <row r="967" spans="1:2" x14ac:dyDescent="0.25">
      <c r="A967">
        <v>118578</v>
      </c>
      <c r="B967">
        <v>39</v>
      </c>
    </row>
    <row r="968" spans="1:2" x14ac:dyDescent="0.25">
      <c r="A968">
        <v>118580</v>
      </c>
      <c r="B968">
        <v>16</v>
      </c>
    </row>
    <row r="969" spans="1:2" x14ac:dyDescent="0.25">
      <c r="A969">
        <v>118660</v>
      </c>
      <c r="B969">
        <v>938</v>
      </c>
    </row>
    <row r="970" spans="1:2" x14ac:dyDescent="0.25">
      <c r="A970">
        <v>118779</v>
      </c>
      <c r="B970">
        <v>0</v>
      </c>
    </row>
    <row r="971" spans="1:2" x14ac:dyDescent="0.25">
      <c r="A971">
        <v>118843</v>
      </c>
      <c r="B971">
        <v>242</v>
      </c>
    </row>
    <row r="972" spans="1:2" x14ac:dyDescent="0.25">
      <c r="A972">
        <v>118864</v>
      </c>
      <c r="B972">
        <v>610</v>
      </c>
    </row>
    <row r="973" spans="1:2" x14ac:dyDescent="0.25">
      <c r="A973">
        <v>118865</v>
      </c>
      <c r="B973">
        <v>710</v>
      </c>
    </row>
    <row r="974" spans="1:2" x14ac:dyDescent="0.25">
      <c r="A974">
        <v>118993</v>
      </c>
      <c r="B974">
        <v>38</v>
      </c>
    </row>
    <row r="975" spans="1:2" x14ac:dyDescent="0.25">
      <c r="A975">
        <v>118994</v>
      </c>
      <c r="B975">
        <v>199</v>
      </c>
    </row>
    <row r="976" spans="1:2" x14ac:dyDescent="0.25">
      <c r="A976">
        <v>119008</v>
      </c>
      <c r="B976">
        <v>0</v>
      </c>
    </row>
    <row r="977" spans="1:2" x14ac:dyDescent="0.25">
      <c r="A977">
        <v>119087</v>
      </c>
      <c r="B977">
        <v>7</v>
      </c>
    </row>
    <row r="978" spans="1:2" x14ac:dyDescent="0.25">
      <c r="A978">
        <v>119180</v>
      </c>
      <c r="B978">
        <v>5</v>
      </c>
    </row>
    <row r="979" spans="1:2" x14ac:dyDescent="0.25">
      <c r="A979">
        <v>119181</v>
      </c>
      <c r="B979">
        <v>151</v>
      </c>
    </row>
    <row r="980" spans="1:2" x14ac:dyDescent="0.25">
      <c r="A980">
        <v>119183</v>
      </c>
      <c r="B980">
        <v>32</v>
      </c>
    </row>
    <row r="981" spans="1:2" x14ac:dyDescent="0.25">
      <c r="A981">
        <v>119318</v>
      </c>
      <c r="B981">
        <v>53</v>
      </c>
    </row>
    <row r="982" spans="1:2" x14ac:dyDescent="0.25">
      <c r="A982">
        <v>119407</v>
      </c>
      <c r="B982">
        <v>2828</v>
      </c>
    </row>
    <row r="983" spans="1:2" x14ac:dyDescent="0.25">
      <c r="A983">
        <v>119514</v>
      </c>
      <c r="B983">
        <v>110</v>
      </c>
    </row>
    <row r="984" spans="1:2" x14ac:dyDescent="0.25">
      <c r="A984">
        <v>119554</v>
      </c>
      <c r="B984">
        <v>70</v>
      </c>
    </row>
    <row r="985" spans="1:2" x14ac:dyDescent="0.25">
      <c r="A985">
        <v>119595</v>
      </c>
      <c r="B985">
        <v>1554</v>
      </c>
    </row>
    <row r="986" spans="1:2" x14ac:dyDescent="0.25">
      <c r="A986">
        <v>119621</v>
      </c>
      <c r="B986">
        <v>760</v>
      </c>
    </row>
    <row r="987" spans="1:2" x14ac:dyDescent="0.25">
      <c r="A987">
        <v>119626</v>
      </c>
      <c r="B987">
        <v>132</v>
      </c>
    </row>
    <row r="988" spans="1:2" x14ac:dyDescent="0.25">
      <c r="A988">
        <v>119627</v>
      </c>
      <c r="B988">
        <v>925</v>
      </c>
    </row>
    <row r="989" spans="1:2" x14ac:dyDescent="0.25">
      <c r="A989">
        <v>119628</v>
      </c>
      <c r="B989">
        <v>231</v>
      </c>
    </row>
    <row r="990" spans="1:2" x14ac:dyDescent="0.25">
      <c r="A990">
        <v>119794</v>
      </c>
      <c r="B990">
        <v>294</v>
      </c>
    </row>
    <row r="991" spans="1:2" x14ac:dyDescent="0.25">
      <c r="A991">
        <v>119795</v>
      </c>
      <c r="B991">
        <v>253</v>
      </c>
    </row>
    <row r="992" spans="1:2" x14ac:dyDescent="0.25">
      <c r="A992">
        <v>119796</v>
      </c>
      <c r="B992">
        <v>199.8</v>
      </c>
    </row>
    <row r="993" spans="1:2" x14ac:dyDescent="0.25">
      <c r="A993">
        <v>119798</v>
      </c>
      <c r="B993">
        <v>30</v>
      </c>
    </row>
    <row r="994" spans="1:2" x14ac:dyDescent="0.25">
      <c r="A994">
        <v>119810</v>
      </c>
      <c r="B994">
        <v>121</v>
      </c>
    </row>
    <row r="995" spans="1:2" x14ac:dyDescent="0.25">
      <c r="A995">
        <v>119811</v>
      </c>
      <c r="B995">
        <v>490</v>
      </c>
    </row>
    <row r="996" spans="1:2" x14ac:dyDescent="0.25">
      <c r="A996">
        <v>120477</v>
      </c>
      <c r="B996">
        <v>74</v>
      </c>
    </row>
    <row r="997" spans="1:2" x14ac:dyDescent="0.25">
      <c r="A997">
        <v>120615</v>
      </c>
      <c r="B997">
        <v>50</v>
      </c>
    </row>
    <row r="998" spans="1:2" x14ac:dyDescent="0.25">
      <c r="A998">
        <v>120995</v>
      </c>
      <c r="B998">
        <v>35</v>
      </c>
    </row>
    <row r="999" spans="1:2" x14ac:dyDescent="0.25">
      <c r="A999">
        <v>121054</v>
      </c>
      <c r="B999">
        <v>132</v>
      </c>
    </row>
    <row r="1000" spans="1:2" x14ac:dyDescent="0.25">
      <c r="A1000">
        <v>121086</v>
      </c>
      <c r="B1000">
        <v>5</v>
      </c>
    </row>
    <row r="1001" spans="1:2" x14ac:dyDescent="0.25">
      <c r="A1001">
        <v>121126</v>
      </c>
      <c r="B1001">
        <v>21697</v>
      </c>
    </row>
    <row r="1002" spans="1:2" x14ac:dyDescent="0.25">
      <c r="A1002">
        <v>121214</v>
      </c>
      <c r="B1002">
        <v>135</v>
      </c>
    </row>
    <row r="1003" spans="1:2" x14ac:dyDescent="0.25">
      <c r="A1003">
        <v>121292</v>
      </c>
      <c r="B1003">
        <v>64</v>
      </c>
    </row>
    <row r="1004" spans="1:2" x14ac:dyDescent="0.25">
      <c r="A1004">
        <v>122153</v>
      </c>
      <c r="B1004">
        <v>0</v>
      </c>
    </row>
    <row r="1005" spans="1:2" x14ac:dyDescent="0.25">
      <c r="A1005">
        <v>122154</v>
      </c>
      <c r="B1005">
        <v>42</v>
      </c>
    </row>
    <row r="1006" spans="1:2" x14ac:dyDescent="0.25">
      <c r="A1006">
        <v>122304</v>
      </c>
      <c r="B1006">
        <v>525</v>
      </c>
    </row>
    <row r="1007" spans="1:2" x14ac:dyDescent="0.25">
      <c r="A1007">
        <v>122305</v>
      </c>
      <c r="B1007">
        <v>707</v>
      </c>
    </row>
    <row r="1008" spans="1:2" x14ac:dyDescent="0.25">
      <c r="A1008">
        <v>122818</v>
      </c>
      <c r="B1008">
        <v>294</v>
      </c>
    </row>
    <row r="1009" spans="1:2" x14ac:dyDescent="0.25">
      <c r="A1009">
        <v>123131</v>
      </c>
      <c r="B1009">
        <v>30</v>
      </c>
    </row>
    <row r="1010" spans="1:2" x14ac:dyDescent="0.25">
      <c r="A1010">
        <v>123132</v>
      </c>
      <c r="B1010">
        <v>102</v>
      </c>
    </row>
    <row r="1011" spans="1:2" x14ac:dyDescent="0.25">
      <c r="A1011">
        <v>123133</v>
      </c>
      <c r="B1011">
        <v>56</v>
      </c>
    </row>
    <row r="1012" spans="1:2" x14ac:dyDescent="0.25">
      <c r="A1012">
        <v>123146</v>
      </c>
      <c r="B1012">
        <v>2453</v>
      </c>
    </row>
    <row r="1013" spans="1:2" x14ac:dyDescent="0.25">
      <c r="A1013">
        <v>123241</v>
      </c>
      <c r="B1013">
        <v>0</v>
      </c>
    </row>
    <row r="1014" spans="1:2" x14ac:dyDescent="0.25">
      <c r="A1014">
        <v>123347</v>
      </c>
      <c r="B1014">
        <v>0</v>
      </c>
    </row>
    <row r="1015" spans="1:2" x14ac:dyDescent="0.25">
      <c r="A1015">
        <v>123348</v>
      </c>
      <c r="B1015">
        <v>0</v>
      </c>
    </row>
    <row r="1016" spans="1:2" x14ac:dyDescent="0.25">
      <c r="A1016">
        <v>123350</v>
      </c>
      <c r="B1016">
        <v>0</v>
      </c>
    </row>
    <row r="1017" spans="1:2" x14ac:dyDescent="0.25">
      <c r="A1017">
        <v>123351</v>
      </c>
      <c r="B1017">
        <v>0</v>
      </c>
    </row>
    <row r="1018" spans="1:2" x14ac:dyDescent="0.25">
      <c r="A1018">
        <v>123352</v>
      </c>
      <c r="B1018">
        <v>0</v>
      </c>
    </row>
    <row r="1019" spans="1:2" x14ac:dyDescent="0.25">
      <c r="A1019">
        <v>123353</v>
      </c>
      <c r="B1019">
        <v>0</v>
      </c>
    </row>
    <row r="1020" spans="1:2" x14ac:dyDescent="0.25">
      <c r="A1020">
        <v>123370</v>
      </c>
      <c r="B1020">
        <v>0</v>
      </c>
    </row>
    <row r="1021" spans="1:2" x14ac:dyDescent="0.25">
      <c r="A1021">
        <v>123371</v>
      </c>
      <c r="B1021">
        <v>420</v>
      </c>
    </row>
    <row r="1022" spans="1:2" x14ac:dyDescent="0.25">
      <c r="A1022">
        <v>123372</v>
      </c>
      <c r="B1022">
        <v>118</v>
      </c>
    </row>
    <row r="1023" spans="1:2" x14ac:dyDescent="0.25">
      <c r="A1023">
        <v>123373</v>
      </c>
      <c r="B1023">
        <v>667</v>
      </c>
    </row>
    <row r="1024" spans="1:2" x14ac:dyDescent="0.25">
      <c r="A1024">
        <v>123618</v>
      </c>
      <c r="B1024">
        <v>0</v>
      </c>
    </row>
    <row r="1025" spans="1:2" x14ac:dyDescent="0.25">
      <c r="A1025">
        <v>123710</v>
      </c>
      <c r="B1025">
        <v>46</v>
      </c>
    </row>
    <row r="1026" spans="1:2" x14ac:dyDescent="0.25">
      <c r="A1026">
        <v>124241</v>
      </c>
      <c r="B1026">
        <v>107</v>
      </c>
    </row>
    <row r="1027" spans="1:2" x14ac:dyDescent="0.25">
      <c r="A1027">
        <v>124261</v>
      </c>
      <c r="B1027">
        <v>9554</v>
      </c>
    </row>
    <row r="1028" spans="1:2" x14ac:dyDescent="0.25">
      <c r="A1028">
        <v>124335</v>
      </c>
      <c r="B1028">
        <v>83</v>
      </c>
    </row>
    <row r="1029" spans="1:2" x14ac:dyDescent="0.25">
      <c r="A1029">
        <v>124963</v>
      </c>
      <c r="B1029">
        <v>44</v>
      </c>
    </row>
    <row r="1030" spans="1:2" x14ac:dyDescent="0.25">
      <c r="A1030">
        <v>124980</v>
      </c>
      <c r="B1030">
        <v>100</v>
      </c>
    </row>
    <row r="1031" spans="1:2" x14ac:dyDescent="0.25">
      <c r="A1031">
        <v>125173</v>
      </c>
      <c r="B1031">
        <v>79</v>
      </c>
    </row>
    <row r="1032" spans="1:2" x14ac:dyDescent="0.25">
      <c r="A1032">
        <v>125201</v>
      </c>
      <c r="B1032">
        <v>75</v>
      </c>
    </row>
    <row r="1033" spans="1:2" x14ac:dyDescent="0.25">
      <c r="A1033">
        <v>125260</v>
      </c>
      <c r="B1033">
        <v>316</v>
      </c>
    </row>
    <row r="1034" spans="1:2" x14ac:dyDescent="0.25">
      <c r="A1034">
        <v>125262</v>
      </c>
      <c r="B1034">
        <v>404</v>
      </c>
    </row>
    <row r="1035" spans="1:2" x14ac:dyDescent="0.25">
      <c r="A1035">
        <v>125269</v>
      </c>
      <c r="B1035">
        <v>300</v>
      </c>
    </row>
    <row r="1036" spans="1:2" x14ac:dyDescent="0.25">
      <c r="A1036">
        <v>125443</v>
      </c>
      <c r="B1036">
        <v>66</v>
      </c>
    </row>
    <row r="1037" spans="1:2" x14ac:dyDescent="0.25">
      <c r="A1037">
        <v>125576</v>
      </c>
      <c r="B1037">
        <v>0</v>
      </c>
    </row>
    <row r="1038" spans="1:2" x14ac:dyDescent="0.25">
      <c r="A1038">
        <v>125641</v>
      </c>
      <c r="B1038">
        <v>75730</v>
      </c>
    </row>
    <row r="1039" spans="1:2" x14ac:dyDescent="0.25">
      <c r="A1039">
        <v>126044</v>
      </c>
      <c r="B1039">
        <v>58</v>
      </c>
    </row>
    <row r="1040" spans="1:2" x14ac:dyDescent="0.25">
      <c r="A1040">
        <v>126059</v>
      </c>
      <c r="B1040">
        <v>516</v>
      </c>
    </row>
    <row r="1041" spans="1:2" x14ac:dyDescent="0.25">
      <c r="A1041">
        <v>126060</v>
      </c>
      <c r="B1041">
        <v>43</v>
      </c>
    </row>
    <row r="1042" spans="1:2" x14ac:dyDescent="0.25">
      <c r="A1042">
        <v>126076</v>
      </c>
      <c r="B1042">
        <v>212</v>
      </c>
    </row>
    <row r="1043" spans="1:2" x14ac:dyDescent="0.25">
      <c r="A1043">
        <v>126078</v>
      </c>
      <c r="B1043">
        <v>70</v>
      </c>
    </row>
    <row r="1044" spans="1:2" x14ac:dyDescent="0.25">
      <c r="A1044">
        <v>126080</v>
      </c>
      <c r="B1044">
        <v>33</v>
      </c>
    </row>
    <row r="1045" spans="1:2" x14ac:dyDescent="0.25">
      <c r="A1045">
        <v>126127</v>
      </c>
      <c r="B1045">
        <v>26</v>
      </c>
    </row>
    <row r="1046" spans="1:2" x14ac:dyDescent="0.25">
      <c r="A1046">
        <v>126344</v>
      </c>
      <c r="B1046">
        <v>459</v>
      </c>
    </row>
    <row r="1047" spans="1:2" x14ac:dyDescent="0.25">
      <c r="A1047">
        <v>126345</v>
      </c>
      <c r="B1047">
        <v>15</v>
      </c>
    </row>
    <row r="1048" spans="1:2" x14ac:dyDescent="0.25">
      <c r="A1048">
        <v>126837</v>
      </c>
      <c r="B1048">
        <v>2200</v>
      </c>
    </row>
    <row r="1049" spans="1:2" x14ac:dyDescent="0.25">
      <c r="A1049">
        <v>126838</v>
      </c>
      <c r="B1049">
        <v>80</v>
      </c>
    </row>
    <row r="1050" spans="1:2" x14ac:dyDescent="0.25">
      <c r="A1050">
        <v>127106</v>
      </c>
      <c r="B1050">
        <v>0</v>
      </c>
    </row>
    <row r="1051" spans="1:2" x14ac:dyDescent="0.25">
      <c r="A1051">
        <v>127107</v>
      </c>
      <c r="B1051">
        <v>0</v>
      </c>
    </row>
    <row r="1052" spans="1:2" x14ac:dyDescent="0.25">
      <c r="A1052">
        <v>127331</v>
      </c>
      <c r="B1052">
        <v>4505</v>
      </c>
    </row>
    <row r="1053" spans="1:2" x14ac:dyDescent="0.25">
      <c r="A1053">
        <v>127384</v>
      </c>
      <c r="B1053">
        <v>55</v>
      </c>
    </row>
    <row r="1054" spans="1:2" x14ac:dyDescent="0.25">
      <c r="A1054">
        <v>127664</v>
      </c>
      <c r="B1054">
        <v>291</v>
      </c>
    </row>
    <row r="1055" spans="1:2" x14ac:dyDescent="0.25">
      <c r="A1055">
        <v>127963</v>
      </c>
      <c r="B1055">
        <v>0</v>
      </c>
    </row>
    <row r="1056" spans="1:2" x14ac:dyDescent="0.25">
      <c r="A1056">
        <v>128229</v>
      </c>
      <c r="B1056">
        <v>5</v>
      </c>
    </row>
    <row r="1057" spans="1:2" x14ac:dyDescent="0.25">
      <c r="A1057">
        <v>128287</v>
      </c>
      <c r="B1057">
        <v>540</v>
      </c>
    </row>
    <row r="1058" spans="1:2" x14ac:dyDescent="0.25">
      <c r="A1058">
        <v>128288</v>
      </c>
      <c r="B1058">
        <v>26</v>
      </c>
    </row>
    <row r="1059" spans="1:2" x14ac:dyDescent="0.25">
      <c r="A1059">
        <v>128301</v>
      </c>
      <c r="B1059">
        <v>3</v>
      </c>
    </row>
    <row r="1060" spans="1:2" x14ac:dyDescent="0.25">
      <c r="A1060">
        <v>128302</v>
      </c>
      <c r="B1060">
        <v>3</v>
      </c>
    </row>
    <row r="1061" spans="1:2" x14ac:dyDescent="0.25">
      <c r="A1061">
        <v>128304</v>
      </c>
      <c r="B1061">
        <v>5</v>
      </c>
    </row>
    <row r="1062" spans="1:2" x14ac:dyDescent="0.25">
      <c r="A1062">
        <v>128305</v>
      </c>
      <c r="B1062">
        <v>2</v>
      </c>
    </row>
    <row r="1063" spans="1:2" x14ac:dyDescent="0.25">
      <c r="A1063">
        <v>128306</v>
      </c>
      <c r="B1063">
        <v>6</v>
      </c>
    </row>
    <row r="1064" spans="1:2" x14ac:dyDescent="0.25">
      <c r="A1064">
        <v>128307</v>
      </c>
      <c r="B1064">
        <v>3</v>
      </c>
    </row>
    <row r="1065" spans="1:2" x14ac:dyDescent="0.25">
      <c r="A1065">
        <v>128308</v>
      </c>
      <c r="B1065">
        <v>0</v>
      </c>
    </row>
    <row r="1066" spans="1:2" x14ac:dyDescent="0.25">
      <c r="A1066">
        <v>128309</v>
      </c>
      <c r="B1066">
        <v>2</v>
      </c>
    </row>
    <row r="1067" spans="1:2" x14ac:dyDescent="0.25">
      <c r="A1067">
        <v>128389</v>
      </c>
      <c r="B1067">
        <v>2</v>
      </c>
    </row>
    <row r="1068" spans="1:2" x14ac:dyDescent="0.25">
      <c r="A1068">
        <v>128392</v>
      </c>
      <c r="B1068">
        <v>68</v>
      </c>
    </row>
    <row r="1069" spans="1:2" x14ac:dyDescent="0.25">
      <c r="A1069">
        <v>128458</v>
      </c>
      <c r="B1069">
        <v>0</v>
      </c>
    </row>
    <row r="1070" spans="1:2" x14ac:dyDescent="0.25">
      <c r="A1070">
        <v>128782</v>
      </c>
      <c r="B1070">
        <v>64</v>
      </c>
    </row>
    <row r="1071" spans="1:2" x14ac:dyDescent="0.25">
      <c r="A1071">
        <v>128815</v>
      </c>
      <c r="B1071">
        <v>1768</v>
      </c>
    </row>
    <row r="1072" spans="1:2" x14ac:dyDescent="0.25">
      <c r="A1072">
        <v>128816</v>
      </c>
      <c r="B1072">
        <v>22</v>
      </c>
    </row>
    <row r="1073" spans="1:2" x14ac:dyDescent="0.25">
      <c r="A1073">
        <v>128817</v>
      </c>
      <c r="B1073">
        <v>6</v>
      </c>
    </row>
    <row r="1074" spans="1:2" x14ac:dyDescent="0.25">
      <c r="A1074">
        <v>128818</v>
      </c>
      <c r="B1074">
        <v>1222</v>
      </c>
    </row>
    <row r="1075" spans="1:2" x14ac:dyDescent="0.25">
      <c r="A1075">
        <v>128819</v>
      </c>
      <c r="B1075">
        <v>40</v>
      </c>
    </row>
    <row r="1076" spans="1:2" x14ac:dyDescent="0.25">
      <c r="A1076">
        <v>128832</v>
      </c>
      <c r="B1076">
        <v>0</v>
      </c>
    </row>
    <row r="1077" spans="1:2" x14ac:dyDescent="0.25">
      <c r="A1077">
        <v>129959</v>
      </c>
      <c r="B1077">
        <v>90</v>
      </c>
    </row>
    <row r="1078" spans="1:2" x14ac:dyDescent="0.25">
      <c r="A1078">
        <v>129960</v>
      </c>
      <c r="B1078">
        <v>0</v>
      </c>
    </row>
    <row r="1079" spans="1:2" x14ac:dyDescent="0.25">
      <c r="A1079">
        <v>129961</v>
      </c>
      <c r="B1079">
        <v>0</v>
      </c>
    </row>
    <row r="1080" spans="1:2" x14ac:dyDescent="0.25">
      <c r="A1080">
        <v>129962</v>
      </c>
      <c r="B1080">
        <v>0</v>
      </c>
    </row>
    <row r="1081" spans="1:2" x14ac:dyDescent="0.25">
      <c r="A1081">
        <v>129979</v>
      </c>
      <c r="B1081">
        <v>2</v>
      </c>
    </row>
    <row r="1082" spans="1:2" x14ac:dyDescent="0.25">
      <c r="A1082">
        <v>129991</v>
      </c>
      <c r="B1082">
        <v>1548</v>
      </c>
    </row>
    <row r="1083" spans="1:2" x14ac:dyDescent="0.25">
      <c r="A1083">
        <v>130024</v>
      </c>
      <c r="B1083">
        <v>2401</v>
      </c>
    </row>
    <row r="1084" spans="1:2" x14ac:dyDescent="0.25">
      <c r="A1084">
        <v>130157</v>
      </c>
      <c r="B1084">
        <v>300</v>
      </c>
    </row>
    <row r="1085" spans="1:2" x14ac:dyDescent="0.25">
      <c r="A1085">
        <v>130564</v>
      </c>
      <c r="B1085">
        <v>1</v>
      </c>
    </row>
    <row r="1086" spans="1:2" x14ac:dyDescent="0.25">
      <c r="A1086">
        <v>130614</v>
      </c>
      <c r="B1086">
        <v>461</v>
      </c>
    </row>
    <row r="1087" spans="1:2" x14ac:dyDescent="0.25">
      <c r="A1087">
        <v>130618</v>
      </c>
      <c r="B1087">
        <v>20</v>
      </c>
    </row>
    <row r="1088" spans="1:2" x14ac:dyDescent="0.25">
      <c r="A1088">
        <v>130624</v>
      </c>
      <c r="B1088">
        <v>9885</v>
      </c>
    </row>
    <row r="1089" spans="1:2" x14ac:dyDescent="0.25">
      <c r="A1089">
        <v>130632</v>
      </c>
      <c r="B1089">
        <v>16</v>
      </c>
    </row>
    <row r="1090" spans="1:2" x14ac:dyDescent="0.25">
      <c r="A1090">
        <v>130634</v>
      </c>
      <c r="B1090">
        <v>866</v>
      </c>
    </row>
    <row r="1091" spans="1:2" x14ac:dyDescent="0.25">
      <c r="A1091">
        <v>130695</v>
      </c>
      <c r="B1091">
        <v>7816</v>
      </c>
    </row>
    <row r="1092" spans="1:2" x14ac:dyDescent="0.25">
      <c r="A1092">
        <v>130740</v>
      </c>
      <c r="B1092">
        <v>24</v>
      </c>
    </row>
    <row r="1093" spans="1:2" x14ac:dyDescent="0.25">
      <c r="A1093">
        <v>131138</v>
      </c>
      <c r="B1093">
        <v>0</v>
      </c>
    </row>
    <row r="1094" spans="1:2" x14ac:dyDescent="0.25">
      <c r="A1094">
        <v>131221</v>
      </c>
      <c r="B1094">
        <v>1</v>
      </c>
    </row>
    <row r="1095" spans="1:2" x14ac:dyDescent="0.25">
      <c r="A1095">
        <v>131344</v>
      </c>
      <c r="B1095">
        <v>67</v>
      </c>
    </row>
    <row r="1096" spans="1:2" x14ac:dyDescent="0.25">
      <c r="A1096">
        <v>131482</v>
      </c>
      <c r="B1096">
        <v>198</v>
      </c>
    </row>
    <row r="1097" spans="1:2" x14ac:dyDescent="0.25">
      <c r="A1097">
        <v>131579</v>
      </c>
      <c r="B1097">
        <v>1</v>
      </c>
    </row>
    <row r="1098" spans="1:2" x14ac:dyDescent="0.25">
      <c r="A1098">
        <v>131917</v>
      </c>
      <c r="B1098">
        <v>7929</v>
      </c>
    </row>
    <row r="1099" spans="1:2" x14ac:dyDescent="0.25">
      <c r="A1099">
        <v>131926</v>
      </c>
      <c r="B1099">
        <v>3376</v>
      </c>
    </row>
    <row r="1100" spans="1:2" x14ac:dyDescent="0.25">
      <c r="A1100">
        <v>131927</v>
      </c>
      <c r="B1100">
        <v>2254</v>
      </c>
    </row>
    <row r="1101" spans="1:2" x14ac:dyDescent="0.25">
      <c r="A1101">
        <v>131930</v>
      </c>
      <c r="B1101">
        <v>4633</v>
      </c>
    </row>
    <row r="1102" spans="1:2" x14ac:dyDescent="0.25">
      <c r="A1102">
        <v>131931</v>
      </c>
      <c r="B1102">
        <v>965</v>
      </c>
    </row>
    <row r="1103" spans="1:2" x14ac:dyDescent="0.25">
      <c r="A1103">
        <v>131933</v>
      </c>
      <c r="B1103">
        <v>6131</v>
      </c>
    </row>
    <row r="1104" spans="1:2" x14ac:dyDescent="0.25">
      <c r="A1104">
        <v>131935</v>
      </c>
      <c r="B1104">
        <v>4743</v>
      </c>
    </row>
    <row r="1105" spans="1:2" x14ac:dyDescent="0.25">
      <c r="A1105">
        <v>131937</v>
      </c>
      <c r="B1105">
        <v>269</v>
      </c>
    </row>
    <row r="1106" spans="1:2" x14ac:dyDescent="0.25">
      <c r="A1106">
        <v>131938</v>
      </c>
      <c r="B1106">
        <v>794</v>
      </c>
    </row>
    <row r="1107" spans="1:2" x14ac:dyDescent="0.25">
      <c r="A1107">
        <v>131939</v>
      </c>
      <c r="B1107">
        <v>782</v>
      </c>
    </row>
    <row r="1108" spans="1:2" x14ac:dyDescent="0.25">
      <c r="A1108">
        <v>131940</v>
      </c>
      <c r="B1108">
        <v>459</v>
      </c>
    </row>
    <row r="1109" spans="1:2" x14ac:dyDescent="0.25">
      <c r="A1109">
        <v>132229</v>
      </c>
      <c r="B1109">
        <v>0</v>
      </c>
    </row>
    <row r="1110" spans="1:2" x14ac:dyDescent="0.25">
      <c r="A1110">
        <v>132230</v>
      </c>
      <c r="B1110">
        <v>0</v>
      </c>
    </row>
    <row r="1111" spans="1:2" x14ac:dyDescent="0.25">
      <c r="A1111">
        <v>132231</v>
      </c>
      <c r="B1111">
        <v>310</v>
      </c>
    </row>
    <row r="1112" spans="1:2" x14ac:dyDescent="0.25">
      <c r="A1112">
        <v>132232</v>
      </c>
      <c r="B1112">
        <v>22</v>
      </c>
    </row>
    <row r="1113" spans="1:2" x14ac:dyDescent="0.25">
      <c r="A1113">
        <v>132290</v>
      </c>
      <c r="B1113">
        <v>3421</v>
      </c>
    </row>
    <row r="1114" spans="1:2" x14ac:dyDescent="0.25">
      <c r="A1114">
        <v>132296</v>
      </c>
      <c r="B1114">
        <v>8903</v>
      </c>
    </row>
    <row r="1115" spans="1:2" x14ac:dyDescent="0.25">
      <c r="A1115">
        <v>132297</v>
      </c>
      <c r="B1115">
        <v>16346</v>
      </c>
    </row>
    <row r="1116" spans="1:2" x14ac:dyDescent="0.25">
      <c r="A1116">
        <v>132300</v>
      </c>
      <c r="B1116">
        <v>7143</v>
      </c>
    </row>
    <row r="1117" spans="1:2" x14ac:dyDescent="0.25">
      <c r="A1117">
        <v>132303</v>
      </c>
      <c r="B1117">
        <v>12380</v>
      </c>
    </row>
    <row r="1118" spans="1:2" x14ac:dyDescent="0.25">
      <c r="A1118">
        <v>132305</v>
      </c>
      <c r="B1118">
        <v>254</v>
      </c>
    </row>
    <row r="1119" spans="1:2" x14ac:dyDescent="0.25">
      <c r="A1119">
        <v>132394</v>
      </c>
      <c r="B1119">
        <v>3571</v>
      </c>
    </row>
    <row r="1120" spans="1:2" x14ac:dyDescent="0.25">
      <c r="A1120">
        <v>132395</v>
      </c>
      <c r="B1120">
        <v>3484</v>
      </c>
    </row>
    <row r="1121" spans="1:2" x14ac:dyDescent="0.25">
      <c r="A1121">
        <v>132400</v>
      </c>
      <c r="B1121">
        <v>1143</v>
      </c>
    </row>
    <row r="1122" spans="1:2" x14ac:dyDescent="0.25">
      <c r="A1122">
        <v>132405</v>
      </c>
      <c r="B1122">
        <v>368</v>
      </c>
    </row>
    <row r="1123" spans="1:2" x14ac:dyDescent="0.25">
      <c r="A1123">
        <v>132407</v>
      </c>
      <c r="B1123">
        <v>320</v>
      </c>
    </row>
    <row r="1124" spans="1:2" x14ac:dyDescent="0.25">
      <c r="A1124">
        <v>132465</v>
      </c>
      <c r="B1124">
        <v>60</v>
      </c>
    </row>
    <row r="1125" spans="1:2" x14ac:dyDescent="0.25">
      <c r="A1125">
        <v>132612</v>
      </c>
      <c r="B1125">
        <v>293</v>
      </c>
    </row>
    <row r="1126" spans="1:2" x14ac:dyDescent="0.25">
      <c r="A1126">
        <v>132613</v>
      </c>
      <c r="B1126">
        <v>691</v>
      </c>
    </row>
    <row r="1127" spans="1:2" x14ac:dyDescent="0.25">
      <c r="A1127">
        <v>132623</v>
      </c>
      <c r="B1127">
        <v>65</v>
      </c>
    </row>
    <row r="1128" spans="1:2" x14ac:dyDescent="0.25">
      <c r="A1128">
        <v>132624</v>
      </c>
      <c r="B1128">
        <v>34</v>
      </c>
    </row>
    <row r="1129" spans="1:2" x14ac:dyDescent="0.25">
      <c r="A1129">
        <v>132646</v>
      </c>
      <c r="B1129">
        <v>13812</v>
      </c>
    </row>
    <row r="1130" spans="1:2" x14ac:dyDescent="0.25">
      <c r="A1130">
        <v>132647</v>
      </c>
      <c r="B1130">
        <v>11234</v>
      </c>
    </row>
    <row r="1131" spans="1:2" x14ac:dyDescent="0.25">
      <c r="A1131">
        <v>132649</v>
      </c>
      <c r="B1131">
        <v>4862</v>
      </c>
    </row>
    <row r="1132" spans="1:2" x14ac:dyDescent="0.25">
      <c r="A1132">
        <v>132650</v>
      </c>
      <c r="B1132">
        <v>5188</v>
      </c>
    </row>
    <row r="1133" spans="1:2" x14ac:dyDescent="0.25">
      <c r="A1133">
        <v>132655</v>
      </c>
      <c r="B1133">
        <v>19556</v>
      </c>
    </row>
    <row r="1134" spans="1:2" x14ac:dyDescent="0.25">
      <c r="A1134">
        <v>132656</v>
      </c>
      <c r="B1134">
        <v>19263</v>
      </c>
    </row>
    <row r="1135" spans="1:2" x14ac:dyDescent="0.25">
      <c r="A1135">
        <v>132714</v>
      </c>
      <c r="B1135">
        <v>30</v>
      </c>
    </row>
    <row r="1136" spans="1:2" x14ac:dyDescent="0.25">
      <c r="A1136">
        <v>132715</v>
      </c>
      <c r="B1136">
        <v>15</v>
      </c>
    </row>
    <row r="1137" spans="1:2" x14ac:dyDescent="0.25">
      <c r="A1137">
        <v>132751</v>
      </c>
      <c r="B1137">
        <v>0</v>
      </c>
    </row>
    <row r="1138" spans="1:2" x14ac:dyDescent="0.25">
      <c r="A1138">
        <v>132769</v>
      </c>
      <c r="B1138">
        <v>74</v>
      </c>
    </row>
    <row r="1139" spans="1:2" x14ac:dyDescent="0.25">
      <c r="A1139">
        <v>133021</v>
      </c>
      <c r="B1139">
        <v>0</v>
      </c>
    </row>
    <row r="1140" spans="1:2" x14ac:dyDescent="0.25">
      <c r="A1140">
        <v>133042</v>
      </c>
      <c r="B1140">
        <v>4</v>
      </c>
    </row>
    <row r="1141" spans="1:2" x14ac:dyDescent="0.25">
      <c r="A1141">
        <v>133043</v>
      </c>
      <c r="B1141">
        <v>0</v>
      </c>
    </row>
    <row r="1142" spans="1:2" x14ac:dyDescent="0.25">
      <c r="A1142">
        <v>133191</v>
      </c>
      <c r="B1142">
        <v>17426</v>
      </c>
    </row>
    <row r="1143" spans="1:2" x14ac:dyDescent="0.25">
      <c r="A1143">
        <v>133301</v>
      </c>
      <c r="B1143">
        <v>6996</v>
      </c>
    </row>
    <row r="1144" spans="1:2" x14ac:dyDescent="0.25">
      <c r="A1144">
        <v>133366</v>
      </c>
      <c r="B1144">
        <v>3396</v>
      </c>
    </row>
    <row r="1145" spans="1:2" x14ac:dyDescent="0.25">
      <c r="A1145">
        <v>133371</v>
      </c>
      <c r="B1145">
        <v>500</v>
      </c>
    </row>
    <row r="1146" spans="1:2" x14ac:dyDescent="0.25">
      <c r="A1146">
        <v>133433</v>
      </c>
      <c r="B1146">
        <v>1</v>
      </c>
    </row>
    <row r="1147" spans="1:2" x14ac:dyDescent="0.25">
      <c r="A1147">
        <v>133450</v>
      </c>
      <c r="B1147">
        <v>1193</v>
      </c>
    </row>
    <row r="1148" spans="1:2" x14ac:dyDescent="0.25">
      <c r="A1148">
        <v>133451</v>
      </c>
      <c r="B1148">
        <v>1507</v>
      </c>
    </row>
    <row r="1149" spans="1:2" x14ac:dyDescent="0.25">
      <c r="A1149">
        <v>133452</v>
      </c>
      <c r="B1149">
        <v>512</v>
      </c>
    </row>
    <row r="1150" spans="1:2" x14ac:dyDescent="0.25">
      <c r="A1150">
        <v>133778</v>
      </c>
      <c r="B1150">
        <v>10417</v>
      </c>
    </row>
    <row r="1151" spans="1:2" x14ac:dyDescent="0.25">
      <c r="A1151">
        <v>133779</v>
      </c>
      <c r="B1151">
        <v>5805</v>
      </c>
    </row>
    <row r="1152" spans="1:2" x14ac:dyDescent="0.25">
      <c r="A1152">
        <v>133781</v>
      </c>
      <c r="B1152">
        <v>37000</v>
      </c>
    </row>
    <row r="1153" spans="1:2" x14ac:dyDescent="0.25">
      <c r="A1153">
        <v>133782</v>
      </c>
      <c r="B1153">
        <v>2</v>
      </c>
    </row>
    <row r="1154" spans="1:2" x14ac:dyDescent="0.25">
      <c r="A1154">
        <v>133783</v>
      </c>
      <c r="B1154">
        <v>5093</v>
      </c>
    </row>
    <row r="1155" spans="1:2" x14ac:dyDescent="0.25">
      <c r="A1155">
        <v>133788</v>
      </c>
      <c r="B1155">
        <v>264</v>
      </c>
    </row>
    <row r="1156" spans="1:2" x14ac:dyDescent="0.25">
      <c r="A1156">
        <v>133790</v>
      </c>
      <c r="B1156">
        <v>264</v>
      </c>
    </row>
    <row r="1157" spans="1:2" x14ac:dyDescent="0.25">
      <c r="A1157">
        <v>133791</v>
      </c>
      <c r="B1157">
        <v>313</v>
      </c>
    </row>
    <row r="1158" spans="1:2" x14ac:dyDescent="0.25">
      <c r="A1158">
        <v>133793</v>
      </c>
      <c r="B1158">
        <v>3820</v>
      </c>
    </row>
    <row r="1159" spans="1:2" x14ac:dyDescent="0.25">
      <c r="A1159">
        <v>133812</v>
      </c>
      <c r="B1159">
        <v>172</v>
      </c>
    </row>
    <row r="1160" spans="1:2" x14ac:dyDescent="0.25">
      <c r="A1160">
        <v>133813</v>
      </c>
      <c r="B1160">
        <v>23</v>
      </c>
    </row>
    <row r="1161" spans="1:2" x14ac:dyDescent="0.25">
      <c r="A1161">
        <v>133819</v>
      </c>
      <c r="B1161">
        <v>264</v>
      </c>
    </row>
    <row r="1162" spans="1:2" x14ac:dyDescent="0.25">
      <c r="A1162">
        <v>133843</v>
      </c>
      <c r="B1162">
        <v>13021</v>
      </c>
    </row>
    <row r="1163" spans="1:2" x14ac:dyDescent="0.25">
      <c r="A1163">
        <v>133844</v>
      </c>
      <c r="B1163">
        <v>12995</v>
      </c>
    </row>
    <row r="1164" spans="1:2" x14ac:dyDescent="0.25">
      <c r="A1164">
        <v>133845</v>
      </c>
      <c r="B1164">
        <v>12570</v>
      </c>
    </row>
    <row r="1165" spans="1:2" x14ac:dyDescent="0.25">
      <c r="A1165">
        <v>133846</v>
      </c>
      <c r="B1165">
        <v>11867</v>
      </c>
    </row>
    <row r="1166" spans="1:2" x14ac:dyDescent="0.25">
      <c r="A1166">
        <v>133847</v>
      </c>
      <c r="B1166">
        <v>12975</v>
      </c>
    </row>
    <row r="1167" spans="1:2" x14ac:dyDescent="0.25">
      <c r="A1167">
        <v>133848</v>
      </c>
      <c r="B1167">
        <v>12003</v>
      </c>
    </row>
    <row r="1168" spans="1:2" x14ac:dyDescent="0.25">
      <c r="A1168">
        <v>133849</v>
      </c>
      <c r="B1168">
        <v>12727</v>
      </c>
    </row>
    <row r="1169" spans="1:2" x14ac:dyDescent="0.25">
      <c r="A1169">
        <v>133850</v>
      </c>
      <c r="B1169">
        <v>12811</v>
      </c>
    </row>
    <row r="1170" spans="1:2" x14ac:dyDescent="0.25">
      <c r="A1170">
        <v>133851</v>
      </c>
      <c r="B1170">
        <v>735</v>
      </c>
    </row>
    <row r="1171" spans="1:2" x14ac:dyDescent="0.25">
      <c r="A1171">
        <v>133950</v>
      </c>
      <c r="B1171">
        <v>3728</v>
      </c>
    </row>
    <row r="1172" spans="1:2" x14ac:dyDescent="0.25">
      <c r="A1172">
        <v>133953</v>
      </c>
      <c r="B1172">
        <v>10874</v>
      </c>
    </row>
    <row r="1173" spans="1:2" x14ac:dyDescent="0.25">
      <c r="A1173">
        <v>133954</v>
      </c>
      <c r="B1173">
        <v>9093</v>
      </c>
    </row>
    <row r="1174" spans="1:2" x14ac:dyDescent="0.25">
      <c r="A1174">
        <v>133955</v>
      </c>
      <c r="B1174">
        <v>6871</v>
      </c>
    </row>
    <row r="1175" spans="1:2" x14ac:dyDescent="0.25">
      <c r="A1175">
        <v>133956</v>
      </c>
      <c r="B1175">
        <v>11466</v>
      </c>
    </row>
    <row r="1176" spans="1:2" x14ac:dyDescent="0.25">
      <c r="A1176">
        <v>133957</v>
      </c>
      <c r="B1176">
        <v>2680</v>
      </c>
    </row>
    <row r="1177" spans="1:2" x14ac:dyDescent="0.25">
      <c r="A1177">
        <v>134045</v>
      </c>
      <c r="B1177">
        <v>53</v>
      </c>
    </row>
    <row r="1178" spans="1:2" x14ac:dyDescent="0.25">
      <c r="A1178">
        <v>134246</v>
      </c>
      <c r="B1178">
        <v>103</v>
      </c>
    </row>
    <row r="1179" spans="1:2" x14ac:dyDescent="0.25">
      <c r="A1179">
        <v>134247</v>
      </c>
      <c r="B1179">
        <v>85</v>
      </c>
    </row>
    <row r="1180" spans="1:2" x14ac:dyDescent="0.25">
      <c r="A1180">
        <v>134373</v>
      </c>
      <c r="B1180">
        <v>18978</v>
      </c>
    </row>
    <row r="1181" spans="1:2" x14ac:dyDescent="0.25">
      <c r="A1181">
        <v>134542</v>
      </c>
      <c r="B1181">
        <v>0</v>
      </c>
    </row>
    <row r="1182" spans="1:2" x14ac:dyDescent="0.25">
      <c r="A1182">
        <v>134543</v>
      </c>
      <c r="B1182">
        <v>0</v>
      </c>
    </row>
    <row r="1183" spans="1:2" x14ac:dyDescent="0.25">
      <c r="A1183">
        <v>134544</v>
      </c>
      <c r="B1183">
        <v>402</v>
      </c>
    </row>
    <row r="1184" spans="1:2" x14ac:dyDescent="0.25">
      <c r="A1184">
        <v>134545</v>
      </c>
      <c r="B1184">
        <v>48</v>
      </c>
    </row>
    <row r="1185" spans="1:2" x14ac:dyDescent="0.25">
      <c r="A1185">
        <v>134546</v>
      </c>
      <c r="B1185">
        <v>108</v>
      </c>
    </row>
    <row r="1186" spans="1:2" x14ac:dyDescent="0.25">
      <c r="A1186">
        <v>134547</v>
      </c>
      <c r="B1186">
        <v>12</v>
      </c>
    </row>
    <row r="1187" spans="1:2" x14ac:dyDescent="0.25">
      <c r="A1187">
        <v>134548</v>
      </c>
      <c r="B1187">
        <v>392</v>
      </c>
    </row>
    <row r="1188" spans="1:2" x14ac:dyDescent="0.25">
      <c r="A1188">
        <v>134556</v>
      </c>
      <c r="B1188">
        <v>0</v>
      </c>
    </row>
    <row r="1189" spans="1:2" x14ac:dyDescent="0.25">
      <c r="A1189">
        <v>134558</v>
      </c>
      <c r="B1189">
        <v>0</v>
      </c>
    </row>
    <row r="1190" spans="1:2" x14ac:dyDescent="0.25">
      <c r="A1190">
        <v>134559</v>
      </c>
      <c r="B1190">
        <v>0</v>
      </c>
    </row>
    <row r="1191" spans="1:2" x14ac:dyDescent="0.25">
      <c r="A1191">
        <v>134560</v>
      </c>
      <c r="B1191">
        <v>46</v>
      </c>
    </row>
    <row r="1192" spans="1:2" x14ac:dyDescent="0.25">
      <c r="A1192">
        <v>134561</v>
      </c>
      <c r="B1192">
        <v>0</v>
      </c>
    </row>
    <row r="1193" spans="1:2" x14ac:dyDescent="0.25">
      <c r="A1193">
        <v>134562</v>
      </c>
      <c r="B1193">
        <v>0</v>
      </c>
    </row>
    <row r="1194" spans="1:2" x14ac:dyDescent="0.25">
      <c r="A1194">
        <v>134563</v>
      </c>
      <c r="B1194">
        <v>0</v>
      </c>
    </row>
    <row r="1195" spans="1:2" x14ac:dyDescent="0.25">
      <c r="A1195">
        <v>134564</v>
      </c>
      <c r="B1195">
        <v>0</v>
      </c>
    </row>
    <row r="1196" spans="1:2" x14ac:dyDescent="0.25">
      <c r="A1196">
        <v>134565</v>
      </c>
      <c r="B1196">
        <v>0</v>
      </c>
    </row>
    <row r="1197" spans="1:2" x14ac:dyDescent="0.25">
      <c r="A1197">
        <v>134566</v>
      </c>
      <c r="B1197">
        <v>120</v>
      </c>
    </row>
    <row r="1198" spans="1:2" x14ac:dyDescent="0.25">
      <c r="A1198">
        <v>134567</v>
      </c>
      <c r="B1198">
        <v>40</v>
      </c>
    </row>
    <row r="1199" spans="1:2" x14ac:dyDescent="0.25">
      <c r="A1199">
        <v>134568</v>
      </c>
      <c r="B1199">
        <v>0</v>
      </c>
    </row>
    <row r="1200" spans="1:2" x14ac:dyDescent="0.25">
      <c r="A1200">
        <v>134569</v>
      </c>
      <c r="B1200">
        <v>0</v>
      </c>
    </row>
    <row r="1201" spans="1:2" x14ac:dyDescent="0.25">
      <c r="A1201">
        <v>134581</v>
      </c>
      <c r="B1201">
        <v>2</v>
      </c>
    </row>
    <row r="1202" spans="1:2" x14ac:dyDescent="0.25">
      <c r="A1202">
        <v>134582</v>
      </c>
      <c r="B1202">
        <v>39</v>
      </c>
    </row>
    <row r="1203" spans="1:2" x14ac:dyDescent="0.25">
      <c r="A1203">
        <v>135012</v>
      </c>
      <c r="B1203">
        <v>0</v>
      </c>
    </row>
    <row r="1204" spans="1:2" x14ac:dyDescent="0.25">
      <c r="A1204">
        <v>135013</v>
      </c>
      <c r="B1204">
        <v>0</v>
      </c>
    </row>
    <row r="1205" spans="1:2" x14ac:dyDescent="0.25">
      <c r="A1205">
        <v>135016</v>
      </c>
      <c r="B1205">
        <v>0</v>
      </c>
    </row>
    <row r="1206" spans="1:2" x14ac:dyDescent="0.25">
      <c r="A1206">
        <v>135224</v>
      </c>
      <c r="B1206">
        <v>0</v>
      </c>
    </row>
    <row r="1207" spans="1:2" x14ac:dyDescent="0.25">
      <c r="A1207">
        <v>135225</v>
      </c>
      <c r="B1207">
        <v>0</v>
      </c>
    </row>
    <row r="1208" spans="1:2" x14ac:dyDescent="0.25">
      <c r="A1208">
        <v>135226</v>
      </c>
      <c r="B1208">
        <v>0</v>
      </c>
    </row>
    <row r="1209" spans="1:2" x14ac:dyDescent="0.25">
      <c r="A1209">
        <v>135227</v>
      </c>
      <c r="B1209">
        <v>0</v>
      </c>
    </row>
    <row r="1210" spans="1:2" x14ac:dyDescent="0.25">
      <c r="A1210">
        <v>135238</v>
      </c>
      <c r="B1210">
        <v>287</v>
      </c>
    </row>
    <row r="1211" spans="1:2" x14ac:dyDescent="0.25">
      <c r="A1211">
        <v>135239</v>
      </c>
      <c r="B1211">
        <v>0</v>
      </c>
    </row>
    <row r="1212" spans="1:2" x14ac:dyDescent="0.25">
      <c r="A1212">
        <v>135297</v>
      </c>
      <c r="B1212">
        <v>152</v>
      </c>
    </row>
    <row r="1213" spans="1:2" x14ac:dyDescent="0.25">
      <c r="A1213">
        <v>135299</v>
      </c>
      <c r="B1213">
        <v>4</v>
      </c>
    </row>
    <row r="1214" spans="1:2" x14ac:dyDescent="0.25">
      <c r="A1214">
        <v>135300</v>
      </c>
      <c r="B1214">
        <v>6</v>
      </c>
    </row>
    <row r="1215" spans="1:2" x14ac:dyDescent="0.25">
      <c r="A1215">
        <v>135301</v>
      </c>
      <c r="B1215">
        <v>72</v>
      </c>
    </row>
    <row r="1216" spans="1:2" x14ac:dyDescent="0.25">
      <c r="A1216">
        <v>135302</v>
      </c>
      <c r="B1216">
        <v>58</v>
      </c>
    </row>
    <row r="1217" spans="1:2" x14ac:dyDescent="0.25">
      <c r="A1217">
        <v>135303</v>
      </c>
      <c r="B1217">
        <v>21</v>
      </c>
    </row>
    <row r="1218" spans="1:2" x14ac:dyDescent="0.25">
      <c r="A1218">
        <v>135304</v>
      </c>
      <c r="B1218">
        <v>10</v>
      </c>
    </row>
    <row r="1219" spans="1:2" x14ac:dyDescent="0.25">
      <c r="A1219">
        <v>135414</v>
      </c>
      <c r="B1219">
        <v>0</v>
      </c>
    </row>
    <row r="1220" spans="1:2" x14ac:dyDescent="0.25">
      <c r="A1220">
        <v>135699</v>
      </c>
      <c r="B1220">
        <v>0</v>
      </c>
    </row>
    <row r="1221" spans="1:2" x14ac:dyDescent="0.25">
      <c r="A1221">
        <v>135700</v>
      </c>
      <c r="B1221">
        <v>9213</v>
      </c>
    </row>
    <row r="1222" spans="1:2" x14ac:dyDescent="0.25">
      <c r="A1222">
        <v>135701</v>
      </c>
      <c r="B1222">
        <v>0</v>
      </c>
    </row>
    <row r="1223" spans="1:2" x14ac:dyDescent="0.25">
      <c r="A1223">
        <v>135704</v>
      </c>
      <c r="B1223">
        <v>0</v>
      </c>
    </row>
    <row r="1224" spans="1:2" x14ac:dyDescent="0.25">
      <c r="A1224">
        <v>135734</v>
      </c>
      <c r="B1224">
        <v>0</v>
      </c>
    </row>
    <row r="1225" spans="1:2" x14ac:dyDescent="0.25">
      <c r="A1225">
        <v>136037</v>
      </c>
      <c r="B1225">
        <v>0</v>
      </c>
    </row>
    <row r="1226" spans="1:2" x14ac:dyDescent="0.25">
      <c r="A1226">
        <v>136038</v>
      </c>
      <c r="B1226">
        <v>0</v>
      </c>
    </row>
    <row r="1227" spans="1:2" x14ac:dyDescent="0.25">
      <c r="A1227">
        <v>136039</v>
      </c>
      <c r="B1227">
        <v>0</v>
      </c>
    </row>
    <row r="1228" spans="1:2" x14ac:dyDescent="0.25">
      <c r="A1228">
        <v>136040</v>
      </c>
      <c r="B1228">
        <v>0</v>
      </c>
    </row>
    <row r="1229" spans="1:2" x14ac:dyDescent="0.25">
      <c r="A1229">
        <v>136082</v>
      </c>
      <c r="B1229">
        <v>0</v>
      </c>
    </row>
    <row r="1230" spans="1:2" x14ac:dyDescent="0.25">
      <c r="A1230">
        <v>136083</v>
      </c>
      <c r="B1230">
        <v>0</v>
      </c>
    </row>
    <row r="1231" spans="1:2" x14ac:dyDescent="0.25">
      <c r="A1231">
        <v>136273</v>
      </c>
      <c r="B1231">
        <v>0</v>
      </c>
    </row>
    <row r="1232" spans="1:2" x14ac:dyDescent="0.25">
      <c r="A1232">
        <v>136408</v>
      </c>
      <c r="B1232">
        <v>0</v>
      </c>
    </row>
    <row r="1233" spans="1:2" x14ac:dyDescent="0.25">
      <c r="A1233">
        <v>136556</v>
      </c>
      <c r="B1233">
        <v>0</v>
      </c>
    </row>
    <row r="1234" spans="1:2" x14ac:dyDescent="0.25">
      <c r="A1234">
        <v>136674</v>
      </c>
      <c r="B1234">
        <v>0</v>
      </c>
    </row>
    <row r="1235" spans="1:2" x14ac:dyDescent="0.25">
      <c r="A1235">
        <v>136675</v>
      </c>
      <c r="B1235">
        <v>0</v>
      </c>
    </row>
    <row r="1236" spans="1:2" x14ac:dyDescent="0.25">
      <c r="A1236">
        <v>136676</v>
      </c>
      <c r="B1236">
        <v>0</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Z38"/>
  <sheetViews>
    <sheetView showGridLines="0" workbookViewId="0">
      <selection sqref="A1:Z38"/>
    </sheetView>
  </sheetViews>
  <sheetFormatPr defaultRowHeight="15" x14ac:dyDescent="0.25"/>
  <cols>
    <col min="1" max="1" width="195.7109375" customWidth="1"/>
  </cols>
  <sheetData>
    <row r="1" spans="1:26" x14ac:dyDescent="0.25">
      <c r="A1" s="54"/>
      <c r="B1" s="54"/>
      <c r="C1" s="54"/>
      <c r="D1" s="54"/>
      <c r="E1" s="54"/>
      <c r="F1" s="54"/>
      <c r="G1" s="54"/>
      <c r="H1" s="54"/>
      <c r="I1" s="54"/>
      <c r="J1" s="54"/>
      <c r="K1" s="54"/>
      <c r="L1" s="54"/>
      <c r="M1" s="54"/>
      <c r="N1" s="54"/>
      <c r="O1" s="54"/>
      <c r="P1" s="54"/>
      <c r="Q1" s="54"/>
      <c r="R1" s="54"/>
      <c r="S1" s="54"/>
      <c r="T1" s="54"/>
      <c r="U1" s="54"/>
      <c r="V1" s="54"/>
      <c r="W1" s="54"/>
      <c r="X1" s="54"/>
      <c r="Y1" s="54"/>
      <c r="Z1" s="54"/>
    </row>
    <row r="2" spans="1:26" x14ac:dyDescent="0.25">
      <c r="A2" s="54"/>
      <c r="B2" s="54"/>
      <c r="C2" s="54"/>
      <c r="D2" s="54"/>
      <c r="E2" s="54"/>
      <c r="F2" s="54"/>
      <c r="G2" s="54"/>
      <c r="H2" s="54"/>
      <c r="I2" s="54"/>
      <c r="J2" s="54"/>
      <c r="K2" s="54"/>
      <c r="L2" s="54"/>
      <c r="M2" s="54"/>
      <c r="N2" s="54"/>
      <c r="O2" s="54"/>
      <c r="P2" s="54"/>
      <c r="Q2" s="54"/>
      <c r="R2" s="54"/>
      <c r="S2" s="54"/>
      <c r="T2" s="54"/>
      <c r="U2" s="54"/>
      <c r="V2" s="54"/>
      <c r="W2" s="54"/>
      <c r="X2" s="54"/>
      <c r="Y2" s="54"/>
      <c r="Z2" s="54"/>
    </row>
    <row r="3" spans="1:26" x14ac:dyDescent="0.25">
      <c r="A3" s="54"/>
      <c r="B3" s="54"/>
      <c r="C3" s="54"/>
      <c r="D3" s="54"/>
      <c r="E3" s="54"/>
      <c r="F3" s="54"/>
      <c r="G3" s="54"/>
      <c r="H3" s="54"/>
      <c r="I3" s="54"/>
      <c r="J3" s="54"/>
      <c r="K3" s="54"/>
      <c r="L3" s="54"/>
      <c r="M3" s="54"/>
      <c r="N3" s="54"/>
      <c r="O3" s="54"/>
      <c r="P3" s="54"/>
      <c r="Q3" s="54"/>
      <c r="R3" s="54"/>
      <c r="S3" s="54"/>
      <c r="T3" s="54"/>
      <c r="U3" s="54"/>
      <c r="V3" s="54"/>
      <c r="W3" s="54"/>
      <c r="X3" s="54"/>
      <c r="Y3" s="54"/>
      <c r="Z3" s="54"/>
    </row>
    <row r="4" spans="1:26" x14ac:dyDescent="0.25">
      <c r="A4" s="54"/>
      <c r="B4" s="54"/>
      <c r="C4" s="54"/>
      <c r="D4" s="54"/>
      <c r="E4" s="54"/>
      <c r="F4" s="54"/>
      <c r="G4" s="54"/>
      <c r="H4" s="54"/>
      <c r="I4" s="54"/>
      <c r="J4" s="54"/>
      <c r="K4" s="54"/>
      <c r="L4" s="54"/>
      <c r="M4" s="54"/>
      <c r="N4" s="54"/>
      <c r="O4" s="54"/>
      <c r="P4" s="54"/>
      <c r="Q4" s="54"/>
      <c r="R4" s="54"/>
      <c r="S4" s="54"/>
      <c r="T4" s="54"/>
      <c r="U4" s="54"/>
      <c r="V4" s="54"/>
      <c r="W4" s="54"/>
      <c r="X4" s="54"/>
      <c r="Y4" s="54"/>
      <c r="Z4" s="54"/>
    </row>
    <row r="5" spans="1:26" x14ac:dyDescent="0.25">
      <c r="A5" s="54"/>
      <c r="B5" s="54"/>
      <c r="C5" s="54"/>
      <c r="D5" s="54"/>
      <c r="E5" s="54"/>
      <c r="F5" s="54"/>
      <c r="G5" s="54"/>
      <c r="H5" s="54"/>
      <c r="I5" s="54"/>
      <c r="J5" s="54"/>
      <c r="K5" s="54"/>
      <c r="L5" s="54"/>
      <c r="M5" s="54"/>
      <c r="N5" s="54"/>
      <c r="O5" s="54"/>
      <c r="P5" s="54"/>
      <c r="Q5" s="54"/>
      <c r="R5" s="54"/>
      <c r="S5" s="54"/>
      <c r="T5" s="54"/>
      <c r="U5" s="54"/>
      <c r="V5" s="54"/>
      <c r="W5" s="54"/>
      <c r="X5" s="54"/>
      <c r="Y5" s="54"/>
      <c r="Z5" s="54"/>
    </row>
    <row r="6" spans="1:26" x14ac:dyDescent="0.25">
      <c r="A6" s="54"/>
      <c r="B6" s="54"/>
      <c r="C6" s="54"/>
      <c r="D6" s="54"/>
      <c r="E6" s="54"/>
      <c r="F6" s="54"/>
      <c r="G6" s="54"/>
      <c r="H6" s="54"/>
      <c r="I6" s="54"/>
      <c r="J6" s="54"/>
      <c r="K6" s="54"/>
      <c r="L6" s="54"/>
      <c r="M6" s="54"/>
      <c r="N6" s="54"/>
      <c r="O6" s="54"/>
      <c r="P6" s="54"/>
      <c r="Q6" s="54"/>
      <c r="R6" s="54"/>
      <c r="S6" s="54"/>
      <c r="T6" s="54"/>
      <c r="U6" s="54"/>
      <c r="V6" s="54"/>
      <c r="W6" s="54"/>
      <c r="X6" s="54"/>
      <c r="Y6" s="54"/>
      <c r="Z6" s="54"/>
    </row>
    <row r="7" spans="1:26" x14ac:dyDescent="0.25">
      <c r="A7" s="54"/>
      <c r="B7" s="54"/>
      <c r="C7" s="54"/>
      <c r="D7" s="54"/>
      <c r="E7" s="54"/>
      <c r="F7" s="54"/>
      <c r="G7" s="54"/>
      <c r="H7" s="54"/>
      <c r="I7" s="54"/>
      <c r="J7" s="54"/>
      <c r="K7" s="54"/>
      <c r="L7" s="54"/>
      <c r="M7" s="54"/>
      <c r="N7" s="54"/>
      <c r="O7" s="54"/>
      <c r="P7" s="54"/>
      <c r="Q7" s="54"/>
      <c r="R7" s="54"/>
      <c r="S7" s="54"/>
      <c r="T7" s="54"/>
      <c r="U7" s="54"/>
      <c r="V7" s="54"/>
      <c r="W7" s="54"/>
      <c r="X7" s="54"/>
      <c r="Y7" s="54"/>
      <c r="Z7" s="54"/>
    </row>
    <row r="8" spans="1:26" x14ac:dyDescent="0.25">
      <c r="A8" s="54"/>
      <c r="B8" s="54"/>
      <c r="C8" s="54"/>
      <c r="D8" s="54"/>
      <c r="E8" s="54"/>
      <c r="F8" s="54"/>
      <c r="G8" s="54"/>
      <c r="H8" s="54"/>
      <c r="I8" s="54"/>
      <c r="J8" s="54"/>
      <c r="K8" s="54"/>
      <c r="L8" s="54"/>
      <c r="M8" s="54"/>
      <c r="N8" s="54"/>
      <c r="O8" s="54"/>
      <c r="P8" s="54"/>
      <c r="Q8" s="54"/>
      <c r="R8" s="54"/>
      <c r="S8" s="54"/>
      <c r="T8" s="54"/>
      <c r="U8" s="54"/>
      <c r="V8" s="54"/>
      <c r="W8" s="54"/>
      <c r="X8" s="54"/>
      <c r="Y8" s="54"/>
      <c r="Z8" s="54"/>
    </row>
    <row r="9" spans="1:26" x14ac:dyDescent="0.25">
      <c r="A9" s="54"/>
      <c r="B9" s="54"/>
      <c r="C9" s="54"/>
      <c r="D9" s="54"/>
      <c r="E9" s="54"/>
      <c r="F9" s="54"/>
      <c r="G9" s="54"/>
      <c r="H9" s="54"/>
      <c r="I9" s="54"/>
      <c r="J9" s="54"/>
      <c r="K9" s="54"/>
      <c r="L9" s="54"/>
      <c r="M9" s="54"/>
      <c r="N9" s="54"/>
      <c r="O9" s="54"/>
      <c r="P9" s="54"/>
      <c r="Q9" s="54"/>
      <c r="R9" s="54"/>
      <c r="S9" s="54"/>
      <c r="T9" s="54"/>
      <c r="U9" s="54"/>
      <c r="V9" s="54"/>
      <c r="W9" s="54"/>
      <c r="X9" s="54"/>
      <c r="Y9" s="54"/>
      <c r="Z9" s="54"/>
    </row>
    <row r="10" spans="1:26" x14ac:dyDescent="0.25">
      <c r="A10" s="54"/>
      <c r="B10" s="54"/>
      <c r="C10" s="54"/>
      <c r="D10" s="54"/>
      <c r="E10" s="54"/>
      <c r="F10" s="54"/>
      <c r="G10" s="54"/>
      <c r="H10" s="54"/>
      <c r="I10" s="54"/>
      <c r="J10" s="54"/>
      <c r="K10" s="54"/>
      <c r="L10" s="54"/>
      <c r="M10" s="54"/>
      <c r="N10" s="54"/>
      <c r="O10" s="54"/>
      <c r="P10" s="54"/>
      <c r="Q10" s="54"/>
      <c r="R10" s="54"/>
      <c r="S10" s="54"/>
      <c r="T10" s="54"/>
      <c r="U10" s="54"/>
      <c r="V10" s="54"/>
      <c r="W10" s="54"/>
      <c r="X10" s="54"/>
      <c r="Y10" s="54"/>
      <c r="Z10" s="54"/>
    </row>
    <row r="11" spans="1:26" x14ac:dyDescent="0.25">
      <c r="A11" s="54"/>
      <c r="B11" s="54"/>
      <c r="C11" s="54"/>
      <c r="D11" s="54"/>
      <c r="E11" s="54"/>
      <c r="F11" s="54"/>
      <c r="G11" s="54"/>
      <c r="H11" s="54"/>
      <c r="I11" s="54"/>
      <c r="J11" s="54"/>
      <c r="K11" s="54"/>
      <c r="L11" s="54"/>
      <c r="M11" s="54"/>
      <c r="N11" s="54"/>
      <c r="O11" s="54"/>
      <c r="P11" s="54"/>
      <c r="Q11" s="54"/>
      <c r="R11" s="54"/>
      <c r="S11" s="54"/>
      <c r="T11" s="54"/>
      <c r="U11" s="54"/>
      <c r="V11" s="54"/>
      <c r="W11" s="54"/>
      <c r="X11" s="54"/>
      <c r="Y11" s="54"/>
      <c r="Z11" s="54"/>
    </row>
    <row r="12" spans="1:26" x14ac:dyDescent="0.25">
      <c r="A12" s="54"/>
      <c r="B12" s="54"/>
      <c r="C12" s="54"/>
      <c r="D12" s="54"/>
      <c r="E12" s="54"/>
      <c r="F12" s="54"/>
      <c r="G12" s="54"/>
      <c r="H12" s="54"/>
      <c r="I12" s="54"/>
      <c r="J12" s="54"/>
      <c r="K12" s="54"/>
      <c r="L12" s="54"/>
      <c r="M12" s="54"/>
      <c r="N12" s="54"/>
      <c r="O12" s="54"/>
      <c r="P12" s="54"/>
      <c r="Q12" s="54"/>
      <c r="R12" s="54"/>
      <c r="S12" s="54"/>
      <c r="T12" s="54"/>
      <c r="U12" s="54"/>
      <c r="V12" s="54"/>
      <c r="W12" s="54"/>
      <c r="X12" s="54"/>
      <c r="Y12" s="54"/>
      <c r="Z12" s="54"/>
    </row>
    <row r="13" spans="1:26" x14ac:dyDescent="0.25">
      <c r="A13" s="54"/>
      <c r="B13" s="54"/>
      <c r="C13" s="54"/>
      <c r="D13" s="54"/>
      <c r="E13" s="54"/>
      <c r="F13" s="54"/>
      <c r="G13" s="54"/>
      <c r="H13" s="54"/>
      <c r="I13" s="54"/>
      <c r="J13" s="54"/>
      <c r="K13" s="54"/>
      <c r="L13" s="54"/>
      <c r="M13" s="54"/>
      <c r="N13" s="54"/>
      <c r="O13" s="54"/>
      <c r="P13" s="54"/>
      <c r="Q13" s="54"/>
      <c r="R13" s="54"/>
      <c r="S13" s="54"/>
      <c r="T13" s="54"/>
      <c r="U13" s="54"/>
      <c r="V13" s="54"/>
      <c r="W13" s="54"/>
      <c r="X13" s="54"/>
      <c r="Y13" s="54"/>
      <c r="Z13" s="54"/>
    </row>
    <row r="14" spans="1:26" x14ac:dyDescent="0.25">
      <c r="A14" s="54"/>
      <c r="B14" s="54"/>
      <c r="C14" s="54"/>
      <c r="D14" s="54"/>
      <c r="E14" s="54"/>
      <c r="F14" s="54"/>
      <c r="G14" s="54"/>
      <c r="H14" s="54"/>
      <c r="I14" s="54"/>
      <c r="J14" s="54"/>
      <c r="K14" s="54"/>
      <c r="L14" s="54"/>
      <c r="M14" s="54"/>
      <c r="N14" s="54"/>
      <c r="O14" s="54"/>
      <c r="P14" s="54"/>
      <c r="Q14" s="54"/>
      <c r="R14" s="54"/>
      <c r="S14" s="54"/>
      <c r="T14" s="54"/>
      <c r="U14" s="54"/>
      <c r="V14" s="54"/>
      <c r="W14" s="54"/>
      <c r="X14" s="54"/>
      <c r="Y14" s="54"/>
      <c r="Z14" s="54"/>
    </row>
    <row r="15" spans="1:26" x14ac:dyDescent="0.25">
      <c r="A15" s="54"/>
      <c r="B15" s="54"/>
      <c r="C15" s="54"/>
      <c r="D15" s="54"/>
      <c r="E15" s="54"/>
      <c r="F15" s="54"/>
      <c r="G15" s="54"/>
      <c r="H15" s="54"/>
      <c r="I15" s="54"/>
      <c r="J15" s="54"/>
      <c r="K15" s="54"/>
      <c r="L15" s="54"/>
      <c r="M15" s="54"/>
      <c r="N15" s="54"/>
      <c r="O15" s="54"/>
      <c r="P15" s="54"/>
      <c r="Q15" s="54"/>
      <c r="R15" s="54"/>
      <c r="S15" s="54"/>
      <c r="T15" s="54"/>
      <c r="U15" s="54"/>
      <c r="V15" s="54"/>
      <c r="W15" s="54"/>
      <c r="X15" s="54"/>
      <c r="Y15" s="54"/>
      <c r="Z15" s="54"/>
    </row>
    <row r="16" spans="1:26" x14ac:dyDescent="0.25">
      <c r="A16" s="54"/>
      <c r="B16" s="54"/>
      <c r="C16" s="54"/>
      <c r="D16" s="54"/>
      <c r="E16" s="54"/>
      <c r="F16" s="54"/>
      <c r="G16" s="54"/>
      <c r="H16" s="54"/>
      <c r="I16" s="54"/>
      <c r="J16" s="54"/>
      <c r="K16" s="54"/>
      <c r="L16" s="54"/>
      <c r="M16" s="54"/>
      <c r="N16" s="54"/>
      <c r="O16" s="54"/>
      <c r="P16" s="54"/>
      <c r="Q16" s="54"/>
      <c r="R16" s="54"/>
      <c r="S16" s="54"/>
      <c r="T16" s="54"/>
      <c r="U16" s="54"/>
      <c r="V16" s="54"/>
      <c r="W16" s="54"/>
      <c r="X16" s="54"/>
      <c r="Y16" s="54"/>
      <c r="Z16" s="54"/>
    </row>
    <row r="17" spans="1:26" x14ac:dyDescent="0.25">
      <c r="A17" s="54"/>
      <c r="B17" s="54"/>
      <c r="C17" s="54"/>
      <c r="D17" s="54"/>
      <c r="E17" s="54"/>
      <c r="F17" s="54"/>
      <c r="G17" s="54"/>
      <c r="H17" s="54"/>
      <c r="I17" s="54"/>
      <c r="J17" s="54"/>
      <c r="K17" s="54"/>
      <c r="L17" s="54"/>
      <c r="M17" s="54"/>
      <c r="N17" s="54"/>
      <c r="O17" s="54"/>
      <c r="P17" s="54"/>
      <c r="Q17" s="54"/>
      <c r="R17" s="54"/>
      <c r="S17" s="54"/>
      <c r="T17" s="54"/>
      <c r="U17" s="54"/>
      <c r="V17" s="54"/>
      <c r="W17" s="54"/>
      <c r="X17" s="54"/>
      <c r="Y17" s="54"/>
      <c r="Z17" s="54"/>
    </row>
    <row r="18" spans="1:26" x14ac:dyDescent="0.25">
      <c r="A18" s="54"/>
      <c r="B18" s="54"/>
      <c r="C18" s="54"/>
      <c r="D18" s="54"/>
      <c r="E18" s="54"/>
      <c r="F18" s="54"/>
      <c r="G18" s="54"/>
      <c r="H18" s="54"/>
      <c r="I18" s="54"/>
      <c r="J18" s="54"/>
      <c r="K18" s="54"/>
      <c r="L18" s="54"/>
      <c r="M18" s="54"/>
      <c r="N18" s="54"/>
      <c r="O18" s="54"/>
      <c r="P18" s="54"/>
      <c r="Q18" s="54"/>
      <c r="R18" s="54"/>
      <c r="S18" s="54"/>
      <c r="T18" s="54"/>
      <c r="U18" s="54"/>
      <c r="V18" s="54"/>
      <c r="W18" s="54"/>
      <c r="X18" s="54"/>
      <c r="Y18" s="54"/>
      <c r="Z18" s="54"/>
    </row>
    <row r="19" spans="1:26" x14ac:dyDescent="0.25">
      <c r="A19" s="54"/>
      <c r="B19" s="54"/>
      <c r="C19" s="54"/>
      <c r="D19" s="54"/>
      <c r="E19" s="54"/>
      <c r="F19" s="54"/>
      <c r="G19" s="54"/>
      <c r="H19" s="54"/>
      <c r="I19" s="54"/>
      <c r="J19" s="54"/>
      <c r="K19" s="54"/>
      <c r="L19" s="54"/>
      <c r="M19" s="54"/>
      <c r="N19" s="54"/>
      <c r="O19" s="54"/>
      <c r="P19" s="54"/>
      <c r="Q19" s="54"/>
      <c r="R19" s="54"/>
      <c r="S19" s="54"/>
      <c r="T19" s="54"/>
      <c r="U19" s="54"/>
      <c r="V19" s="54"/>
      <c r="W19" s="54"/>
      <c r="X19" s="54"/>
      <c r="Y19" s="54"/>
      <c r="Z19" s="54"/>
    </row>
    <row r="20" spans="1:26" x14ac:dyDescent="0.25">
      <c r="A20" s="54"/>
      <c r="B20" s="54"/>
      <c r="C20" s="54"/>
      <c r="D20" s="54"/>
      <c r="E20" s="54"/>
      <c r="F20" s="54"/>
      <c r="G20" s="54"/>
      <c r="H20" s="54"/>
      <c r="I20" s="54"/>
      <c r="J20" s="54"/>
      <c r="K20" s="54"/>
      <c r="L20" s="54"/>
      <c r="M20" s="54"/>
      <c r="N20" s="54"/>
      <c r="O20" s="54"/>
      <c r="P20" s="54"/>
      <c r="Q20" s="54"/>
      <c r="R20" s="54"/>
      <c r="S20" s="54"/>
      <c r="T20" s="54"/>
      <c r="U20" s="54"/>
      <c r="V20" s="54"/>
      <c r="W20" s="54"/>
      <c r="X20" s="54"/>
      <c r="Y20" s="54"/>
      <c r="Z20" s="54"/>
    </row>
    <row r="21" spans="1:26" x14ac:dyDescent="0.25">
      <c r="A21" s="54"/>
      <c r="B21" s="54"/>
      <c r="C21" s="54"/>
      <c r="D21" s="54"/>
      <c r="E21" s="54"/>
      <c r="F21" s="54"/>
      <c r="G21" s="54"/>
      <c r="H21" s="54"/>
      <c r="I21" s="54"/>
      <c r="J21" s="54"/>
      <c r="K21" s="54"/>
      <c r="L21" s="54"/>
      <c r="M21" s="54"/>
      <c r="N21" s="54"/>
      <c r="O21" s="54"/>
      <c r="P21" s="54"/>
      <c r="Q21" s="54"/>
      <c r="R21" s="54"/>
      <c r="S21" s="54"/>
      <c r="T21" s="54"/>
      <c r="U21" s="54"/>
      <c r="V21" s="54"/>
      <c r="W21" s="54"/>
      <c r="X21" s="54"/>
      <c r="Y21" s="54"/>
      <c r="Z21" s="54"/>
    </row>
    <row r="22" spans="1:26" x14ac:dyDescent="0.25">
      <c r="A22" s="54"/>
      <c r="B22" s="54"/>
      <c r="C22" s="54"/>
      <c r="D22" s="54"/>
      <c r="E22" s="54"/>
      <c r="F22" s="54"/>
      <c r="G22" s="54"/>
      <c r="H22" s="54"/>
      <c r="I22" s="54"/>
      <c r="J22" s="54"/>
      <c r="K22" s="54"/>
      <c r="L22" s="54"/>
      <c r="M22" s="54"/>
      <c r="N22" s="54"/>
      <c r="O22" s="54"/>
      <c r="P22" s="54"/>
      <c r="Q22" s="54"/>
      <c r="R22" s="54"/>
      <c r="S22" s="54"/>
      <c r="T22" s="54"/>
      <c r="U22" s="54"/>
      <c r="V22" s="54"/>
      <c r="W22" s="54"/>
      <c r="X22" s="54"/>
      <c r="Y22" s="54"/>
      <c r="Z22" s="54"/>
    </row>
    <row r="23" spans="1:26" x14ac:dyDescent="0.25">
      <c r="A23" s="54"/>
      <c r="B23" s="54"/>
      <c r="C23" s="54"/>
      <c r="D23" s="54"/>
      <c r="E23" s="54"/>
      <c r="F23" s="54"/>
      <c r="G23" s="54"/>
      <c r="H23" s="54"/>
      <c r="I23" s="54"/>
      <c r="J23" s="54"/>
      <c r="K23" s="54"/>
      <c r="L23" s="54"/>
      <c r="M23" s="54"/>
      <c r="N23" s="54"/>
      <c r="O23" s="54"/>
      <c r="P23" s="54"/>
      <c r="Q23" s="54"/>
      <c r="R23" s="54"/>
      <c r="S23" s="54"/>
      <c r="T23" s="54"/>
      <c r="U23" s="54"/>
      <c r="V23" s="54"/>
      <c r="W23" s="54"/>
      <c r="X23" s="54"/>
      <c r="Y23" s="54"/>
      <c r="Z23" s="54"/>
    </row>
    <row r="24" spans="1:26" x14ac:dyDescent="0.25">
      <c r="A24" s="54"/>
      <c r="B24" s="54"/>
      <c r="C24" s="54"/>
      <c r="D24" s="54"/>
      <c r="E24" s="54"/>
      <c r="F24" s="54"/>
      <c r="G24" s="54"/>
      <c r="H24" s="54"/>
      <c r="I24" s="54"/>
      <c r="J24" s="54"/>
      <c r="K24" s="54"/>
      <c r="L24" s="54"/>
      <c r="M24" s="54"/>
      <c r="N24" s="54"/>
      <c r="O24" s="54"/>
      <c r="P24" s="54"/>
      <c r="Q24" s="54"/>
      <c r="R24" s="54"/>
      <c r="S24" s="54"/>
      <c r="T24" s="54"/>
      <c r="U24" s="54"/>
      <c r="V24" s="54"/>
      <c r="W24" s="54"/>
      <c r="X24" s="54"/>
      <c r="Y24" s="54"/>
      <c r="Z24" s="54"/>
    </row>
    <row r="25" spans="1:26" x14ac:dyDescent="0.25">
      <c r="A25" s="54"/>
      <c r="B25" s="54"/>
      <c r="C25" s="54"/>
      <c r="D25" s="54"/>
      <c r="E25" s="54"/>
      <c r="F25" s="54"/>
      <c r="G25" s="54"/>
      <c r="H25" s="54"/>
      <c r="I25" s="54"/>
      <c r="J25" s="54"/>
      <c r="K25" s="54"/>
      <c r="L25" s="54"/>
      <c r="M25" s="54"/>
      <c r="N25" s="54"/>
      <c r="O25" s="54"/>
      <c r="P25" s="54"/>
      <c r="Q25" s="54"/>
      <c r="R25" s="54"/>
      <c r="S25" s="54"/>
      <c r="T25" s="54"/>
      <c r="U25" s="54"/>
      <c r="V25" s="54"/>
      <c r="W25" s="54"/>
      <c r="X25" s="54"/>
      <c r="Y25" s="54"/>
      <c r="Z25" s="54"/>
    </row>
    <row r="26" spans="1:26" x14ac:dyDescent="0.25">
      <c r="A26" s="54"/>
      <c r="B26" s="54"/>
      <c r="C26" s="54"/>
      <c r="D26" s="54"/>
      <c r="E26" s="54"/>
      <c r="F26" s="54"/>
      <c r="G26" s="54"/>
      <c r="H26" s="54"/>
      <c r="I26" s="54"/>
      <c r="J26" s="54"/>
      <c r="K26" s="54"/>
      <c r="L26" s="54"/>
      <c r="M26" s="54"/>
      <c r="N26" s="54"/>
      <c r="O26" s="54"/>
      <c r="P26" s="54"/>
      <c r="Q26" s="54"/>
      <c r="R26" s="54"/>
      <c r="S26" s="54"/>
      <c r="T26" s="54"/>
      <c r="U26" s="54"/>
      <c r="V26" s="54"/>
      <c r="W26" s="54"/>
      <c r="X26" s="54"/>
      <c r="Y26" s="54"/>
      <c r="Z26" s="54"/>
    </row>
    <row r="27" spans="1:26" x14ac:dyDescent="0.25">
      <c r="A27" s="54"/>
      <c r="B27" s="54"/>
      <c r="C27" s="54"/>
      <c r="D27" s="54"/>
      <c r="E27" s="54"/>
      <c r="F27" s="54"/>
      <c r="G27" s="54"/>
      <c r="H27" s="54"/>
      <c r="I27" s="54"/>
      <c r="J27" s="54"/>
      <c r="K27" s="54"/>
      <c r="L27" s="54"/>
      <c r="M27" s="54"/>
      <c r="N27" s="54"/>
      <c r="O27" s="54"/>
      <c r="P27" s="54"/>
      <c r="Q27" s="54"/>
      <c r="R27" s="54"/>
      <c r="S27" s="54"/>
      <c r="T27" s="54"/>
      <c r="U27" s="54"/>
      <c r="V27" s="54"/>
      <c r="W27" s="54"/>
      <c r="X27" s="54"/>
      <c r="Y27" s="54"/>
      <c r="Z27" s="54"/>
    </row>
    <row r="28" spans="1:26" x14ac:dyDescent="0.25">
      <c r="A28" s="54"/>
      <c r="B28" s="54"/>
      <c r="C28" s="54"/>
      <c r="D28" s="54"/>
      <c r="E28" s="54"/>
      <c r="F28" s="54"/>
      <c r="G28" s="54"/>
      <c r="H28" s="54"/>
      <c r="I28" s="54"/>
      <c r="J28" s="54"/>
      <c r="K28" s="54"/>
      <c r="L28" s="54"/>
      <c r="M28" s="54"/>
      <c r="N28" s="54"/>
      <c r="O28" s="54"/>
      <c r="P28" s="54"/>
      <c r="Q28" s="54"/>
      <c r="R28" s="54"/>
      <c r="S28" s="54"/>
      <c r="T28" s="54"/>
      <c r="U28" s="54"/>
      <c r="V28" s="54"/>
      <c r="W28" s="54"/>
      <c r="X28" s="54"/>
      <c r="Y28" s="54"/>
      <c r="Z28" s="54"/>
    </row>
    <row r="29" spans="1:26" x14ac:dyDescent="0.25">
      <c r="A29" s="54"/>
      <c r="B29" s="54"/>
      <c r="C29" s="54"/>
      <c r="D29" s="54"/>
      <c r="E29" s="54"/>
      <c r="F29" s="54"/>
      <c r="G29" s="54"/>
      <c r="H29" s="54"/>
      <c r="I29" s="54"/>
      <c r="J29" s="54"/>
      <c r="K29" s="54"/>
      <c r="L29" s="54"/>
      <c r="M29" s="54"/>
      <c r="N29" s="54"/>
      <c r="O29" s="54"/>
      <c r="P29" s="54"/>
      <c r="Q29" s="54"/>
      <c r="R29" s="54"/>
      <c r="S29" s="54"/>
      <c r="T29" s="54"/>
      <c r="U29" s="54"/>
      <c r="V29" s="54"/>
      <c r="W29" s="54"/>
      <c r="X29" s="54"/>
      <c r="Y29" s="54"/>
      <c r="Z29" s="54"/>
    </row>
    <row r="30" spans="1:26" x14ac:dyDescent="0.25">
      <c r="A30" s="54"/>
      <c r="B30" s="54"/>
      <c r="C30" s="54"/>
      <c r="D30" s="54"/>
      <c r="E30" s="54"/>
      <c r="F30" s="54"/>
      <c r="G30" s="54"/>
      <c r="H30" s="54"/>
      <c r="I30" s="54"/>
      <c r="J30" s="54"/>
      <c r="K30" s="54"/>
      <c r="L30" s="54"/>
      <c r="M30" s="54"/>
      <c r="N30" s="54"/>
      <c r="O30" s="54"/>
      <c r="P30" s="54"/>
      <c r="Q30" s="54"/>
      <c r="R30" s="54"/>
      <c r="S30" s="54"/>
      <c r="T30" s="54"/>
      <c r="U30" s="54"/>
      <c r="V30" s="54"/>
      <c r="W30" s="54"/>
      <c r="X30" s="54"/>
      <c r="Y30" s="54"/>
      <c r="Z30" s="54"/>
    </row>
    <row r="31" spans="1:26" x14ac:dyDescent="0.25">
      <c r="A31" s="54"/>
      <c r="B31" s="54"/>
      <c r="C31" s="54"/>
      <c r="D31" s="54"/>
      <c r="E31" s="54"/>
      <c r="F31" s="54"/>
      <c r="G31" s="54"/>
      <c r="H31" s="54"/>
      <c r="I31" s="54"/>
      <c r="J31" s="54"/>
      <c r="K31" s="54"/>
      <c r="L31" s="54"/>
      <c r="M31" s="54"/>
      <c r="N31" s="54"/>
      <c r="O31" s="54"/>
      <c r="P31" s="54"/>
      <c r="Q31" s="54"/>
      <c r="R31" s="54"/>
      <c r="S31" s="54"/>
      <c r="T31" s="54"/>
      <c r="U31" s="54"/>
      <c r="V31" s="54"/>
      <c r="W31" s="54"/>
      <c r="X31" s="54"/>
      <c r="Y31" s="54"/>
      <c r="Z31" s="54"/>
    </row>
    <row r="32" spans="1:26" x14ac:dyDescent="0.25">
      <c r="A32" s="54"/>
      <c r="B32" s="54"/>
      <c r="C32" s="54"/>
      <c r="D32" s="54"/>
      <c r="E32" s="54"/>
      <c r="F32" s="54"/>
      <c r="G32" s="54"/>
      <c r="H32" s="54"/>
      <c r="I32" s="54"/>
      <c r="J32" s="54"/>
      <c r="K32" s="54"/>
      <c r="L32" s="54"/>
      <c r="M32" s="54"/>
      <c r="N32" s="54"/>
      <c r="O32" s="54"/>
      <c r="P32" s="54"/>
      <c r="Q32" s="54"/>
      <c r="R32" s="54"/>
      <c r="S32" s="54"/>
      <c r="T32" s="54"/>
      <c r="U32" s="54"/>
      <c r="V32" s="54"/>
      <c r="W32" s="54"/>
      <c r="X32" s="54"/>
      <c r="Y32" s="54"/>
      <c r="Z32" s="54"/>
    </row>
    <row r="33" spans="1:26" x14ac:dyDescent="0.25">
      <c r="A33" s="54"/>
      <c r="B33" s="54"/>
      <c r="C33" s="54"/>
      <c r="D33" s="54"/>
      <c r="E33" s="54"/>
      <c r="F33" s="54"/>
      <c r="G33" s="54"/>
      <c r="H33" s="54"/>
      <c r="I33" s="54"/>
      <c r="J33" s="54"/>
      <c r="K33" s="54"/>
      <c r="L33" s="54"/>
      <c r="M33" s="54"/>
      <c r="N33" s="54"/>
      <c r="O33" s="54"/>
      <c r="P33" s="54"/>
      <c r="Q33" s="54"/>
      <c r="R33" s="54"/>
      <c r="S33" s="54"/>
      <c r="T33" s="54"/>
      <c r="U33" s="54"/>
      <c r="V33" s="54"/>
      <c r="W33" s="54"/>
      <c r="X33" s="54"/>
      <c r="Y33" s="54"/>
      <c r="Z33" s="54"/>
    </row>
    <row r="34" spans="1:26" x14ac:dyDescent="0.25">
      <c r="A34" s="54"/>
      <c r="B34" s="54"/>
      <c r="C34" s="54"/>
      <c r="D34" s="54"/>
      <c r="E34" s="54"/>
      <c r="F34" s="54"/>
      <c r="G34" s="54"/>
      <c r="H34" s="54"/>
      <c r="I34" s="54"/>
      <c r="J34" s="54"/>
      <c r="K34" s="54"/>
      <c r="L34" s="54"/>
      <c r="M34" s="54"/>
      <c r="N34" s="54"/>
      <c r="O34" s="54"/>
      <c r="P34" s="54"/>
      <c r="Q34" s="54"/>
      <c r="R34" s="54"/>
      <c r="S34" s="54"/>
      <c r="T34" s="54"/>
      <c r="U34" s="54"/>
      <c r="V34" s="54"/>
      <c r="W34" s="54"/>
      <c r="X34" s="54"/>
      <c r="Y34" s="54"/>
      <c r="Z34" s="54"/>
    </row>
    <row r="35" spans="1:26" x14ac:dyDescent="0.25">
      <c r="A35" s="54"/>
      <c r="B35" s="54"/>
      <c r="C35" s="54"/>
      <c r="D35" s="54"/>
      <c r="E35" s="54"/>
      <c r="F35" s="54"/>
      <c r="G35" s="54"/>
      <c r="H35" s="54"/>
      <c r="I35" s="54"/>
      <c r="J35" s="54"/>
      <c r="K35" s="54"/>
      <c r="L35" s="54"/>
      <c r="M35" s="54"/>
      <c r="N35" s="54"/>
      <c r="O35" s="54"/>
      <c r="P35" s="54"/>
      <c r="Q35" s="54"/>
      <c r="R35" s="54"/>
      <c r="S35" s="54"/>
      <c r="T35" s="54"/>
      <c r="U35" s="54"/>
      <c r="V35" s="54"/>
      <c r="W35" s="54"/>
      <c r="X35" s="54"/>
      <c r="Y35" s="54"/>
      <c r="Z35" s="54"/>
    </row>
    <row r="36" spans="1:26" x14ac:dyDescent="0.25">
      <c r="A36" s="54"/>
      <c r="B36" s="54"/>
      <c r="C36" s="54"/>
      <c r="D36" s="54"/>
      <c r="E36" s="54"/>
      <c r="F36" s="54"/>
      <c r="G36" s="54"/>
      <c r="H36" s="54"/>
      <c r="I36" s="54"/>
      <c r="J36" s="54"/>
      <c r="K36" s="54"/>
      <c r="L36" s="54"/>
      <c r="M36" s="54"/>
      <c r="N36" s="54"/>
      <c r="O36" s="54"/>
      <c r="P36" s="54"/>
      <c r="Q36" s="54"/>
      <c r="R36" s="54"/>
      <c r="S36" s="54"/>
      <c r="T36" s="54"/>
      <c r="U36" s="54"/>
      <c r="V36" s="54"/>
      <c r="W36" s="54"/>
      <c r="X36" s="54"/>
      <c r="Y36" s="54"/>
      <c r="Z36" s="54"/>
    </row>
    <row r="37" spans="1:26" x14ac:dyDescent="0.25">
      <c r="A37" s="54"/>
      <c r="B37" s="54"/>
      <c r="C37" s="54"/>
      <c r="D37" s="54"/>
      <c r="E37" s="54"/>
      <c r="F37" s="54"/>
      <c r="G37" s="54"/>
      <c r="H37" s="54"/>
      <c r="I37" s="54"/>
      <c r="J37" s="54"/>
      <c r="K37" s="54"/>
      <c r="L37" s="54"/>
      <c r="M37" s="54"/>
      <c r="N37" s="54"/>
      <c r="O37" s="54"/>
      <c r="P37" s="54"/>
      <c r="Q37" s="54"/>
      <c r="R37" s="54"/>
      <c r="S37" s="54"/>
      <c r="T37" s="54"/>
      <c r="U37" s="54"/>
      <c r="V37" s="54"/>
      <c r="W37" s="54"/>
      <c r="X37" s="54"/>
      <c r="Y37" s="54"/>
      <c r="Z37" s="54"/>
    </row>
    <row r="38" spans="1:26" x14ac:dyDescent="0.25">
      <c r="A38" s="54"/>
      <c r="B38" s="54"/>
      <c r="C38" s="54"/>
      <c r="D38" s="54"/>
      <c r="E38" s="54"/>
      <c r="F38" s="54"/>
      <c r="G38" s="54"/>
      <c r="H38" s="54"/>
      <c r="I38" s="54"/>
      <c r="J38" s="54"/>
      <c r="K38" s="54"/>
      <c r="L38" s="54"/>
      <c r="M38" s="54"/>
      <c r="N38" s="54"/>
      <c r="O38" s="54"/>
      <c r="P38" s="54"/>
      <c r="Q38" s="54"/>
      <c r="R38" s="54"/>
      <c r="S38" s="54"/>
      <c r="T38" s="54"/>
      <c r="U38" s="54"/>
      <c r="V38" s="54"/>
      <c r="W38" s="54"/>
      <c r="X38" s="54"/>
      <c r="Y38" s="54"/>
      <c r="Z38" s="54"/>
    </row>
  </sheetData>
  <mergeCells count="1">
    <mergeCell ref="A1:Z3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1510" r:id="rId3" name="btn_Filtros_Setor">
          <controlPr defaultSize="0" autoLine="0" r:id="rId4">
            <anchor moveWithCells="1">
              <from>
                <xdr:col>0</xdr:col>
                <xdr:colOff>638175</xdr:colOff>
                <xdr:row>11</xdr:row>
                <xdr:rowOff>9525</xdr:rowOff>
              </from>
              <to>
                <xdr:col>0</xdr:col>
                <xdr:colOff>6276975</xdr:colOff>
                <xdr:row>13</xdr:row>
                <xdr:rowOff>76200</xdr:rowOff>
              </to>
            </anchor>
          </controlPr>
        </control>
      </mc:Choice>
      <mc:Fallback>
        <control shapeId="21510" r:id="rId3" name="btn_Filtros_Setor"/>
      </mc:Fallback>
    </mc:AlternateContent>
    <mc:AlternateContent xmlns:mc="http://schemas.openxmlformats.org/markup-compatibility/2006">
      <mc:Choice Requires="x14">
        <control shapeId="21508" r:id="rId5" name="btn_Filtros_Situacoes">
          <controlPr defaultSize="0" autoLine="0" r:id="rId6">
            <anchor moveWithCells="1">
              <from>
                <xdr:col>0</xdr:col>
                <xdr:colOff>638175</xdr:colOff>
                <xdr:row>8</xdr:row>
                <xdr:rowOff>85725</xdr:rowOff>
              </from>
              <to>
                <xdr:col>0</xdr:col>
                <xdr:colOff>6276975</xdr:colOff>
                <xdr:row>10</xdr:row>
                <xdr:rowOff>152400</xdr:rowOff>
              </to>
            </anchor>
          </controlPr>
        </control>
      </mc:Choice>
      <mc:Fallback>
        <control shapeId="21508" r:id="rId5" name="btn_Filtros_Situacoes"/>
      </mc:Fallback>
    </mc:AlternateContent>
    <mc:AlternateContent xmlns:mc="http://schemas.openxmlformats.org/markup-compatibility/2006">
      <mc:Choice Requires="x14">
        <control shapeId="21507" r:id="rId7" name="btn_Filtros_SohPadrao">
          <controlPr defaultSize="0" autoLine="0" r:id="rId8">
            <anchor moveWithCells="1">
              <from>
                <xdr:col>0</xdr:col>
                <xdr:colOff>638175</xdr:colOff>
                <xdr:row>3</xdr:row>
                <xdr:rowOff>47625</xdr:rowOff>
              </from>
              <to>
                <xdr:col>0</xdr:col>
                <xdr:colOff>6276975</xdr:colOff>
                <xdr:row>5</xdr:row>
                <xdr:rowOff>114300</xdr:rowOff>
              </to>
            </anchor>
          </controlPr>
        </control>
      </mc:Choice>
      <mc:Fallback>
        <control shapeId="21507" r:id="rId7" name="btn_Filtros_SohPadrao"/>
      </mc:Fallback>
    </mc:AlternateContent>
    <mc:AlternateContent xmlns:mc="http://schemas.openxmlformats.org/markup-compatibility/2006">
      <mc:Choice Requires="x14">
        <control shapeId="21506" r:id="rId9" name="btn_Filtros_SohPersonal">
          <controlPr defaultSize="0" autoLine="0" r:id="rId10">
            <anchor moveWithCells="1">
              <from>
                <xdr:col>0</xdr:col>
                <xdr:colOff>638175</xdr:colOff>
                <xdr:row>0</xdr:row>
                <xdr:rowOff>123825</xdr:rowOff>
              </from>
              <to>
                <xdr:col>0</xdr:col>
                <xdr:colOff>6276975</xdr:colOff>
                <xdr:row>3</xdr:row>
                <xdr:rowOff>0</xdr:rowOff>
              </to>
            </anchor>
          </controlPr>
        </control>
      </mc:Choice>
      <mc:Fallback>
        <control shapeId="21506" r:id="rId9" name="btn_Filtros_SohPersonal"/>
      </mc:Fallback>
    </mc:AlternateContent>
    <mc:AlternateContent xmlns:mc="http://schemas.openxmlformats.org/markup-compatibility/2006">
      <mc:Choice Requires="x14">
        <control shapeId="21505" r:id="rId11" name="btn_Filtros_Limpar">
          <controlPr defaultSize="0" autoLine="0" r:id="rId12">
            <anchor moveWithCells="1">
              <from>
                <xdr:col>0</xdr:col>
                <xdr:colOff>638175</xdr:colOff>
                <xdr:row>26</xdr:row>
                <xdr:rowOff>123825</xdr:rowOff>
              </from>
              <to>
                <xdr:col>0</xdr:col>
                <xdr:colOff>6276975</xdr:colOff>
                <xdr:row>29</xdr:row>
                <xdr:rowOff>0</xdr:rowOff>
              </to>
            </anchor>
          </controlPr>
        </control>
      </mc:Choice>
      <mc:Fallback>
        <control shapeId="21505" r:id="rId11" name="btn_Filtros_Limpar"/>
      </mc:Fallback>
    </mc:AlternateContent>
    <mc:AlternateContent xmlns:mc="http://schemas.openxmlformats.org/markup-compatibility/2006">
      <mc:Choice Requires="x14">
        <control shapeId="21509" r:id="rId13" name="btn_Filtros_SemEstimativa">
          <controlPr defaultSize="0" autoLine="0" r:id="rId14">
            <anchor moveWithCells="1">
              <from>
                <xdr:col>0</xdr:col>
                <xdr:colOff>6981825</xdr:colOff>
                <xdr:row>0</xdr:row>
                <xdr:rowOff>123825</xdr:rowOff>
              </from>
              <to>
                <xdr:col>0</xdr:col>
                <xdr:colOff>12620625</xdr:colOff>
                <xdr:row>3</xdr:row>
                <xdr:rowOff>0</xdr:rowOff>
              </to>
            </anchor>
          </controlPr>
        </control>
      </mc:Choice>
      <mc:Fallback>
        <control shapeId="21509" r:id="rId13" name="btn_Filtros_SemEstimativa"/>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A3:D1012"/>
  <sheetViews>
    <sheetView workbookViewId="0">
      <selection activeCell="A4" sqref="A4"/>
    </sheetView>
  </sheetViews>
  <sheetFormatPr defaultRowHeight="15.75" x14ac:dyDescent="0.25"/>
  <cols>
    <col min="1" max="1" width="16.7109375" style="2" customWidth="1"/>
    <col min="2" max="2" width="163.28515625" style="4" customWidth="1"/>
    <col min="3" max="3" width="24.28515625" style="7" bestFit="1" customWidth="1"/>
    <col min="4" max="4" width="9" style="10" bestFit="1" customWidth="1"/>
  </cols>
  <sheetData>
    <row r="3" spans="1:4" x14ac:dyDescent="0.25">
      <c r="A3" s="5" t="s">
        <v>0</v>
      </c>
      <c r="B3" s="3" t="s">
        <v>1</v>
      </c>
      <c r="C3" s="6" t="s">
        <v>1007</v>
      </c>
      <c r="D3" s="11" t="s">
        <v>1006</v>
      </c>
    </row>
    <row r="4" spans="1:4" x14ac:dyDescent="0.25">
      <c r="A4" s="2">
        <v>4680</v>
      </c>
      <c r="B4" s="4" t="s">
        <v>402</v>
      </c>
      <c r="C4" s="7">
        <v>12669</v>
      </c>
      <c r="D4" s="12" t="str">
        <f t="shared" ref="D4:D67" si="0">IF($D$3="FIM","*","")</f>
        <v>*</v>
      </c>
    </row>
    <row r="5" spans="1:4" x14ac:dyDescent="0.25">
      <c r="A5" s="2">
        <v>9413</v>
      </c>
      <c r="B5" s="4" t="s">
        <v>209</v>
      </c>
      <c r="C5" s="7">
        <v>66428</v>
      </c>
      <c r="D5" s="12" t="str">
        <f t="shared" si="0"/>
        <v>*</v>
      </c>
    </row>
    <row r="6" spans="1:4" x14ac:dyDescent="0.25">
      <c r="A6" s="2">
        <v>10302</v>
      </c>
      <c r="B6" s="4" t="s">
        <v>711</v>
      </c>
      <c r="C6" s="7">
        <v>2432</v>
      </c>
      <c r="D6" s="12" t="str">
        <f t="shared" si="0"/>
        <v>*</v>
      </c>
    </row>
    <row r="7" spans="1:4" x14ac:dyDescent="0.25">
      <c r="A7" s="2">
        <v>10359</v>
      </c>
      <c r="B7" s="4" t="s">
        <v>178</v>
      </c>
      <c r="C7" s="7">
        <v>1899</v>
      </c>
      <c r="D7" s="12" t="str">
        <f t="shared" si="0"/>
        <v>*</v>
      </c>
    </row>
    <row r="8" spans="1:4" x14ac:dyDescent="0.25">
      <c r="A8" s="2">
        <v>10392</v>
      </c>
      <c r="B8" s="4" t="s">
        <v>424</v>
      </c>
      <c r="C8" s="7">
        <v>4385</v>
      </c>
      <c r="D8" s="12" t="str">
        <f t="shared" si="0"/>
        <v>*</v>
      </c>
    </row>
    <row r="9" spans="1:4" x14ac:dyDescent="0.25">
      <c r="A9" s="2">
        <v>10412</v>
      </c>
      <c r="B9" s="4" t="s">
        <v>271</v>
      </c>
      <c r="C9" s="7">
        <v>978</v>
      </c>
      <c r="D9" s="12" t="str">
        <f t="shared" si="0"/>
        <v>*</v>
      </c>
    </row>
    <row r="10" spans="1:4" x14ac:dyDescent="0.25">
      <c r="A10" s="2">
        <v>10547</v>
      </c>
      <c r="B10" s="4" t="s">
        <v>465</v>
      </c>
      <c r="C10" s="7">
        <v>12882</v>
      </c>
      <c r="D10" s="12" t="str">
        <f t="shared" si="0"/>
        <v>*</v>
      </c>
    </row>
    <row r="11" spans="1:4" x14ac:dyDescent="0.25">
      <c r="A11" s="2">
        <v>10719</v>
      </c>
      <c r="B11" s="4" t="s">
        <v>925</v>
      </c>
      <c r="C11" s="7">
        <v>39795</v>
      </c>
      <c r="D11" s="12" t="str">
        <f t="shared" si="0"/>
        <v>*</v>
      </c>
    </row>
    <row r="12" spans="1:4" x14ac:dyDescent="0.25">
      <c r="A12" s="2">
        <v>10867</v>
      </c>
      <c r="B12" s="4" t="s">
        <v>335</v>
      </c>
      <c r="C12" s="7">
        <v>27544</v>
      </c>
      <c r="D12" s="12" t="str">
        <f t="shared" si="0"/>
        <v>*</v>
      </c>
    </row>
    <row r="13" spans="1:4" x14ac:dyDescent="0.25">
      <c r="A13" s="2">
        <v>11072</v>
      </c>
      <c r="B13" s="4" t="s">
        <v>458</v>
      </c>
      <c r="C13" s="7">
        <v>371</v>
      </c>
      <c r="D13" s="12" t="str">
        <f t="shared" si="0"/>
        <v>*</v>
      </c>
    </row>
    <row r="14" spans="1:4" x14ac:dyDescent="0.25">
      <c r="A14" s="2">
        <v>11109</v>
      </c>
      <c r="B14" s="4" t="s">
        <v>459</v>
      </c>
      <c r="C14" s="7">
        <v>4159</v>
      </c>
      <c r="D14" s="12" t="str">
        <f t="shared" si="0"/>
        <v>*</v>
      </c>
    </row>
    <row r="15" spans="1:4" x14ac:dyDescent="0.25">
      <c r="A15" s="2">
        <v>11116</v>
      </c>
      <c r="B15" s="4" t="s">
        <v>460</v>
      </c>
      <c r="C15" s="7">
        <v>594</v>
      </c>
      <c r="D15" s="12" t="str">
        <f t="shared" si="0"/>
        <v>*</v>
      </c>
    </row>
    <row r="16" spans="1:4" x14ac:dyDescent="0.25">
      <c r="A16" s="2">
        <v>11264</v>
      </c>
      <c r="B16" s="4" t="s">
        <v>461</v>
      </c>
      <c r="C16" s="7">
        <v>475</v>
      </c>
      <c r="D16" s="12" t="str">
        <f t="shared" si="0"/>
        <v>*</v>
      </c>
    </row>
    <row r="17" spans="1:4" x14ac:dyDescent="0.25">
      <c r="A17" s="2">
        <v>11287</v>
      </c>
      <c r="B17" s="4" t="s">
        <v>41</v>
      </c>
      <c r="C17" s="7">
        <v>492</v>
      </c>
      <c r="D17" s="12" t="str">
        <f t="shared" si="0"/>
        <v>*</v>
      </c>
    </row>
    <row r="18" spans="1:4" x14ac:dyDescent="0.25">
      <c r="A18" s="2">
        <v>11418</v>
      </c>
      <c r="B18" s="4" t="s">
        <v>425</v>
      </c>
      <c r="C18" s="7">
        <v>6284</v>
      </c>
      <c r="D18" s="12" t="str">
        <f t="shared" si="0"/>
        <v>*</v>
      </c>
    </row>
    <row r="19" spans="1:4" x14ac:dyDescent="0.25">
      <c r="A19" s="2">
        <v>11448</v>
      </c>
      <c r="B19" s="4" t="s">
        <v>39</v>
      </c>
      <c r="C19" s="7">
        <v>963</v>
      </c>
      <c r="D19" s="12" t="str">
        <f t="shared" si="0"/>
        <v>*</v>
      </c>
    </row>
    <row r="20" spans="1:4" x14ac:dyDescent="0.25">
      <c r="A20" s="2">
        <v>11509</v>
      </c>
      <c r="B20" s="4" t="s">
        <v>426</v>
      </c>
      <c r="C20" s="7">
        <v>5990</v>
      </c>
      <c r="D20" s="12" t="str">
        <f t="shared" si="0"/>
        <v>*</v>
      </c>
    </row>
    <row r="21" spans="1:4" x14ac:dyDescent="0.25">
      <c r="A21" s="2">
        <v>11590</v>
      </c>
      <c r="B21" s="4" t="s">
        <v>427</v>
      </c>
      <c r="C21" s="7">
        <v>2607</v>
      </c>
      <c r="D21" s="12" t="str">
        <f t="shared" si="0"/>
        <v>*</v>
      </c>
    </row>
    <row r="22" spans="1:4" x14ac:dyDescent="0.25">
      <c r="A22" s="2">
        <v>11857</v>
      </c>
      <c r="B22" s="4" t="s">
        <v>436</v>
      </c>
      <c r="C22" s="7">
        <v>25634</v>
      </c>
      <c r="D22" s="12" t="str">
        <f t="shared" si="0"/>
        <v>*</v>
      </c>
    </row>
    <row r="23" spans="1:4" x14ac:dyDescent="0.25">
      <c r="A23" s="2">
        <v>12018</v>
      </c>
      <c r="B23" s="4" t="s">
        <v>438</v>
      </c>
      <c r="C23" s="7">
        <v>265</v>
      </c>
      <c r="D23" s="12" t="str">
        <f t="shared" si="0"/>
        <v>*</v>
      </c>
    </row>
    <row r="24" spans="1:4" x14ac:dyDescent="0.25">
      <c r="A24" s="2">
        <v>12613</v>
      </c>
      <c r="B24" s="4" t="s">
        <v>439</v>
      </c>
      <c r="C24" s="7">
        <v>43051</v>
      </c>
      <c r="D24" s="12" t="str">
        <f t="shared" si="0"/>
        <v>*</v>
      </c>
    </row>
    <row r="25" spans="1:4" x14ac:dyDescent="0.25">
      <c r="A25" s="2">
        <v>12614</v>
      </c>
      <c r="B25" s="4" t="s">
        <v>440</v>
      </c>
      <c r="C25" s="7">
        <v>35033</v>
      </c>
      <c r="D25" s="12" t="str">
        <f t="shared" si="0"/>
        <v>*</v>
      </c>
    </row>
    <row r="26" spans="1:4" x14ac:dyDescent="0.25">
      <c r="A26" s="2">
        <v>12615</v>
      </c>
      <c r="B26" s="4" t="s">
        <v>382</v>
      </c>
      <c r="C26" s="7">
        <v>2530</v>
      </c>
      <c r="D26" s="12" t="str">
        <f t="shared" si="0"/>
        <v>*</v>
      </c>
    </row>
    <row r="27" spans="1:4" x14ac:dyDescent="0.25">
      <c r="A27" s="2">
        <v>12616</v>
      </c>
      <c r="B27" s="4" t="s">
        <v>270</v>
      </c>
      <c r="C27" s="7">
        <v>45601</v>
      </c>
      <c r="D27" s="12" t="str">
        <f t="shared" si="0"/>
        <v>*</v>
      </c>
    </row>
    <row r="28" spans="1:4" x14ac:dyDescent="0.25">
      <c r="A28" s="2">
        <v>12623</v>
      </c>
      <c r="B28" s="4" t="s">
        <v>86</v>
      </c>
      <c r="C28" s="7">
        <v>13650</v>
      </c>
      <c r="D28" s="12" t="str">
        <f t="shared" si="0"/>
        <v>*</v>
      </c>
    </row>
    <row r="29" spans="1:4" x14ac:dyDescent="0.25">
      <c r="A29" s="2">
        <v>12635</v>
      </c>
      <c r="B29" s="4" t="s">
        <v>87</v>
      </c>
      <c r="C29" s="7">
        <v>17163</v>
      </c>
      <c r="D29" s="12" t="str">
        <f t="shared" si="0"/>
        <v>*</v>
      </c>
    </row>
    <row r="30" spans="1:4" x14ac:dyDescent="0.25">
      <c r="A30" s="2">
        <v>12652</v>
      </c>
      <c r="B30" s="4" t="s">
        <v>210</v>
      </c>
      <c r="C30" s="7">
        <v>6994</v>
      </c>
      <c r="D30" s="12" t="str">
        <f t="shared" si="0"/>
        <v>*</v>
      </c>
    </row>
    <row r="31" spans="1:4" x14ac:dyDescent="0.25">
      <c r="A31" s="2">
        <v>12654</v>
      </c>
      <c r="B31" s="4" t="s">
        <v>211</v>
      </c>
      <c r="C31" s="7">
        <v>74689</v>
      </c>
      <c r="D31" s="12" t="str">
        <f t="shared" si="0"/>
        <v>*</v>
      </c>
    </row>
    <row r="32" spans="1:4" x14ac:dyDescent="0.25">
      <c r="A32" s="2">
        <v>12657</v>
      </c>
      <c r="B32" s="4" t="s">
        <v>199</v>
      </c>
      <c r="C32" s="7">
        <v>394</v>
      </c>
      <c r="D32" s="12" t="str">
        <f t="shared" si="0"/>
        <v>*</v>
      </c>
    </row>
    <row r="33" spans="1:4" x14ac:dyDescent="0.25">
      <c r="A33" s="2">
        <v>12659</v>
      </c>
      <c r="B33" s="4" t="s">
        <v>213</v>
      </c>
      <c r="C33" s="7">
        <v>1853</v>
      </c>
      <c r="D33" s="12" t="str">
        <f t="shared" si="0"/>
        <v>*</v>
      </c>
    </row>
    <row r="34" spans="1:4" x14ac:dyDescent="0.25">
      <c r="A34" s="2">
        <v>12673</v>
      </c>
      <c r="B34" s="4" t="s">
        <v>929</v>
      </c>
      <c r="C34" s="7">
        <v>178</v>
      </c>
      <c r="D34" s="12" t="str">
        <f t="shared" si="0"/>
        <v>*</v>
      </c>
    </row>
    <row r="35" spans="1:4" x14ac:dyDescent="0.25">
      <c r="A35" s="2">
        <v>12675</v>
      </c>
      <c r="B35" s="4" t="s">
        <v>189</v>
      </c>
      <c r="C35" s="7">
        <v>78</v>
      </c>
      <c r="D35" s="12" t="str">
        <f t="shared" si="0"/>
        <v>*</v>
      </c>
    </row>
    <row r="36" spans="1:4" x14ac:dyDescent="0.25">
      <c r="A36" s="2">
        <v>12685</v>
      </c>
      <c r="B36" s="4" t="s">
        <v>940</v>
      </c>
      <c r="C36" s="7">
        <v>34794</v>
      </c>
      <c r="D36" s="12" t="str">
        <f t="shared" si="0"/>
        <v>*</v>
      </c>
    </row>
    <row r="37" spans="1:4" x14ac:dyDescent="0.25">
      <c r="A37" s="2">
        <v>12712</v>
      </c>
      <c r="B37" s="4" t="s">
        <v>385</v>
      </c>
      <c r="C37" s="7">
        <v>291</v>
      </c>
      <c r="D37" s="12" t="str">
        <f t="shared" si="0"/>
        <v>*</v>
      </c>
    </row>
    <row r="38" spans="1:4" x14ac:dyDescent="0.25">
      <c r="A38" s="2">
        <v>12754</v>
      </c>
      <c r="B38" s="4" t="s">
        <v>192</v>
      </c>
      <c r="C38" s="7">
        <v>932</v>
      </c>
      <c r="D38" s="12" t="str">
        <f t="shared" si="0"/>
        <v>*</v>
      </c>
    </row>
    <row r="39" spans="1:4" x14ac:dyDescent="0.25">
      <c r="A39" s="2">
        <v>12763</v>
      </c>
      <c r="B39" s="4" t="s">
        <v>496</v>
      </c>
      <c r="C39" s="7">
        <v>801</v>
      </c>
      <c r="D39" s="12" t="str">
        <f t="shared" si="0"/>
        <v>*</v>
      </c>
    </row>
    <row r="40" spans="1:4" x14ac:dyDescent="0.25">
      <c r="A40" s="2">
        <v>12806</v>
      </c>
      <c r="B40" s="4" t="s">
        <v>13</v>
      </c>
      <c r="C40" s="7">
        <v>27</v>
      </c>
      <c r="D40" s="12" t="str">
        <f t="shared" si="0"/>
        <v>*</v>
      </c>
    </row>
    <row r="41" spans="1:4" x14ac:dyDescent="0.25">
      <c r="A41" s="2">
        <v>12812</v>
      </c>
      <c r="B41" s="4" t="s">
        <v>156</v>
      </c>
      <c r="C41" s="7">
        <v>25</v>
      </c>
      <c r="D41" s="12" t="str">
        <f t="shared" si="0"/>
        <v>*</v>
      </c>
    </row>
    <row r="42" spans="1:4" x14ac:dyDescent="0.25">
      <c r="A42" s="2">
        <v>12813</v>
      </c>
      <c r="B42" s="4" t="s">
        <v>283</v>
      </c>
      <c r="C42" s="7">
        <v>5</v>
      </c>
      <c r="D42" s="12" t="str">
        <f t="shared" si="0"/>
        <v>*</v>
      </c>
    </row>
    <row r="43" spans="1:4" x14ac:dyDescent="0.25">
      <c r="A43" s="2">
        <v>12818</v>
      </c>
      <c r="B43" s="4" t="s">
        <v>6</v>
      </c>
      <c r="C43" s="7">
        <v>195</v>
      </c>
      <c r="D43" s="12" t="str">
        <f t="shared" si="0"/>
        <v>*</v>
      </c>
    </row>
    <row r="44" spans="1:4" x14ac:dyDescent="0.25">
      <c r="A44" s="2">
        <v>12820</v>
      </c>
      <c r="B44" s="4" t="s">
        <v>232</v>
      </c>
      <c r="C44" s="7">
        <v>106</v>
      </c>
      <c r="D44" s="12" t="str">
        <f t="shared" si="0"/>
        <v>*</v>
      </c>
    </row>
    <row r="45" spans="1:4" x14ac:dyDescent="0.25">
      <c r="A45" s="2">
        <v>12821</v>
      </c>
      <c r="B45" s="4" t="s">
        <v>284</v>
      </c>
      <c r="C45" s="7">
        <v>20</v>
      </c>
      <c r="D45" s="12" t="str">
        <f t="shared" si="0"/>
        <v>*</v>
      </c>
    </row>
    <row r="46" spans="1:4" x14ac:dyDescent="0.25">
      <c r="A46" s="2">
        <v>12824</v>
      </c>
      <c r="B46" s="4" t="s">
        <v>285</v>
      </c>
      <c r="C46" s="7">
        <v>29</v>
      </c>
      <c r="D46" s="12" t="str">
        <f t="shared" si="0"/>
        <v>*</v>
      </c>
    </row>
    <row r="47" spans="1:4" x14ac:dyDescent="0.25">
      <c r="A47" s="2">
        <v>12829</v>
      </c>
      <c r="B47" s="4" t="s">
        <v>7</v>
      </c>
      <c r="C47" s="7">
        <v>175</v>
      </c>
      <c r="D47" s="12" t="str">
        <f t="shared" si="0"/>
        <v>*</v>
      </c>
    </row>
    <row r="48" spans="1:4" x14ac:dyDescent="0.25">
      <c r="A48" s="2">
        <v>12830</v>
      </c>
      <c r="B48" s="4" t="s">
        <v>732</v>
      </c>
      <c r="C48" s="7">
        <v>248</v>
      </c>
      <c r="D48" s="12" t="str">
        <f t="shared" si="0"/>
        <v>*</v>
      </c>
    </row>
    <row r="49" spans="1:4" x14ac:dyDescent="0.25">
      <c r="A49" s="2">
        <v>12831</v>
      </c>
      <c r="B49" s="4" t="s">
        <v>8</v>
      </c>
      <c r="C49" s="7">
        <v>82</v>
      </c>
      <c r="D49" s="12" t="str">
        <f t="shared" si="0"/>
        <v>*</v>
      </c>
    </row>
    <row r="50" spans="1:4" x14ac:dyDescent="0.25">
      <c r="A50" s="2">
        <v>12835</v>
      </c>
      <c r="B50" s="4" t="s">
        <v>733</v>
      </c>
      <c r="C50" s="7">
        <v>261</v>
      </c>
      <c r="D50" s="12" t="str">
        <f t="shared" si="0"/>
        <v>*</v>
      </c>
    </row>
    <row r="51" spans="1:4" x14ac:dyDescent="0.25">
      <c r="A51" s="2">
        <v>12838</v>
      </c>
      <c r="B51" s="4" t="s">
        <v>9</v>
      </c>
      <c r="C51" s="7">
        <v>108</v>
      </c>
      <c r="D51" s="12" t="str">
        <f t="shared" si="0"/>
        <v>*</v>
      </c>
    </row>
    <row r="52" spans="1:4" x14ac:dyDescent="0.25">
      <c r="A52" s="2">
        <v>12847</v>
      </c>
      <c r="B52" s="4" t="s">
        <v>239</v>
      </c>
      <c r="C52" s="7">
        <v>3093</v>
      </c>
      <c r="D52" s="12" t="str">
        <f t="shared" si="0"/>
        <v>*</v>
      </c>
    </row>
    <row r="53" spans="1:4" x14ac:dyDescent="0.25">
      <c r="A53" s="2">
        <v>12853</v>
      </c>
      <c r="B53" s="4" t="s">
        <v>964</v>
      </c>
      <c r="C53" s="7">
        <v>123</v>
      </c>
      <c r="D53" s="12" t="str">
        <f t="shared" si="0"/>
        <v>*</v>
      </c>
    </row>
    <row r="54" spans="1:4" x14ac:dyDescent="0.25">
      <c r="A54" s="2">
        <v>12856</v>
      </c>
      <c r="B54" s="4" t="s">
        <v>965</v>
      </c>
      <c r="C54" s="7">
        <v>3529</v>
      </c>
      <c r="D54" s="12" t="str">
        <f t="shared" si="0"/>
        <v>*</v>
      </c>
    </row>
    <row r="55" spans="1:4" x14ac:dyDescent="0.25">
      <c r="A55" s="2">
        <v>12857</v>
      </c>
      <c r="B55" s="4" t="s">
        <v>153</v>
      </c>
      <c r="C55" s="7">
        <v>357</v>
      </c>
      <c r="D55" s="12" t="str">
        <f t="shared" si="0"/>
        <v>*</v>
      </c>
    </row>
    <row r="56" spans="1:4" x14ac:dyDescent="0.25">
      <c r="A56" s="2">
        <v>12869</v>
      </c>
      <c r="B56" s="4" t="s">
        <v>734</v>
      </c>
      <c r="C56" s="7">
        <v>0</v>
      </c>
      <c r="D56" s="12" t="str">
        <f t="shared" si="0"/>
        <v>*</v>
      </c>
    </row>
    <row r="57" spans="1:4" x14ac:dyDescent="0.25">
      <c r="A57" s="2">
        <v>12877</v>
      </c>
      <c r="B57" s="4" t="s">
        <v>176</v>
      </c>
      <c r="C57" s="7">
        <v>371</v>
      </c>
      <c r="D57" s="12" t="str">
        <f t="shared" si="0"/>
        <v>*</v>
      </c>
    </row>
    <row r="58" spans="1:4" x14ac:dyDescent="0.25">
      <c r="A58" s="2">
        <v>12881</v>
      </c>
      <c r="B58" s="4" t="s">
        <v>735</v>
      </c>
      <c r="C58" s="7">
        <v>200</v>
      </c>
      <c r="D58" s="12" t="str">
        <f t="shared" si="0"/>
        <v>*</v>
      </c>
    </row>
    <row r="59" spans="1:4" x14ac:dyDescent="0.25">
      <c r="A59" s="2">
        <v>12884</v>
      </c>
      <c r="B59" s="4" t="s">
        <v>286</v>
      </c>
      <c r="C59" s="7">
        <v>241</v>
      </c>
      <c r="D59" s="12" t="str">
        <f t="shared" si="0"/>
        <v>*</v>
      </c>
    </row>
    <row r="60" spans="1:4" x14ac:dyDescent="0.25">
      <c r="A60" s="2">
        <v>12886</v>
      </c>
      <c r="B60" s="4" t="s">
        <v>736</v>
      </c>
      <c r="C60" s="7">
        <v>151</v>
      </c>
      <c r="D60" s="12" t="str">
        <f t="shared" si="0"/>
        <v>*</v>
      </c>
    </row>
    <row r="61" spans="1:4" x14ac:dyDescent="0.25">
      <c r="A61" s="2">
        <v>12891</v>
      </c>
      <c r="B61" s="4" t="s">
        <v>296</v>
      </c>
      <c r="C61" s="7">
        <v>75</v>
      </c>
      <c r="D61" s="12" t="str">
        <f t="shared" si="0"/>
        <v>*</v>
      </c>
    </row>
    <row r="62" spans="1:4" x14ac:dyDescent="0.25">
      <c r="A62" s="2">
        <v>12894</v>
      </c>
      <c r="B62" s="4" t="s">
        <v>737</v>
      </c>
      <c r="C62" s="7">
        <v>894</v>
      </c>
      <c r="D62" s="12" t="str">
        <f t="shared" si="0"/>
        <v>*</v>
      </c>
    </row>
    <row r="63" spans="1:4" x14ac:dyDescent="0.25">
      <c r="A63" s="2">
        <v>12922</v>
      </c>
      <c r="B63" s="4" t="s">
        <v>282</v>
      </c>
      <c r="C63" s="7">
        <v>24</v>
      </c>
      <c r="D63" s="12" t="str">
        <f t="shared" si="0"/>
        <v>*</v>
      </c>
    </row>
    <row r="64" spans="1:4" x14ac:dyDescent="0.25">
      <c r="A64" s="2">
        <v>12948</v>
      </c>
      <c r="B64" s="4" t="s">
        <v>738</v>
      </c>
      <c r="C64" s="7">
        <v>14</v>
      </c>
      <c r="D64" s="12" t="str">
        <f t="shared" si="0"/>
        <v>*</v>
      </c>
    </row>
    <row r="65" spans="1:4" x14ac:dyDescent="0.25">
      <c r="A65" s="2">
        <v>12950</v>
      </c>
      <c r="B65" s="4" t="s">
        <v>739</v>
      </c>
      <c r="C65" s="7">
        <v>91</v>
      </c>
      <c r="D65" s="12" t="str">
        <f t="shared" si="0"/>
        <v>*</v>
      </c>
    </row>
    <row r="66" spans="1:4" x14ac:dyDescent="0.25">
      <c r="A66" s="2">
        <v>12956</v>
      </c>
      <c r="B66" s="4" t="s">
        <v>740</v>
      </c>
      <c r="C66" s="7">
        <v>483</v>
      </c>
      <c r="D66" s="12" t="str">
        <f t="shared" si="0"/>
        <v>*</v>
      </c>
    </row>
    <row r="67" spans="1:4" x14ac:dyDescent="0.25">
      <c r="A67" s="2">
        <v>12971</v>
      </c>
      <c r="B67" s="4" t="s">
        <v>21</v>
      </c>
      <c r="C67" s="7">
        <v>151</v>
      </c>
      <c r="D67" s="12" t="str">
        <f t="shared" si="0"/>
        <v>*</v>
      </c>
    </row>
    <row r="68" spans="1:4" x14ac:dyDescent="0.25">
      <c r="A68" s="2">
        <v>12989</v>
      </c>
      <c r="B68" s="4" t="s">
        <v>619</v>
      </c>
      <c r="C68" s="7">
        <v>202</v>
      </c>
      <c r="D68" s="12" t="str">
        <f t="shared" ref="D68:D131" si="1">IF($D$3="FIM","*","")</f>
        <v>*</v>
      </c>
    </row>
    <row r="69" spans="1:4" x14ac:dyDescent="0.25">
      <c r="A69" s="2">
        <v>12992</v>
      </c>
      <c r="B69" s="4" t="s">
        <v>103</v>
      </c>
      <c r="C69" s="7">
        <v>59</v>
      </c>
      <c r="D69" s="12" t="str">
        <f t="shared" si="1"/>
        <v>*</v>
      </c>
    </row>
    <row r="70" spans="1:4" x14ac:dyDescent="0.25">
      <c r="A70" s="2">
        <v>13009</v>
      </c>
      <c r="B70" s="4" t="s">
        <v>648</v>
      </c>
      <c r="C70" s="7">
        <v>499</v>
      </c>
      <c r="D70" s="12" t="str">
        <f t="shared" si="1"/>
        <v>*</v>
      </c>
    </row>
    <row r="71" spans="1:4" x14ac:dyDescent="0.25">
      <c r="A71" s="2">
        <v>13021</v>
      </c>
      <c r="B71" s="4" t="s">
        <v>837</v>
      </c>
      <c r="C71" s="7">
        <v>1</v>
      </c>
      <c r="D71" s="12" t="str">
        <f t="shared" si="1"/>
        <v>*</v>
      </c>
    </row>
    <row r="72" spans="1:4" x14ac:dyDescent="0.25">
      <c r="A72" s="2">
        <v>13033</v>
      </c>
      <c r="B72" s="4" t="s">
        <v>539</v>
      </c>
      <c r="C72" s="7">
        <v>20</v>
      </c>
      <c r="D72" s="12" t="str">
        <f t="shared" si="1"/>
        <v>*</v>
      </c>
    </row>
    <row r="73" spans="1:4" x14ac:dyDescent="0.25">
      <c r="A73" s="2">
        <v>13053</v>
      </c>
      <c r="B73" s="4" t="s">
        <v>375</v>
      </c>
      <c r="C73" s="7">
        <v>828</v>
      </c>
      <c r="D73" s="12" t="str">
        <f t="shared" si="1"/>
        <v>*</v>
      </c>
    </row>
    <row r="74" spans="1:4" x14ac:dyDescent="0.25">
      <c r="A74" s="2">
        <v>13059</v>
      </c>
      <c r="B74" s="4" t="s">
        <v>368</v>
      </c>
      <c r="C74" s="7">
        <v>270</v>
      </c>
      <c r="D74" s="12" t="str">
        <f t="shared" si="1"/>
        <v>*</v>
      </c>
    </row>
    <row r="75" spans="1:4" x14ac:dyDescent="0.25">
      <c r="A75" s="2">
        <v>13060</v>
      </c>
      <c r="B75" s="4" t="s">
        <v>369</v>
      </c>
      <c r="C75" s="7">
        <v>265</v>
      </c>
      <c r="D75" s="12" t="str">
        <f t="shared" si="1"/>
        <v>*</v>
      </c>
    </row>
    <row r="76" spans="1:4" x14ac:dyDescent="0.25">
      <c r="A76" s="2">
        <v>13063</v>
      </c>
      <c r="B76" s="4" t="s">
        <v>776</v>
      </c>
      <c r="C76" s="7">
        <v>605</v>
      </c>
      <c r="D76" s="12" t="str">
        <f t="shared" si="1"/>
        <v>*</v>
      </c>
    </row>
    <row r="77" spans="1:4" x14ac:dyDescent="0.25">
      <c r="A77" s="2">
        <v>13064</v>
      </c>
      <c r="B77" s="4" t="s">
        <v>777</v>
      </c>
      <c r="C77" s="7">
        <v>1128</v>
      </c>
      <c r="D77" s="12" t="str">
        <f t="shared" si="1"/>
        <v>*</v>
      </c>
    </row>
    <row r="78" spans="1:4" x14ac:dyDescent="0.25">
      <c r="A78" s="2">
        <v>13066</v>
      </c>
      <c r="B78" s="4" t="s">
        <v>157</v>
      </c>
      <c r="C78" s="7">
        <v>345</v>
      </c>
      <c r="D78" s="12" t="str">
        <f t="shared" si="1"/>
        <v>*</v>
      </c>
    </row>
    <row r="79" spans="1:4" x14ac:dyDescent="0.25">
      <c r="A79" s="2">
        <v>13068</v>
      </c>
      <c r="B79" s="4" t="s">
        <v>741</v>
      </c>
      <c r="C79" s="7">
        <v>18</v>
      </c>
      <c r="D79" s="12" t="str">
        <f t="shared" si="1"/>
        <v>*</v>
      </c>
    </row>
    <row r="80" spans="1:4" x14ac:dyDescent="0.25">
      <c r="A80" s="2">
        <v>13072</v>
      </c>
      <c r="B80" s="4" t="s">
        <v>742</v>
      </c>
      <c r="C80" s="7">
        <v>200</v>
      </c>
      <c r="D80" s="12" t="str">
        <f t="shared" si="1"/>
        <v>*</v>
      </c>
    </row>
    <row r="81" spans="1:4" x14ac:dyDescent="0.25">
      <c r="A81" s="2">
        <v>13087</v>
      </c>
      <c r="B81" s="4" t="s">
        <v>160</v>
      </c>
      <c r="C81" s="7">
        <v>35</v>
      </c>
      <c r="D81" s="12" t="str">
        <f t="shared" si="1"/>
        <v>*</v>
      </c>
    </row>
    <row r="82" spans="1:4" x14ac:dyDescent="0.25">
      <c r="A82" s="2">
        <v>13088</v>
      </c>
      <c r="B82" s="4" t="s">
        <v>158</v>
      </c>
      <c r="C82" s="7">
        <v>28</v>
      </c>
      <c r="D82" s="12" t="str">
        <f t="shared" si="1"/>
        <v>*</v>
      </c>
    </row>
    <row r="83" spans="1:4" x14ac:dyDescent="0.25">
      <c r="A83" s="2">
        <v>13091</v>
      </c>
      <c r="B83" s="4" t="s">
        <v>466</v>
      </c>
      <c r="C83" s="7">
        <v>3839</v>
      </c>
      <c r="D83" s="12" t="str">
        <f t="shared" si="1"/>
        <v>*</v>
      </c>
    </row>
    <row r="84" spans="1:4" x14ac:dyDescent="0.25">
      <c r="A84" s="2">
        <v>13092</v>
      </c>
      <c r="B84" s="4" t="s">
        <v>312</v>
      </c>
      <c r="C84" s="7">
        <v>88</v>
      </c>
      <c r="D84" s="12" t="str">
        <f t="shared" si="1"/>
        <v>*</v>
      </c>
    </row>
    <row r="85" spans="1:4" x14ac:dyDescent="0.25">
      <c r="A85" s="2">
        <v>13094</v>
      </c>
      <c r="B85" s="4" t="s">
        <v>507</v>
      </c>
      <c r="C85" s="7">
        <v>989</v>
      </c>
      <c r="D85" s="12" t="str">
        <f t="shared" si="1"/>
        <v>*</v>
      </c>
    </row>
    <row r="86" spans="1:4" x14ac:dyDescent="0.25">
      <c r="A86" s="2">
        <v>13095</v>
      </c>
      <c r="B86" s="4" t="s">
        <v>743</v>
      </c>
      <c r="C86" s="7">
        <v>65</v>
      </c>
      <c r="D86" s="12" t="str">
        <f t="shared" si="1"/>
        <v>*</v>
      </c>
    </row>
    <row r="87" spans="1:4" x14ac:dyDescent="0.25">
      <c r="A87" s="2">
        <v>13101</v>
      </c>
      <c r="B87" s="4" t="s">
        <v>980</v>
      </c>
      <c r="C87" s="7">
        <v>22</v>
      </c>
      <c r="D87" s="12" t="str">
        <f t="shared" si="1"/>
        <v>*</v>
      </c>
    </row>
    <row r="88" spans="1:4" x14ac:dyDescent="0.25">
      <c r="A88" s="2">
        <v>13102</v>
      </c>
      <c r="B88" s="4" t="s">
        <v>744</v>
      </c>
      <c r="C88" s="7">
        <v>8</v>
      </c>
      <c r="D88" s="12" t="str">
        <f t="shared" si="1"/>
        <v>*</v>
      </c>
    </row>
    <row r="89" spans="1:4" x14ac:dyDescent="0.25">
      <c r="A89" s="2">
        <v>13109</v>
      </c>
      <c r="B89" s="4" t="s">
        <v>981</v>
      </c>
      <c r="C89" s="7">
        <v>109</v>
      </c>
      <c r="D89" s="12" t="str">
        <f t="shared" si="1"/>
        <v>*</v>
      </c>
    </row>
    <row r="90" spans="1:4" x14ac:dyDescent="0.25">
      <c r="A90" s="2">
        <v>13116</v>
      </c>
      <c r="B90" s="4" t="s">
        <v>787</v>
      </c>
      <c r="C90" s="7">
        <v>26</v>
      </c>
      <c r="D90" s="12" t="str">
        <f t="shared" si="1"/>
        <v>*</v>
      </c>
    </row>
    <row r="91" spans="1:4" x14ac:dyDescent="0.25">
      <c r="A91" s="2">
        <v>13117</v>
      </c>
      <c r="B91" s="4" t="s">
        <v>318</v>
      </c>
      <c r="C91" s="7">
        <v>65</v>
      </c>
      <c r="D91" s="12" t="str">
        <f t="shared" si="1"/>
        <v>*</v>
      </c>
    </row>
    <row r="92" spans="1:4" x14ac:dyDescent="0.25">
      <c r="A92" s="2">
        <v>13120</v>
      </c>
      <c r="B92" s="4" t="s">
        <v>788</v>
      </c>
      <c r="C92" s="7">
        <v>10</v>
      </c>
      <c r="D92" s="12" t="str">
        <f t="shared" si="1"/>
        <v>*</v>
      </c>
    </row>
    <row r="93" spans="1:4" x14ac:dyDescent="0.25">
      <c r="A93" s="2">
        <v>13161</v>
      </c>
      <c r="B93" s="4" t="s">
        <v>781</v>
      </c>
      <c r="C93" s="7">
        <v>428</v>
      </c>
      <c r="D93" s="12" t="str">
        <f t="shared" si="1"/>
        <v>*</v>
      </c>
    </row>
    <row r="94" spans="1:4" x14ac:dyDescent="0.25">
      <c r="A94" s="2">
        <v>13165</v>
      </c>
      <c r="B94" s="4" t="s">
        <v>782</v>
      </c>
      <c r="C94" s="7">
        <v>647</v>
      </c>
      <c r="D94" s="12" t="str">
        <f t="shared" si="1"/>
        <v>*</v>
      </c>
    </row>
    <row r="95" spans="1:4" x14ac:dyDescent="0.25">
      <c r="A95" s="2">
        <v>13175</v>
      </c>
      <c r="B95" s="4" t="s">
        <v>783</v>
      </c>
      <c r="C95" s="7">
        <v>352</v>
      </c>
      <c r="D95" s="12" t="str">
        <f t="shared" si="1"/>
        <v>*</v>
      </c>
    </row>
    <row r="96" spans="1:4" x14ac:dyDescent="0.25">
      <c r="A96" s="2">
        <v>13178</v>
      </c>
      <c r="B96" s="4" t="s">
        <v>853</v>
      </c>
      <c r="C96" s="7">
        <v>7511</v>
      </c>
      <c r="D96" s="12" t="str">
        <f t="shared" si="1"/>
        <v>*</v>
      </c>
    </row>
    <row r="97" spans="1:4" x14ac:dyDescent="0.25">
      <c r="A97" s="2">
        <v>13179</v>
      </c>
      <c r="B97" s="4" t="s">
        <v>854</v>
      </c>
      <c r="C97" s="7">
        <v>10076</v>
      </c>
      <c r="D97" s="12" t="str">
        <f t="shared" si="1"/>
        <v>*</v>
      </c>
    </row>
    <row r="98" spans="1:4" x14ac:dyDescent="0.25">
      <c r="A98" s="2">
        <v>13180</v>
      </c>
      <c r="B98" s="4" t="s">
        <v>513</v>
      </c>
      <c r="C98" s="7">
        <v>175</v>
      </c>
      <c r="D98" s="12" t="str">
        <f t="shared" si="1"/>
        <v>*</v>
      </c>
    </row>
    <row r="99" spans="1:4" x14ac:dyDescent="0.25">
      <c r="A99" s="2">
        <v>13181</v>
      </c>
      <c r="B99" s="4" t="s">
        <v>514</v>
      </c>
      <c r="C99" s="7">
        <v>45</v>
      </c>
      <c r="D99" s="12" t="str">
        <f t="shared" si="1"/>
        <v>*</v>
      </c>
    </row>
    <row r="100" spans="1:4" x14ac:dyDescent="0.25">
      <c r="A100" s="2">
        <v>13186</v>
      </c>
      <c r="B100" s="4" t="s">
        <v>950</v>
      </c>
      <c r="C100" s="7">
        <v>70</v>
      </c>
      <c r="D100" s="12" t="str">
        <f t="shared" si="1"/>
        <v>*</v>
      </c>
    </row>
    <row r="101" spans="1:4" x14ac:dyDescent="0.25">
      <c r="A101" s="2">
        <v>13192</v>
      </c>
      <c r="B101" s="4" t="s">
        <v>555</v>
      </c>
      <c r="C101" s="7">
        <v>41</v>
      </c>
      <c r="D101" s="12" t="str">
        <f t="shared" si="1"/>
        <v>*</v>
      </c>
    </row>
    <row r="102" spans="1:4" x14ac:dyDescent="0.25">
      <c r="A102" s="2">
        <v>13197</v>
      </c>
      <c r="B102" s="4" t="s">
        <v>504</v>
      </c>
      <c r="C102" s="7">
        <v>0</v>
      </c>
      <c r="D102" s="12" t="str">
        <f t="shared" si="1"/>
        <v>*</v>
      </c>
    </row>
    <row r="103" spans="1:4" x14ac:dyDescent="0.25">
      <c r="A103" s="2">
        <v>13199</v>
      </c>
      <c r="B103" s="4" t="s">
        <v>147</v>
      </c>
      <c r="C103" s="7">
        <v>260</v>
      </c>
      <c r="D103" s="12" t="str">
        <f t="shared" si="1"/>
        <v>*</v>
      </c>
    </row>
    <row r="104" spans="1:4" x14ac:dyDescent="0.25">
      <c r="A104" s="2">
        <v>13218</v>
      </c>
      <c r="B104" s="4" t="s">
        <v>161</v>
      </c>
      <c r="C104" s="7">
        <v>162</v>
      </c>
      <c r="D104" s="12" t="str">
        <f t="shared" si="1"/>
        <v>*</v>
      </c>
    </row>
    <row r="105" spans="1:4" x14ac:dyDescent="0.25">
      <c r="A105" s="2">
        <v>13221</v>
      </c>
      <c r="B105" s="4" t="s">
        <v>818</v>
      </c>
      <c r="C105" s="7">
        <v>1105</v>
      </c>
      <c r="D105" s="12" t="str">
        <f t="shared" si="1"/>
        <v>*</v>
      </c>
    </row>
    <row r="106" spans="1:4" x14ac:dyDescent="0.25">
      <c r="A106" s="2">
        <v>13222</v>
      </c>
      <c r="B106" s="4" t="s">
        <v>819</v>
      </c>
      <c r="C106" s="7">
        <v>285</v>
      </c>
      <c r="D106" s="12" t="str">
        <f t="shared" si="1"/>
        <v>*</v>
      </c>
    </row>
    <row r="107" spans="1:4" x14ac:dyDescent="0.25">
      <c r="A107" s="2">
        <v>13225</v>
      </c>
      <c r="B107" s="4" t="s">
        <v>508</v>
      </c>
      <c r="C107" s="7">
        <v>216</v>
      </c>
      <c r="D107" s="12" t="str">
        <f t="shared" si="1"/>
        <v>*</v>
      </c>
    </row>
    <row r="108" spans="1:4" x14ac:dyDescent="0.25">
      <c r="A108" s="2">
        <v>13517</v>
      </c>
      <c r="B108" s="4" t="s">
        <v>745</v>
      </c>
      <c r="C108" s="7">
        <v>32</v>
      </c>
      <c r="D108" s="12" t="str">
        <f t="shared" si="1"/>
        <v>*</v>
      </c>
    </row>
    <row r="109" spans="1:4" x14ac:dyDescent="0.25">
      <c r="A109" s="2">
        <v>13518</v>
      </c>
      <c r="B109" s="4" t="s">
        <v>746</v>
      </c>
      <c r="C109" s="7">
        <v>64</v>
      </c>
      <c r="D109" s="12" t="str">
        <f t="shared" si="1"/>
        <v>*</v>
      </c>
    </row>
    <row r="110" spans="1:4" x14ac:dyDescent="0.25">
      <c r="A110" s="2">
        <v>13539</v>
      </c>
      <c r="B110" s="4" t="s">
        <v>479</v>
      </c>
      <c r="C110" s="7">
        <v>2991</v>
      </c>
      <c r="D110" s="12" t="str">
        <f t="shared" si="1"/>
        <v>*</v>
      </c>
    </row>
    <row r="111" spans="1:4" x14ac:dyDescent="0.25">
      <c r="A111" s="2">
        <v>13556</v>
      </c>
      <c r="B111" s="4" t="s">
        <v>725</v>
      </c>
      <c r="C111" s="7">
        <v>30</v>
      </c>
      <c r="D111" s="12" t="str">
        <f t="shared" si="1"/>
        <v>*</v>
      </c>
    </row>
    <row r="112" spans="1:4" x14ac:dyDescent="0.25">
      <c r="A112" s="2">
        <v>13558</v>
      </c>
      <c r="B112" s="4" t="s">
        <v>251</v>
      </c>
      <c r="C112" s="7">
        <v>43</v>
      </c>
      <c r="D112" s="12" t="str">
        <f t="shared" si="1"/>
        <v>*</v>
      </c>
    </row>
    <row r="113" spans="1:4" x14ac:dyDescent="0.25">
      <c r="A113" s="2">
        <v>13559</v>
      </c>
      <c r="B113" s="4" t="s">
        <v>252</v>
      </c>
      <c r="C113" s="7">
        <v>149</v>
      </c>
      <c r="D113" s="12" t="str">
        <f t="shared" si="1"/>
        <v>*</v>
      </c>
    </row>
    <row r="114" spans="1:4" x14ac:dyDescent="0.25">
      <c r="A114" s="2">
        <v>13560</v>
      </c>
      <c r="B114" s="4" t="s">
        <v>253</v>
      </c>
      <c r="C114" s="7">
        <v>17</v>
      </c>
      <c r="D114" s="12" t="str">
        <f t="shared" si="1"/>
        <v>*</v>
      </c>
    </row>
    <row r="115" spans="1:4" x14ac:dyDescent="0.25">
      <c r="A115" s="2">
        <v>13561</v>
      </c>
      <c r="B115" s="4" t="s">
        <v>254</v>
      </c>
      <c r="C115" s="7">
        <v>74</v>
      </c>
      <c r="D115" s="12" t="str">
        <f t="shared" si="1"/>
        <v>*</v>
      </c>
    </row>
    <row r="116" spans="1:4" x14ac:dyDescent="0.25">
      <c r="A116" s="2">
        <v>13562</v>
      </c>
      <c r="B116" s="4" t="s">
        <v>255</v>
      </c>
      <c r="C116" s="7">
        <v>252</v>
      </c>
      <c r="D116" s="12" t="str">
        <f t="shared" si="1"/>
        <v>*</v>
      </c>
    </row>
    <row r="117" spans="1:4" x14ac:dyDescent="0.25">
      <c r="A117" s="2">
        <v>13563</v>
      </c>
      <c r="B117" s="4" t="s">
        <v>789</v>
      </c>
      <c r="C117" s="7">
        <v>381</v>
      </c>
      <c r="D117" s="12" t="str">
        <f t="shared" si="1"/>
        <v>*</v>
      </c>
    </row>
    <row r="118" spans="1:4" x14ac:dyDescent="0.25">
      <c r="A118" s="2">
        <v>13655</v>
      </c>
      <c r="B118" s="4" t="s">
        <v>441</v>
      </c>
      <c r="C118" s="7">
        <v>10836</v>
      </c>
      <c r="D118" s="12" t="str">
        <f t="shared" si="1"/>
        <v>*</v>
      </c>
    </row>
    <row r="119" spans="1:4" x14ac:dyDescent="0.25">
      <c r="A119" s="2">
        <v>13768</v>
      </c>
      <c r="B119" s="4" t="s">
        <v>442</v>
      </c>
      <c r="C119" s="7">
        <v>1858</v>
      </c>
      <c r="D119" s="12" t="str">
        <f t="shared" si="1"/>
        <v>*</v>
      </c>
    </row>
    <row r="120" spans="1:4" x14ac:dyDescent="0.25">
      <c r="A120" s="2">
        <v>13905</v>
      </c>
      <c r="B120" s="4" t="s">
        <v>387</v>
      </c>
      <c r="C120" s="7">
        <v>5721</v>
      </c>
      <c r="D120" s="12" t="str">
        <f t="shared" si="1"/>
        <v>*</v>
      </c>
    </row>
    <row r="121" spans="1:4" x14ac:dyDescent="0.25">
      <c r="A121" s="2">
        <v>13975</v>
      </c>
      <c r="B121" s="4" t="s">
        <v>196</v>
      </c>
      <c r="C121" s="7">
        <v>150</v>
      </c>
      <c r="D121" s="12" t="str">
        <f t="shared" si="1"/>
        <v>*</v>
      </c>
    </row>
    <row r="122" spans="1:4" x14ac:dyDescent="0.25">
      <c r="A122" s="2">
        <v>13991</v>
      </c>
      <c r="B122" s="4" t="s">
        <v>193</v>
      </c>
      <c r="C122" s="7">
        <v>382</v>
      </c>
      <c r="D122" s="12" t="str">
        <f t="shared" si="1"/>
        <v>*</v>
      </c>
    </row>
    <row r="123" spans="1:4" x14ac:dyDescent="0.25">
      <c r="A123" s="2">
        <v>14001</v>
      </c>
      <c r="B123" s="4" t="s">
        <v>497</v>
      </c>
      <c r="C123" s="7">
        <v>153</v>
      </c>
      <c r="D123" s="12" t="str">
        <f t="shared" si="1"/>
        <v>*</v>
      </c>
    </row>
    <row r="124" spans="1:4" x14ac:dyDescent="0.25">
      <c r="A124" s="2">
        <v>14012</v>
      </c>
      <c r="B124" s="4" t="s">
        <v>686</v>
      </c>
      <c r="C124" s="7">
        <v>445</v>
      </c>
      <c r="D124" s="12" t="str">
        <f t="shared" si="1"/>
        <v>*</v>
      </c>
    </row>
    <row r="125" spans="1:4" x14ac:dyDescent="0.25">
      <c r="A125" s="2">
        <v>14013</v>
      </c>
      <c r="B125" s="4" t="s">
        <v>35</v>
      </c>
      <c r="C125" s="7">
        <v>171</v>
      </c>
      <c r="D125" s="12" t="str">
        <f t="shared" si="1"/>
        <v>*</v>
      </c>
    </row>
    <row r="126" spans="1:4" x14ac:dyDescent="0.25">
      <c r="A126" s="2">
        <v>14014</v>
      </c>
      <c r="B126" s="4" t="s">
        <v>687</v>
      </c>
      <c r="C126" s="7">
        <v>3</v>
      </c>
      <c r="D126" s="12" t="str">
        <f t="shared" si="1"/>
        <v>*</v>
      </c>
    </row>
    <row r="127" spans="1:4" x14ac:dyDescent="0.25">
      <c r="A127" s="2">
        <v>14055</v>
      </c>
      <c r="B127" s="4" t="s">
        <v>838</v>
      </c>
      <c r="C127" s="7">
        <v>27</v>
      </c>
      <c r="D127" s="12" t="str">
        <f t="shared" si="1"/>
        <v>*</v>
      </c>
    </row>
    <row r="128" spans="1:4" x14ac:dyDescent="0.25">
      <c r="A128" s="2">
        <v>14056</v>
      </c>
      <c r="B128" s="4" t="s">
        <v>515</v>
      </c>
      <c r="C128" s="7">
        <v>1</v>
      </c>
      <c r="D128" s="12" t="str">
        <f t="shared" si="1"/>
        <v>*</v>
      </c>
    </row>
    <row r="129" spans="1:4" x14ac:dyDescent="0.25">
      <c r="A129" s="2">
        <v>14121</v>
      </c>
      <c r="B129" s="4" t="s">
        <v>935</v>
      </c>
      <c r="C129" s="7">
        <v>52456</v>
      </c>
      <c r="D129" s="12" t="str">
        <f t="shared" si="1"/>
        <v>*</v>
      </c>
    </row>
    <row r="130" spans="1:4" x14ac:dyDescent="0.25">
      <c r="A130" s="2">
        <v>14154</v>
      </c>
      <c r="B130" s="4" t="s">
        <v>194</v>
      </c>
      <c r="C130" s="7">
        <v>8083</v>
      </c>
      <c r="D130" s="12" t="str">
        <f t="shared" si="1"/>
        <v>*</v>
      </c>
    </row>
    <row r="131" spans="1:4" x14ac:dyDescent="0.25">
      <c r="A131" s="2">
        <v>14199</v>
      </c>
      <c r="B131" s="4" t="s">
        <v>384</v>
      </c>
      <c r="C131" s="7">
        <v>1460</v>
      </c>
      <c r="D131" s="12" t="str">
        <f t="shared" si="1"/>
        <v>*</v>
      </c>
    </row>
    <row r="132" spans="1:4" x14ac:dyDescent="0.25">
      <c r="A132" s="2">
        <v>14662</v>
      </c>
      <c r="B132" s="4" t="s">
        <v>498</v>
      </c>
      <c r="C132" s="7">
        <v>2336</v>
      </c>
      <c r="D132" s="12" t="str">
        <f t="shared" ref="D132:D195" si="2">IF($D$3="FIM","*","")</f>
        <v>*</v>
      </c>
    </row>
    <row r="133" spans="1:4" x14ac:dyDescent="0.25">
      <c r="A133" s="2">
        <v>14737</v>
      </c>
      <c r="B133" s="4" t="s">
        <v>179</v>
      </c>
      <c r="C133" s="7">
        <v>23</v>
      </c>
      <c r="D133" s="12" t="str">
        <f t="shared" si="2"/>
        <v>*</v>
      </c>
    </row>
    <row r="134" spans="1:4" x14ac:dyDescent="0.25">
      <c r="A134" s="2">
        <v>14754</v>
      </c>
      <c r="B134" s="4" t="s">
        <v>682</v>
      </c>
      <c r="C134" s="7">
        <v>65</v>
      </c>
      <c r="D134" s="12" t="str">
        <f t="shared" si="2"/>
        <v>*</v>
      </c>
    </row>
    <row r="135" spans="1:4" x14ac:dyDescent="0.25">
      <c r="A135" s="2">
        <v>14784</v>
      </c>
      <c r="B135" s="4" t="s">
        <v>649</v>
      </c>
      <c r="C135" s="7">
        <v>56</v>
      </c>
      <c r="D135" s="12" t="str">
        <f t="shared" si="2"/>
        <v>*</v>
      </c>
    </row>
    <row r="136" spans="1:4" x14ac:dyDescent="0.25">
      <c r="A136" s="2">
        <v>14831</v>
      </c>
      <c r="B136" s="4" t="s">
        <v>20</v>
      </c>
      <c r="C136" s="7">
        <v>283</v>
      </c>
      <c r="D136" s="12" t="str">
        <f t="shared" si="2"/>
        <v>*</v>
      </c>
    </row>
    <row r="137" spans="1:4" x14ac:dyDescent="0.25">
      <c r="A137" s="2">
        <v>14885</v>
      </c>
      <c r="B137" s="4" t="s">
        <v>137</v>
      </c>
      <c r="C137" s="7">
        <v>24</v>
      </c>
      <c r="D137" s="12" t="str">
        <f t="shared" si="2"/>
        <v>*</v>
      </c>
    </row>
    <row r="138" spans="1:4" x14ac:dyDescent="0.25">
      <c r="A138" s="2">
        <v>14887</v>
      </c>
      <c r="B138" s="4" t="s">
        <v>22</v>
      </c>
      <c r="C138" s="7">
        <v>388</v>
      </c>
      <c r="D138" s="12" t="str">
        <f t="shared" si="2"/>
        <v>*</v>
      </c>
    </row>
    <row r="139" spans="1:4" x14ac:dyDescent="0.25">
      <c r="A139" s="2">
        <v>14921</v>
      </c>
      <c r="B139" s="4" t="s">
        <v>683</v>
      </c>
      <c r="C139" s="7">
        <v>1234</v>
      </c>
      <c r="D139" s="12" t="str">
        <f t="shared" si="2"/>
        <v>*</v>
      </c>
    </row>
    <row r="140" spans="1:4" x14ac:dyDescent="0.25">
      <c r="A140" s="2">
        <v>14977</v>
      </c>
      <c r="B140" s="4" t="s">
        <v>562</v>
      </c>
      <c r="C140" s="7">
        <v>151</v>
      </c>
      <c r="D140" s="12" t="str">
        <f t="shared" si="2"/>
        <v>*</v>
      </c>
    </row>
    <row r="141" spans="1:4" x14ac:dyDescent="0.25">
      <c r="A141" s="2">
        <v>15029</v>
      </c>
      <c r="B141" s="4" t="s">
        <v>306</v>
      </c>
      <c r="C141" s="7">
        <v>540</v>
      </c>
      <c r="D141" s="12" t="str">
        <f t="shared" si="2"/>
        <v>*</v>
      </c>
    </row>
    <row r="142" spans="1:4" x14ac:dyDescent="0.25">
      <c r="A142" s="2">
        <v>15051</v>
      </c>
      <c r="B142" s="4" t="s">
        <v>779</v>
      </c>
      <c r="C142" s="7">
        <v>27</v>
      </c>
      <c r="D142" s="12" t="str">
        <f t="shared" si="2"/>
        <v>*</v>
      </c>
    </row>
    <row r="143" spans="1:4" x14ac:dyDescent="0.25">
      <c r="A143" s="2">
        <v>15066</v>
      </c>
      <c r="B143" s="4" t="s">
        <v>319</v>
      </c>
      <c r="C143" s="7">
        <v>151</v>
      </c>
      <c r="D143" s="12" t="str">
        <f t="shared" si="2"/>
        <v>*</v>
      </c>
    </row>
    <row r="144" spans="1:4" x14ac:dyDescent="0.25">
      <c r="A144" s="2">
        <v>15085</v>
      </c>
      <c r="B144" s="4" t="s">
        <v>790</v>
      </c>
      <c r="C144" s="7">
        <v>181</v>
      </c>
      <c r="D144" s="12" t="str">
        <f t="shared" si="2"/>
        <v>*</v>
      </c>
    </row>
    <row r="145" spans="1:4" x14ac:dyDescent="0.25">
      <c r="A145" s="2">
        <v>15167</v>
      </c>
      <c r="B145" s="4" t="s">
        <v>366</v>
      </c>
      <c r="C145" s="7">
        <v>591</v>
      </c>
      <c r="D145" s="12" t="str">
        <f t="shared" si="2"/>
        <v>*</v>
      </c>
    </row>
    <row r="146" spans="1:4" x14ac:dyDescent="0.25">
      <c r="A146" s="2">
        <v>15267</v>
      </c>
      <c r="B146" s="4" t="s">
        <v>659</v>
      </c>
      <c r="C146" s="7">
        <v>16</v>
      </c>
      <c r="D146" s="12" t="str">
        <f t="shared" si="2"/>
        <v>*</v>
      </c>
    </row>
    <row r="147" spans="1:4" x14ac:dyDescent="0.25">
      <c r="A147" s="2">
        <v>15271</v>
      </c>
      <c r="B147" s="4" t="s">
        <v>660</v>
      </c>
      <c r="C147" s="7">
        <v>0</v>
      </c>
      <c r="D147" s="12" t="str">
        <f t="shared" si="2"/>
        <v>*</v>
      </c>
    </row>
    <row r="148" spans="1:4" x14ac:dyDescent="0.25">
      <c r="A148" s="2">
        <v>15272</v>
      </c>
      <c r="B148" s="4" t="s">
        <v>661</v>
      </c>
      <c r="C148" s="7">
        <v>0</v>
      </c>
      <c r="D148" s="12" t="str">
        <f t="shared" si="2"/>
        <v>*</v>
      </c>
    </row>
    <row r="149" spans="1:4" x14ac:dyDescent="0.25">
      <c r="A149" s="2">
        <v>15299</v>
      </c>
      <c r="B149" s="4" t="s">
        <v>620</v>
      </c>
      <c r="C149" s="7">
        <v>296</v>
      </c>
      <c r="D149" s="12" t="str">
        <f t="shared" si="2"/>
        <v>*</v>
      </c>
    </row>
    <row r="150" spans="1:4" x14ac:dyDescent="0.25">
      <c r="A150" s="2">
        <v>15436</v>
      </c>
      <c r="B150" s="4" t="s">
        <v>149</v>
      </c>
      <c r="C150" s="7">
        <v>554</v>
      </c>
      <c r="D150" s="12" t="str">
        <f t="shared" si="2"/>
        <v>*</v>
      </c>
    </row>
    <row r="151" spans="1:4" x14ac:dyDescent="0.25">
      <c r="A151" s="2">
        <v>15464</v>
      </c>
      <c r="B151" s="4" t="s">
        <v>660</v>
      </c>
      <c r="C151" s="7">
        <v>0</v>
      </c>
      <c r="D151" s="12" t="str">
        <f t="shared" si="2"/>
        <v>*</v>
      </c>
    </row>
    <row r="152" spans="1:4" x14ac:dyDescent="0.25">
      <c r="A152" s="2">
        <v>15465</v>
      </c>
      <c r="B152" s="4" t="s">
        <v>662</v>
      </c>
      <c r="C152" s="7">
        <v>0</v>
      </c>
      <c r="D152" s="12" t="str">
        <f t="shared" si="2"/>
        <v>*</v>
      </c>
    </row>
    <row r="153" spans="1:4" x14ac:dyDescent="0.25">
      <c r="A153" s="2">
        <v>15466</v>
      </c>
      <c r="B153" s="4" t="s">
        <v>663</v>
      </c>
      <c r="C153" s="7">
        <v>10</v>
      </c>
      <c r="D153" s="12" t="str">
        <f t="shared" si="2"/>
        <v>*</v>
      </c>
    </row>
    <row r="154" spans="1:4" x14ac:dyDescent="0.25">
      <c r="A154" s="2">
        <v>15467</v>
      </c>
      <c r="B154" s="4" t="s">
        <v>664</v>
      </c>
      <c r="C154" s="7">
        <v>24</v>
      </c>
      <c r="D154" s="12" t="str">
        <f t="shared" si="2"/>
        <v>*</v>
      </c>
    </row>
    <row r="155" spans="1:4" x14ac:dyDescent="0.25">
      <c r="A155" s="2">
        <v>15469</v>
      </c>
      <c r="B155" s="4" t="s">
        <v>665</v>
      </c>
      <c r="C155" s="7">
        <v>30</v>
      </c>
      <c r="D155" s="12" t="str">
        <f t="shared" si="2"/>
        <v>*</v>
      </c>
    </row>
    <row r="156" spans="1:4" x14ac:dyDescent="0.25">
      <c r="A156" s="2">
        <v>15473</v>
      </c>
      <c r="B156" s="4" t="s">
        <v>666</v>
      </c>
      <c r="C156" s="7">
        <v>5</v>
      </c>
      <c r="D156" s="12" t="str">
        <f t="shared" si="2"/>
        <v>*</v>
      </c>
    </row>
    <row r="157" spans="1:4" x14ac:dyDescent="0.25">
      <c r="A157" s="2">
        <v>15475</v>
      </c>
      <c r="B157" s="4" t="s">
        <v>667</v>
      </c>
      <c r="C157" s="7">
        <v>16</v>
      </c>
      <c r="D157" s="12" t="str">
        <f t="shared" si="2"/>
        <v>*</v>
      </c>
    </row>
    <row r="158" spans="1:4" x14ac:dyDescent="0.25">
      <c r="A158" s="2">
        <v>15648</v>
      </c>
      <c r="B158" s="4" t="s">
        <v>670</v>
      </c>
      <c r="C158" s="7">
        <v>16</v>
      </c>
      <c r="D158" s="12" t="str">
        <f t="shared" si="2"/>
        <v>*</v>
      </c>
    </row>
    <row r="159" spans="1:4" x14ac:dyDescent="0.25">
      <c r="A159" s="2">
        <v>15656</v>
      </c>
      <c r="B159" s="4" t="s">
        <v>671</v>
      </c>
      <c r="C159" s="7">
        <v>0</v>
      </c>
      <c r="D159" s="12" t="str">
        <f t="shared" si="2"/>
        <v>*</v>
      </c>
    </row>
    <row r="160" spans="1:4" x14ac:dyDescent="0.25">
      <c r="A160" s="2">
        <v>15664</v>
      </c>
      <c r="B160" s="4" t="s">
        <v>30</v>
      </c>
      <c r="C160" s="7">
        <v>18</v>
      </c>
      <c r="D160" s="12" t="str">
        <f t="shared" si="2"/>
        <v>*</v>
      </c>
    </row>
    <row r="161" spans="1:4" x14ac:dyDescent="0.25">
      <c r="A161" s="2">
        <v>15668</v>
      </c>
      <c r="B161" s="4" t="s">
        <v>31</v>
      </c>
      <c r="C161" s="7">
        <v>0</v>
      </c>
      <c r="D161" s="12" t="str">
        <f t="shared" si="2"/>
        <v>*</v>
      </c>
    </row>
    <row r="162" spans="1:4" x14ac:dyDescent="0.25">
      <c r="A162" s="2">
        <v>15672</v>
      </c>
      <c r="B162" s="4" t="s">
        <v>32</v>
      </c>
      <c r="C162" s="7">
        <v>0</v>
      </c>
      <c r="D162" s="12" t="str">
        <f t="shared" si="2"/>
        <v>*</v>
      </c>
    </row>
    <row r="163" spans="1:4" x14ac:dyDescent="0.25">
      <c r="A163" s="2">
        <v>15673</v>
      </c>
      <c r="B163" s="4" t="s">
        <v>33</v>
      </c>
      <c r="C163" s="7">
        <v>4</v>
      </c>
      <c r="D163" s="12" t="str">
        <f t="shared" si="2"/>
        <v>*</v>
      </c>
    </row>
    <row r="164" spans="1:4" x14ac:dyDescent="0.25">
      <c r="A164" s="2">
        <v>15680</v>
      </c>
      <c r="B164" s="4" t="s">
        <v>34</v>
      </c>
      <c r="C164" s="7">
        <v>0</v>
      </c>
      <c r="D164" s="12" t="str">
        <f t="shared" si="2"/>
        <v>*</v>
      </c>
    </row>
    <row r="165" spans="1:4" x14ac:dyDescent="0.25">
      <c r="A165" s="2">
        <v>15761</v>
      </c>
      <c r="B165" s="4" t="s">
        <v>287</v>
      </c>
      <c r="C165" s="7">
        <v>122</v>
      </c>
      <c r="D165" s="12" t="str">
        <f t="shared" si="2"/>
        <v>*</v>
      </c>
    </row>
    <row r="166" spans="1:4" x14ac:dyDescent="0.25">
      <c r="A166" s="2">
        <v>15813</v>
      </c>
      <c r="B166" s="4" t="s">
        <v>502</v>
      </c>
      <c r="C166" s="7">
        <v>4216</v>
      </c>
      <c r="D166" s="12" t="str">
        <f t="shared" si="2"/>
        <v>*</v>
      </c>
    </row>
    <row r="167" spans="1:4" x14ac:dyDescent="0.25">
      <c r="A167" s="2">
        <v>16053</v>
      </c>
      <c r="B167" s="4" t="s">
        <v>551</v>
      </c>
      <c r="C167" s="7">
        <v>73</v>
      </c>
      <c r="D167" s="12" t="str">
        <f t="shared" si="2"/>
        <v>*</v>
      </c>
    </row>
    <row r="168" spans="1:4" x14ac:dyDescent="0.25">
      <c r="A168" s="2">
        <v>16363</v>
      </c>
      <c r="B168" s="4" t="s">
        <v>226</v>
      </c>
      <c r="C168" s="7">
        <v>187</v>
      </c>
      <c r="D168" s="12" t="str">
        <f t="shared" si="2"/>
        <v>*</v>
      </c>
    </row>
    <row r="169" spans="1:4" x14ac:dyDescent="0.25">
      <c r="A169" s="2">
        <v>16365</v>
      </c>
      <c r="B169" s="4" t="s">
        <v>227</v>
      </c>
      <c r="C169" s="7">
        <v>175</v>
      </c>
      <c r="D169" s="12" t="str">
        <f t="shared" si="2"/>
        <v>*</v>
      </c>
    </row>
    <row r="170" spans="1:4" x14ac:dyDescent="0.25">
      <c r="A170" s="2">
        <v>16512</v>
      </c>
      <c r="B170" s="4" t="s">
        <v>480</v>
      </c>
      <c r="C170" s="7">
        <v>414</v>
      </c>
      <c r="D170" s="12" t="str">
        <f t="shared" si="2"/>
        <v>*</v>
      </c>
    </row>
    <row r="171" spans="1:4" x14ac:dyDescent="0.25">
      <c r="A171" s="2">
        <v>16528</v>
      </c>
      <c r="B171" s="4" t="s">
        <v>401</v>
      </c>
      <c r="C171" s="7">
        <v>916</v>
      </c>
      <c r="D171" s="12" t="str">
        <f t="shared" si="2"/>
        <v>*</v>
      </c>
    </row>
    <row r="172" spans="1:4" x14ac:dyDescent="0.25">
      <c r="A172" s="2">
        <v>16571</v>
      </c>
      <c r="B172" s="4" t="s">
        <v>334</v>
      </c>
      <c r="C172" s="7">
        <v>2214</v>
      </c>
      <c r="D172" s="12" t="str">
        <f t="shared" si="2"/>
        <v>*</v>
      </c>
    </row>
    <row r="173" spans="1:4" x14ac:dyDescent="0.25">
      <c r="A173" s="2">
        <v>16956</v>
      </c>
      <c r="B173" s="4" t="s">
        <v>747</v>
      </c>
      <c r="C173" s="7">
        <v>122</v>
      </c>
      <c r="D173" s="12" t="str">
        <f t="shared" si="2"/>
        <v>*</v>
      </c>
    </row>
    <row r="174" spans="1:4" x14ac:dyDescent="0.25">
      <c r="A174" s="2">
        <v>16978</v>
      </c>
      <c r="B174" s="4" t="s">
        <v>748</v>
      </c>
      <c r="C174" s="7">
        <v>107</v>
      </c>
      <c r="D174" s="12" t="str">
        <f t="shared" si="2"/>
        <v>*</v>
      </c>
    </row>
    <row r="175" spans="1:4" x14ac:dyDescent="0.25">
      <c r="A175" s="2">
        <v>17115</v>
      </c>
      <c r="B175" s="4" t="s">
        <v>214</v>
      </c>
      <c r="C175" s="7">
        <v>7793</v>
      </c>
      <c r="D175" s="12" t="str">
        <f t="shared" si="2"/>
        <v>*</v>
      </c>
    </row>
    <row r="176" spans="1:4" x14ac:dyDescent="0.25">
      <c r="A176" s="2">
        <v>17132</v>
      </c>
      <c r="B176" s="4" t="s">
        <v>40</v>
      </c>
      <c r="C176" s="7">
        <v>661</v>
      </c>
      <c r="D176" s="12" t="str">
        <f t="shared" si="2"/>
        <v>*</v>
      </c>
    </row>
    <row r="177" spans="1:4" x14ac:dyDescent="0.25">
      <c r="A177" s="2">
        <v>17135</v>
      </c>
      <c r="B177" s="4" t="s">
        <v>462</v>
      </c>
      <c r="C177" s="7">
        <v>1893</v>
      </c>
      <c r="D177" s="12" t="str">
        <f t="shared" si="2"/>
        <v>*</v>
      </c>
    </row>
    <row r="178" spans="1:4" x14ac:dyDescent="0.25">
      <c r="A178" s="2">
        <v>17136</v>
      </c>
      <c r="B178" s="4" t="s">
        <v>42</v>
      </c>
      <c r="C178" s="7">
        <v>1222</v>
      </c>
      <c r="D178" s="12" t="str">
        <f t="shared" si="2"/>
        <v>*</v>
      </c>
    </row>
    <row r="179" spans="1:4" x14ac:dyDescent="0.25">
      <c r="A179" s="2">
        <v>17299</v>
      </c>
      <c r="B179" s="4" t="s">
        <v>99</v>
      </c>
      <c r="C179" s="7">
        <v>30</v>
      </c>
      <c r="D179" s="12" t="str">
        <f t="shared" si="2"/>
        <v>*</v>
      </c>
    </row>
    <row r="180" spans="1:4" x14ac:dyDescent="0.25">
      <c r="A180" s="2">
        <v>17362</v>
      </c>
      <c r="B180" s="4" t="s">
        <v>200</v>
      </c>
      <c r="C180" s="7">
        <v>8238</v>
      </c>
      <c r="D180" s="12" t="str">
        <f t="shared" si="2"/>
        <v>*</v>
      </c>
    </row>
    <row r="181" spans="1:4" x14ac:dyDescent="0.25">
      <c r="A181" s="2">
        <v>17370</v>
      </c>
      <c r="B181" s="4" t="s">
        <v>201</v>
      </c>
      <c r="C181" s="7">
        <v>9161</v>
      </c>
      <c r="D181" s="12" t="str">
        <f t="shared" si="2"/>
        <v>*</v>
      </c>
    </row>
    <row r="182" spans="1:4" x14ac:dyDescent="0.25">
      <c r="A182" s="2">
        <v>17371</v>
      </c>
      <c r="B182" s="4" t="s">
        <v>202</v>
      </c>
      <c r="C182" s="7">
        <v>9680</v>
      </c>
      <c r="D182" s="12" t="str">
        <f t="shared" si="2"/>
        <v>*</v>
      </c>
    </row>
    <row r="183" spans="1:4" x14ac:dyDescent="0.25">
      <c r="A183" s="2">
        <v>17422</v>
      </c>
      <c r="B183" s="4" t="s">
        <v>308</v>
      </c>
      <c r="C183" s="7">
        <v>19</v>
      </c>
      <c r="D183" s="12" t="str">
        <f t="shared" si="2"/>
        <v>*</v>
      </c>
    </row>
    <row r="184" spans="1:4" x14ac:dyDescent="0.25">
      <c r="A184" s="2">
        <v>17426</v>
      </c>
      <c r="B184" s="4" t="s">
        <v>309</v>
      </c>
      <c r="C184" s="7">
        <v>6</v>
      </c>
      <c r="D184" s="12" t="str">
        <f t="shared" si="2"/>
        <v>*</v>
      </c>
    </row>
    <row r="185" spans="1:4" x14ac:dyDescent="0.25">
      <c r="A185" s="2">
        <v>17454</v>
      </c>
      <c r="B185" s="4" t="s">
        <v>44</v>
      </c>
      <c r="C185" s="7">
        <v>10220</v>
      </c>
      <c r="D185" s="12" t="str">
        <f t="shared" si="2"/>
        <v>*</v>
      </c>
    </row>
    <row r="186" spans="1:4" x14ac:dyDescent="0.25">
      <c r="A186" s="2">
        <v>17562</v>
      </c>
      <c r="B186" s="4" t="s">
        <v>994</v>
      </c>
      <c r="C186" s="7">
        <v>0</v>
      </c>
      <c r="D186" s="12" t="str">
        <f t="shared" si="2"/>
        <v>*</v>
      </c>
    </row>
    <row r="187" spans="1:4" x14ac:dyDescent="0.25">
      <c r="A187" s="2">
        <v>17659</v>
      </c>
      <c r="B187" s="4" t="s">
        <v>984</v>
      </c>
      <c r="C187" s="7">
        <v>0</v>
      </c>
      <c r="D187" s="12" t="str">
        <f t="shared" si="2"/>
        <v>*</v>
      </c>
    </row>
    <row r="188" spans="1:4" x14ac:dyDescent="0.25">
      <c r="A188" s="2">
        <v>17662</v>
      </c>
      <c r="B188" s="4" t="s">
        <v>162</v>
      </c>
      <c r="C188" s="7">
        <v>160</v>
      </c>
      <c r="D188" s="12" t="str">
        <f t="shared" si="2"/>
        <v>*</v>
      </c>
    </row>
    <row r="189" spans="1:4" x14ac:dyDescent="0.25">
      <c r="A189" s="2">
        <v>17663</v>
      </c>
      <c r="B189" s="4" t="s">
        <v>982</v>
      </c>
      <c r="C189" s="7">
        <v>40</v>
      </c>
      <c r="D189" s="12" t="str">
        <f t="shared" si="2"/>
        <v>*</v>
      </c>
    </row>
    <row r="190" spans="1:4" x14ac:dyDescent="0.25">
      <c r="A190" s="2">
        <v>17696</v>
      </c>
      <c r="B190" s="4" t="s">
        <v>163</v>
      </c>
      <c r="C190" s="7">
        <v>18</v>
      </c>
      <c r="D190" s="12" t="str">
        <f t="shared" si="2"/>
        <v>*</v>
      </c>
    </row>
    <row r="191" spans="1:4" x14ac:dyDescent="0.25">
      <c r="A191" s="2">
        <v>17698</v>
      </c>
      <c r="B191" s="4" t="s">
        <v>164</v>
      </c>
      <c r="C191" s="7">
        <v>225</v>
      </c>
      <c r="D191" s="12" t="str">
        <f t="shared" si="2"/>
        <v>*</v>
      </c>
    </row>
    <row r="192" spans="1:4" x14ac:dyDescent="0.25">
      <c r="A192" s="2">
        <v>17704</v>
      </c>
      <c r="B192" s="4" t="s">
        <v>516</v>
      </c>
      <c r="C192" s="7">
        <v>205</v>
      </c>
      <c r="D192" s="12" t="str">
        <f t="shared" si="2"/>
        <v>*</v>
      </c>
    </row>
    <row r="193" spans="1:4" x14ac:dyDescent="0.25">
      <c r="A193" s="2">
        <v>17946</v>
      </c>
      <c r="B193" s="4" t="s">
        <v>903</v>
      </c>
      <c r="C193" s="7">
        <v>11</v>
      </c>
      <c r="D193" s="12" t="str">
        <f t="shared" si="2"/>
        <v>*</v>
      </c>
    </row>
    <row r="194" spans="1:4" x14ac:dyDescent="0.25">
      <c r="A194" s="2">
        <v>18346</v>
      </c>
      <c r="B194" s="4" t="s">
        <v>839</v>
      </c>
      <c r="C194" s="7">
        <v>14</v>
      </c>
      <c r="D194" s="12" t="str">
        <f t="shared" si="2"/>
        <v>*</v>
      </c>
    </row>
    <row r="195" spans="1:4" x14ac:dyDescent="0.25">
      <c r="A195" s="2">
        <v>18353</v>
      </c>
      <c r="B195" s="4" t="s">
        <v>840</v>
      </c>
      <c r="C195" s="7">
        <v>119</v>
      </c>
      <c r="D195" s="12" t="str">
        <f t="shared" si="2"/>
        <v>*</v>
      </c>
    </row>
    <row r="196" spans="1:4" x14ac:dyDescent="0.25">
      <c r="A196" s="2">
        <v>18357</v>
      </c>
      <c r="B196" s="4" t="s">
        <v>841</v>
      </c>
      <c r="C196" s="7">
        <v>138</v>
      </c>
      <c r="D196" s="12" t="str">
        <f t="shared" ref="D196:D259" si="3">IF($D$3="FIM","*","")</f>
        <v>*</v>
      </c>
    </row>
    <row r="197" spans="1:4" x14ac:dyDescent="0.25">
      <c r="A197" s="2">
        <v>18358</v>
      </c>
      <c r="B197" s="4" t="s">
        <v>842</v>
      </c>
      <c r="C197" s="7">
        <v>59</v>
      </c>
      <c r="D197" s="12" t="str">
        <f t="shared" si="3"/>
        <v>*</v>
      </c>
    </row>
    <row r="198" spans="1:4" x14ac:dyDescent="0.25">
      <c r="A198" s="2">
        <v>19842</v>
      </c>
      <c r="B198" s="4" t="s">
        <v>817</v>
      </c>
      <c r="C198" s="7">
        <v>4822</v>
      </c>
      <c r="D198" s="12" t="str">
        <f t="shared" si="3"/>
        <v>*</v>
      </c>
    </row>
    <row r="199" spans="1:4" x14ac:dyDescent="0.25">
      <c r="A199" s="2">
        <v>19871</v>
      </c>
      <c r="B199" s="4" t="s">
        <v>906</v>
      </c>
      <c r="C199" s="7">
        <v>51</v>
      </c>
      <c r="D199" s="12" t="str">
        <f t="shared" si="3"/>
        <v>*</v>
      </c>
    </row>
    <row r="200" spans="1:4" x14ac:dyDescent="0.25">
      <c r="A200" s="2">
        <v>19882</v>
      </c>
      <c r="B200" s="4" t="s">
        <v>907</v>
      </c>
      <c r="C200" s="7">
        <v>10</v>
      </c>
      <c r="D200" s="12" t="str">
        <f t="shared" si="3"/>
        <v>*</v>
      </c>
    </row>
    <row r="201" spans="1:4" x14ac:dyDescent="0.25">
      <c r="A201" s="2">
        <v>19883</v>
      </c>
      <c r="B201" s="4" t="s">
        <v>908</v>
      </c>
      <c r="C201" s="7">
        <v>74</v>
      </c>
      <c r="D201" s="12" t="str">
        <f t="shared" si="3"/>
        <v>*</v>
      </c>
    </row>
    <row r="202" spans="1:4" x14ac:dyDescent="0.25">
      <c r="A202" s="2">
        <v>19998</v>
      </c>
      <c r="B202" s="4" t="s">
        <v>909</v>
      </c>
      <c r="C202" s="7">
        <v>35</v>
      </c>
      <c r="D202" s="12" t="str">
        <f t="shared" si="3"/>
        <v>*</v>
      </c>
    </row>
    <row r="203" spans="1:4" x14ac:dyDescent="0.25">
      <c r="A203" s="2">
        <v>20001</v>
      </c>
      <c r="B203" s="4" t="s">
        <v>910</v>
      </c>
      <c r="C203" s="7">
        <v>223</v>
      </c>
      <c r="D203" s="12" t="str">
        <f t="shared" si="3"/>
        <v>*</v>
      </c>
    </row>
    <row r="204" spans="1:4" x14ac:dyDescent="0.25">
      <c r="A204" s="2">
        <v>20034</v>
      </c>
      <c r="B204" s="4" t="s">
        <v>911</v>
      </c>
      <c r="C204" s="7">
        <v>298</v>
      </c>
      <c r="D204" s="12" t="str">
        <f t="shared" si="3"/>
        <v>*</v>
      </c>
    </row>
    <row r="205" spans="1:4" x14ac:dyDescent="0.25">
      <c r="A205" s="2">
        <v>20035</v>
      </c>
      <c r="B205" s="4" t="s">
        <v>912</v>
      </c>
      <c r="C205" s="7">
        <v>56</v>
      </c>
      <c r="D205" s="12" t="str">
        <f t="shared" si="3"/>
        <v>*</v>
      </c>
    </row>
    <row r="206" spans="1:4" x14ac:dyDescent="0.25">
      <c r="A206" s="2">
        <v>20037</v>
      </c>
      <c r="B206" s="4" t="s">
        <v>913</v>
      </c>
      <c r="C206" s="7">
        <v>52</v>
      </c>
      <c r="D206" s="12" t="str">
        <f t="shared" si="3"/>
        <v>*</v>
      </c>
    </row>
    <row r="207" spans="1:4" x14ac:dyDescent="0.25">
      <c r="A207" s="2">
        <v>20104</v>
      </c>
      <c r="B207" s="4" t="s">
        <v>914</v>
      </c>
      <c r="C207" s="7">
        <v>120</v>
      </c>
      <c r="D207" s="12" t="str">
        <f t="shared" si="3"/>
        <v>*</v>
      </c>
    </row>
    <row r="208" spans="1:4" x14ac:dyDescent="0.25">
      <c r="A208" s="2">
        <v>20106</v>
      </c>
      <c r="B208" s="4" t="s">
        <v>915</v>
      </c>
      <c r="C208" s="7">
        <v>153</v>
      </c>
      <c r="D208" s="12" t="str">
        <f t="shared" si="3"/>
        <v>*</v>
      </c>
    </row>
    <row r="209" spans="1:4" x14ac:dyDescent="0.25">
      <c r="A209" s="2">
        <v>20135</v>
      </c>
      <c r="B209" s="4" t="s">
        <v>874</v>
      </c>
      <c r="C209" s="7">
        <v>187</v>
      </c>
      <c r="D209" s="12" t="str">
        <f t="shared" si="3"/>
        <v>*</v>
      </c>
    </row>
    <row r="210" spans="1:4" x14ac:dyDescent="0.25">
      <c r="A210" s="2">
        <v>20144</v>
      </c>
      <c r="B210" s="4" t="s">
        <v>916</v>
      </c>
      <c r="C210" s="7">
        <v>225</v>
      </c>
      <c r="D210" s="12" t="str">
        <f t="shared" si="3"/>
        <v>*</v>
      </c>
    </row>
    <row r="211" spans="1:4" x14ac:dyDescent="0.25">
      <c r="A211" s="2">
        <v>20167</v>
      </c>
      <c r="B211" s="4" t="s">
        <v>977</v>
      </c>
      <c r="C211" s="7">
        <v>9</v>
      </c>
      <c r="D211" s="12" t="str">
        <f t="shared" si="3"/>
        <v>*</v>
      </c>
    </row>
    <row r="212" spans="1:4" x14ac:dyDescent="0.25">
      <c r="A212" s="2">
        <v>20537</v>
      </c>
      <c r="B212" s="4" t="s">
        <v>843</v>
      </c>
      <c r="C212" s="7">
        <v>4</v>
      </c>
      <c r="D212" s="12" t="str">
        <f t="shared" si="3"/>
        <v>*</v>
      </c>
    </row>
    <row r="213" spans="1:4" x14ac:dyDescent="0.25">
      <c r="A213" s="2">
        <v>20554</v>
      </c>
      <c r="B213" s="4" t="s">
        <v>847</v>
      </c>
      <c r="C213" s="7">
        <v>10720</v>
      </c>
      <c r="D213" s="12" t="str">
        <f t="shared" si="3"/>
        <v>*</v>
      </c>
    </row>
    <row r="214" spans="1:4" x14ac:dyDescent="0.25">
      <c r="A214" s="2">
        <v>20558</v>
      </c>
      <c r="B214" s="4" t="s">
        <v>848</v>
      </c>
      <c r="C214" s="7">
        <v>7420</v>
      </c>
      <c r="D214" s="12" t="str">
        <f t="shared" si="3"/>
        <v>*</v>
      </c>
    </row>
    <row r="215" spans="1:4" x14ac:dyDescent="0.25">
      <c r="A215" s="2">
        <v>20576</v>
      </c>
      <c r="B215" s="4" t="s">
        <v>849</v>
      </c>
      <c r="C215" s="7">
        <v>1800</v>
      </c>
      <c r="D215" s="12" t="str">
        <f t="shared" si="3"/>
        <v>*</v>
      </c>
    </row>
    <row r="216" spans="1:4" x14ac:dyDescent="0.25">
      <c r="A216" s="2">
        <v>20583</v>
      </c>
      <c r="B216" s="4" t="s">
        <v>850</v>
      </c>
      <c r="C216" s="7">
        <v>4520</v>
      </c>
      <c r="D216" s="12" t="str">
        <f t="shared" si="3"/>
        <v>*</v>
      </c>
    </row>
    <row r="217" spans="1:4" x14ac:dyDescent="0.25">
      <c r="A217" s="2">
        <v>20584</v>
      </c>
      <c r="B217" s="4" t="s">
        <v>851</v>
      </c>
      <c r="C217" s="7">
        <v>9550</v>
      </c>
      <c r="D217" s="12" t="str">
        <f t="shared" si="3"/>
        <v>*</v>
      </c>
    </row>
    <row r="218" spans="1:4" x14ac:dyDescent="0.25">
      <c r="A218" s="2">
        <v>20760</v>
      </c>
      <c r="B218" s="4" t="s">
        <v>180</v>
      </c>
      <c r="C218" s="7">
        <v>153</v>
      </c>
      <c r="D218" s="12" t="str">
        <f t="shared" si="3"/>
        <v>*</v>
      </c>
    </row>
    <row r="219" spans="1:4" x14ac:dyDescent="0.25">
      <c r="A219" s="2">
        <v>20763</v>
      </c>
      <c r="B219" s="4" t="s">
        <v>181</v>
      </c>
      <c r="C219" s="7">
        <v>90</v>
      </c>
      <c r="D219" s="12" t="str">
        <f t="shared" si="3"/>
        <v>*</v>
      </c>
    </row>
    <row r="220" spans="1:4" x14ac:dyDescent="0.25">
      <c r="A220" s="2">
        <v>23581</v>
      </c>
      <c r="B220" s="4" t="s">
        <v>443</v>
      </c>
      <c r="C220" s="7">
        <v>9280</v>
      </c>
      <c r="D220" s="12" t="str">
        <f t="shared" si="3"/>
        <v>*</v>
      </c>
    </row>
    <row r="221" spans="1:4" x14ac:dyDescent="0.25">
      <c r="A221" s="2">
        <v>23607</v>
      </c>
      <c r="B221" s="4" t="s">
        <v>509</v>
      </c>
      <c r="C221" s="7">
        <v>200</v>
      </c>
      <c r="D221" s="12" t="str">
        <f t="shared" si="3"/>
        <v>*</v>
      </c>
    </row>
    <row r="222" spans="1:4" x14ac:dyDescent="0.25">
      <c r="A222" s="2">
        <v>23676</v>
      </c>
      <c r="B222" s="4" t="s">
        <v>833</v>
      </c>
      <c r="C222" s="7">
        <v>1419</v>
      </c>
      <c r="D222" s="12" t="str">
        <f t="shared" si="3"/>
        <v>*</v>
      </c>
    </row>
    <row r="223" spans="1:4" x14ac:dyDescent="0.25">
      <c r="A223" s="2">
        <v>23687</v>
      </c>
      <c r="B223" s="4" t="s">
        <v>88</v>
      </c>
      <c r="C223" s="7">
        <v>11225</v>
      </c>
      <c r="D223" s="12" t="str">
        <f t="shared" si="3"/>
        <v>*</v>
      </c>
    </row>
    <row r="224" spans="1:4" x14ac:dyDescent="0.25">
      <c r="A224" s="2">
        <v>23692</v>
      </c>
      <c r="B224" s="4" t="s">
        <v>89</v>
      </c>
      <c r="C224" s="7">
        <v>16065</v>
      </c>
      <c r="D224" s="12" t="str">
        <f t="shared" si="3"/>
        <v>*</v>
      </c>
    </row>
    <row r="225" spans="1:4" x14ac:dyDescent="0.25">
      <c r="A225" s="2">
        <v>23778</v>
      </c>
      <c r="B225" s="4" t="s">
        <v>183</v>
      </c>
      <c r="C225" s="7">
        <v>144</v>
      </c>
      <c r="D225" s="12" t="str">
        <f t="shared" si="3"/>
        <v>*</v>
      </c>
    </row>
    <row r="226" spans="1:4" x14ac:dyDescent="0.25">
      <c r="A226" s="2">
        <v>23846</v>
      </c>
      <c r="B226" s="4" t="s">
        <v>90</v>
      </c>
      <c r="C226" s="7">
        <v>19464</v>
      </c>
      <c r="D226" s="12" t="str">
        <f t="shared" si="3"/>
        <v>*</v>
      </c>
    </row>
    <row r="227" spans="1:4" x14ac:dyDescent="0.25">
      <c r="A227" s="2">
        <v>23862</v>
      </c>
      <c r="B227" s="4" t="s">
        <v>84</v>
      </c>
      <c r="C227" s="7">
        <v>19598</v>
      </c>
      <c r="D227" s="12" t="str">
        <f t="shared" si="3"/>
        <v>*</v>
      </c>
    </row>
    <row r="228" spans="1:4" x14ac:dyDescent="0.25">
      <c r="A228" s="2">
        <v>23875</v>
      </c>
      <c r="B228" s="4" t="s">
        <v>85</v>
      </c>
      <c r="C228" s="7">
        <v>19650</v>
      </c>
      <c r="D228" s="12" t="str">
        <f t="shared" si="3"/>
        <v>*</v>
      </c>
    </row>
    <row r="229" spans="1:4" x14ac:dyDescent="0.25">
      <c r="A229" s="2">
        <v>23986</v>
      </c>
      <c r="B229" s="4" t="s">
        <v>51</v>
      </c>
      <c r="C229" s="7">
        <v>8709</v>
      </c>
      <c r="D229" s="12" t="str">
        <f t="shared" si="3"/>
        <v>*</v>
      </c>
    </row>
    <row r="230" spans="1:4" x14ac:dyDescent="0.25">
      <c r="A230" s="2">
        <v>23989</v>
      </c>
      <c r="B230" s="4" t="s">
        <v>52</v>
      </c>
      <c r="C230" s="7">
        <v>7996</v>
      </c>
      <c r="D230" s="12" t="str">
        <f t="shared" si="3"/>
        <v>*</v>
      </c>
    </row>
    <row r="231" spans="1:4" x14ac:dyDescent="0.25">
      <c r="A231" s="2">
        <v>23993</v>
      </c>
      <c r="B231" s="4" t="s">
        <v>53</v>
      </c>
      <c r="C231" s="7">
        <v>6826</v>
      </c>
      <c r="D231" s="12" t="str">
        <f t="shared" si="3"/>
        <v>*</v>
      </c>
    </row>
    <row r="232" spans="1:4" x14ac:dyDescent="0.25">
      <c r="A232" s="2">
        <v>23996</v>
      </c>
      <c r="B232" s="4" t="s">
        <v>54</v>
      </c>
      <c r="C232" s="7">
        <v>8402</v>
      </c>
      <c r="D232" s="12" t="str">
        <f t="shared" si="3"/>
        <v>*</v>
      </c>
    </row>
    <row r="233" spans="1:4" x14ac:dyDescent="0.25">
      <c r="A233" s="2">
        <v>24204</v>
      </c>
      <c r="B233" s="4" t="s">
        <v>154</v>
      </c>
      <c r="C233" s="7">
        <v>350</v>
      </c>
      <c r="D233" s="12" t="str">
        <f t="shared" si="3"/>
        <v>*</v>
      </c>
    </row>
    <row r="234" spans="1:4" x14ac:dyDescent="0.25">
      <c r="A234" s="2">
        <v>24205</v>
      </c>
      <c r="B234" s="4" t="s">
        <v>966</v>
      </c>
      <c r="C234" s="7">
        <v>509</v>
      </c>
      <c r="D234" s="12" t="str">
        <f t="shared" si="3"/>
        <v>*</v>
      </c>
    </row>
    <row r="235" spans="1:4" x14ac:dyDescent="0.25">
      <c r="A235" s="2">
        <v>24219</v>
      </c>
      <c r="B235" s="4" t="s">
        <v>978</v>
      </c>
      <c r="C235" s="7">
        <v>333</v>
      </c>
      <c r="D235" s="12" t="str">
        <f t="shared" si="3"/>
        <v>*</v>
      </c>
    </row>
    <row r="236" spans="1:4" x14ac:dyDescent="0.25">
      <c r="A236" s="2">
        <v>24371</v>
      </c>
      <c r="B236" s="4" t="s">
        <v>249</v>
      </c>
      <c r="C236" s="7">
        <v>19824</v>
      </c>
      <c r="D236" s="12" t="str">
        <f t="shared" si="3"/>
        <v>*</v>
      </c>
    </row>
    <row r="237" spans="1:4" x14ac:dyDescent="0.25">
      <c r="A237" s="2">
        <v>24476</v>
      </c>
      <c r="B237" s="4" t="s">
        <v>55</v>
      </c>
      <c r="C237" s="7">
        <v>8546</v>
      </c>
      <c r="D237" s="12" t="str">
        <f t="shared" si="3"/>
        <v>*</v>
      </c>
    </row>
    <row r="238" spans="1:4" x14ac:dyDescent="0.25">
      <c r="A238" s="2">
        <v>24477</v>
      </c>
      <c r="B238" s="4" t="s">
        <v>56</v>
      </c>
      <c r="C238" s="7">
        <v>8735</v>
      </c>
      <c r="D238" s="12" t="str">
        <f t="shared" si="3"/>
        <v>*</v>
      </c>
    </row>
    <row r="239" spans="1:4" x14ac:dyDescent="0.25">
      <c r="A239" s="2">
        <v>24500</v>
      </c>
      <c r="B239" s="4" t="s">
        <v>314</v>
      </c>
      <c r="C239" s="7">
        <v>286</v>
      </c>
      <c r="D239" s="12" t="str">
        <f t="shared" si="3"/>
        <v>*</v>
      </c>
    </row>
    <row r="240" spans="1:4" x14ac:dyDescent="0.25">
      <c r="A240" s="2">
        <v>24551</v>
      </c>
      <c r="B240" s="4" t="s">
        <v>985</v>
      </c>
      <c r="C240" s="7">
        <v>20</v>
      </c>
      <c r="D240" s="12" t="str">
        <f t="shared" si="3"/>
        <v>*</v>
      </c>
    </row>
    <row r="241" spans="1:4" x14ac:dyDescent="0.25">
      <c r="A241" s="2">
        <v>24888</v>
      </c>
      <c r="B241" s="4" t="s">
        <v>844</v>
      </c>
      <c r="C241" s="7">
        <v>10</v>
      </c>
      <c r="D241" s="12" t="str">
        <f t="shared" si="3"/>
        <v>*</v>
      </c>
    </row>
    <row r="242" spans="1:4" x14ac:dyDescent="0.25">
      <c r="A242" s="2">
        <v>25523</v>
      </c>
      <c r="B242" s="4" t="s">
        <v>288</v>
      </c>
      <c r="C242" s="7">
        <v>166</v>
      </c>
      <c r="D242" s="12" t="str">
        <f t="shared" si="3"/>
        <v>*</v>
      </c>
    </row>
    <row r="243" spans="1:4" x14ac:dyDescent="0.25">
      <c r="A243" s="2">
        <v>25559</v>
      </c>
      <c r="B243" s="4" t="s">
        <v>57</v>
      </c>
      <c r="C243" s="7">
        <v>9845</v>
      </c>
      <c r="D243" s="12" t="str">
        <f t="shared" si="3"/>
        <v>*</v>
      </c>
    </row>
    <row r="244" spans="1:4" x14ac:dyDescent="0.25">
      <c r="A244" s="2">
        <v>25630</v>
      </c>
      <c r="B244" s="4" t="s">
        <v>326</v>
      </c>
      <c r="C244" s="7">
        <v>75</v>
      </c>
      <c r="D244" s="12" t="str">
        <f t="shared" si="3"/>
        <v>*</v>
      </c>
    </row>
    <row r="245" spans="1:4" x14ac:dyDescent="0.25">
      <c r="A245" s="2">
        <v>25756</v>
      </c>
      <c r="B245" s="4" t="s">
        <v>327</v>
      </c>
      <c r="C245" s="7">
        <v>58</v>
      </c>
      <c r="D245" s="12" t="str">
        <f t="shared" si="3"/>
        <v>*</v>
      </c>
    </row>
    <row r="246" spans="1:4" x14ac:dyDescent="0.25">
      <c r="A246" s="2">
        <v>26215</v>
      </c>
      <c r="B246" s="4" t="s">
        <v>395</v>
      </c>
      <c r="C246" s="7">
        <v>75</v>
      </c>
      <c r="D246" s="12" t="str">
        <f t="shared" si="3"/>
        <v>*</v>
      </c>
    </row>
    <row r="247" spans="1:4" x14ac:dyDescent="0.25">
      <c r="A247" s="2">
        <v>26282</v>
      </c>
      <c r="B247" s="4" t="s">
        <v>540</v>
      </c>
      <c r="C247" s="7">
        <v>2</v>
      </c>
      <c r="D247" s="12" t="str">
        <f t="shared" si="3"/>
        <v>*</v>
      </c>
    </row>
    <row r="248" spans="1:4" x14ac:dyDescent="0.25">
      <c r="A248" s="2">
        <v>26368</v>
      </c>
      <c r="B248" s="4" t="s">
        <v>541</v>
      </c>
      <c r="C248" s="7">
        <v>2</v>
      </c>
      <c r="D248" s="12" t="str">
        <f t="shared" si="3"/>
        <v>*</v>
      </c>
    </row>
    <row r="249" spans="1:4" x14ac:dyDescent="0.25">
      <c r="A249" s="2">
        <v>26503</v>
      </c>
      <c r="B249" s="4" t="s">
        <v>974</v>
      </c>
      <c r="C249" s="7">
        <v>1250</v>
      </c>
      <c r="D249" s="12" t="str">
        <f t="shared" si="3"/>
        <v>*</v>
      </c>
    </row>
    <row r="250" spans="1:4" x14ac:dyDescent="0.25">
      <c r="A250" s="2">
        <v>26504</v>
      </c>
      <c r="B250" s="4" t="s">
        <v>332</v>
      </c>
      <c r="C250" s="7">
        <v>750</v>
      </c>
      <c r="D250" s="12" t="str">
        <f t="shared" si="3"/>
        <v>*</v>
      </c>
    </row>
    <row r="251" spans="1:4" x14ac:dyDescent="0.25">
      <c r="A251" s="2">
        <v>26506</v>
      </c>
      <c r="B251" s="4" t="s">
        <v>333</v>
      </c>
      <c r="C251" s="7">
        <v>750</v>
      </c>
      <c r="D251" s="12" t="str">
        <f t="shared" si="3"/>
        <v>*</v>
      </c>
    </row>
    <row r="252" spans="1:4" x14ac:dyDescent="0.25">
      <c r="A252" s="2">
        <v>26508</v>
      </c>
      <c r="B252" s="4" t="s">
        <v>975</v>
      </c>
      <c r="C252" s="7">
        <v>1280</v>
      </c>
      <c r="D252" s="12" t="str">
        <f t="shared" si="3"/>
        <v>*</v>
      </c>
    </row>
    <row r="253" spans="1:4" x14ac:dyDescent="0.25">
      <c r="A253" s="2">
        <v>27136</v>
      </c>
      <c r="B253" s="4" t="s">
        <v>186</v>
      </c>
      <c r="C253" s="7">
        <v>39112</v>
      </c>
      <c r="D253" s="12" t="str">
        <f t="shared" si="3"/>
        <v>*</v>
      </c>
    </row>
    <row r="254" spans="1:4" x14ac:dyDescent="0.25">
      <c r="A254" s="2">
        <v>27137</v>
      </c>
      <c r="B254" s="4" t="s">
        <v>58</v>
      </c>
      <c r="C254" s="7">
        <v>9150</v>
      </c>
      <c r="D254" s="12" t="str">
        <f t="shared" si="3"/>
        <v>*</v>
      </c>
    </row>
    <row r="255" spans="1:4" x14ac:dyDescent="0.25">
      <c r="A255" s="2">
        <v>27138</v>
      </c>
      <c r="B255" s="4" t="s">
        <v>59</v>
      </c>
      <c r="C255" s="7">
        <v>9086</v>
      </c>
      <c r="D255" s="12" t="str">
        <f t="shared" si="3"/>
        <v>*</v>
      </c>
    </row>
    <row r="256" spans="1:4" x14ac:dyDescent="0.25">
      <c r="A256" s="2">
        <v>27139</v>
      </c>
      <c r="B256" s="4" t="s">
        <v>60</v>
      </c>
      <c r="C256" s="7">
        <v>9042</v>
      </c>
      <c r="D256" s="12" t="str">
        <f t="shared" si="3"/>
        <v>*</v>
      </c>
    </row>
    <row r="257" spans="1:4" x14ac:dyDescent="0.25">
      <c r="A257" s="2">
        <v>27140</v>
      </c>
      <c r="B257" s="4" t="s">
        <v>45</v>
      </c>
      <c r="C257" s="7">
        <v>10002</v>
      </c>
      <c r="D257" s="12" t="str">
        <f t="shared" si="3"/>
        <v>*</v>
      </c>
    </row>
    <row r="258" spans="1:4" x14ac:dyDescent="0.25">
      <c r="A258" s="2">
        <v>27287</v>
      </c>
      <c r="B258" s="4" t="s">
        <v>518</v>
      </c>
      <c r="C258" s="7">
        <v>247</v>
      </c>
      <c r="D258" s="12" t="str">
        <f t="shared" si="3"/>
        <v>*</v>
      </c>
    </row>
    <row r="259" spans="1:4" x14ac:dyDescent="0.25">
      <c r="A259" s="2">
        <v>27353</v>
      </c>
      <c r="B259" s="4" t="s">
        <v>499</v>
      </c>
      <c r="C259" s="7">
        <v>160</v>
      </c>
      <c r="D259" s="12" t="str">
        <f t="shared" si="3"/>
        <v>*</v>
      </c>
    </row>
    <row r="260" spans="1:4" x14ac:dyDescent="0.25">
      <c r="A260" s="2">
        <v>27479</v>
      </c>
      <c r="B260" s="4" t="s">
        <v>172</v>
      </c>
      <c r="C260" s="7">
        <v>161</v>
      </c>
      <c r="D260" s="12" t="str">
        <f t="shared" ref="D260:D323" si="4">IF($D$3="FIM","*","")</f>
        <v>*</v>
      </c>
    </row>
    <row r="261" spans="1:4" x14ac:dyDescent="0.25">
      <c r="A261" s="2">
        <v>27759</v>
      </c>
      <c r="B261" s="4" t="s">
        <v>791</v>
      </c>
      <c r="C261" s="7">
        <v>0</v>
      </c>
      <c r="D261" s="12" t="str">
        <f t="shared" si="4"/>
        <v>*</v>
      </c>
    </row>
    <row r="262" spans="1:4" x14ac:dyDescent="0.25">
      <c r="A262" s="2">
        <v>27760</v>
      </c>
      <c r="B262" s="4" t="s">
        <v>792</v>
      </c>
      <c r="C262" s="7">
        <v>10</v>
      </c>
      <c r="D262" s="12" t="str">
        <f t="shared" si="4"/>
        <v>*</v>
      </c>
    </row>
    <row r="263" spans="1:4" x14ac:dyDescent="0.25">
      <c r="A263" s="2">
        <v>27761</v>
      </c>
      <c r="B263" s="4" t="s">
        <v>722</v>
      </c>
      <c r="C263" s="7">
        <v>14</v>
      </c>
      <c r="D263" s="12" t="str">
        <f t="shared" si="4"/>
        <v>*</v>
      </c>
    </row>
    <row r="264" spans="1:4" x14ac:dyDescent="0.25">
      <c r="A264" s="2">
        <v>27764</v>
      </c>
      <c r="B264" s="4" t="s">
        <v>723</v>
      </c>
      <c r="C264" s="7">
        <v>20</v>
      </c>
      <c r="D264" s="12" t="str">
        <f t="shared" si="4"/>
        <v>*</v>
      </c>
    </row>
    <row r="265" spans="1:4" x14ac:dyDescent="0.25">
      <c r="A265" s="2">
        <v>28093</v>
      </c>
      <c r="B265" s="4" t="s">
        <v>152</v>
      </c>
      <c r="C265" s="7">
        <v>37</v>
      </c>
      <c r="D265" s="12" t="str">
        <f t="shared" si="4"/>
        <v>*</v>
      </c>
    </row>
    <row r="266" spans="1:4" x14ac:dyDescent="0.25">
      <c r="A266" s="2">
        <v>28181</v>
      </c>
      <c r="B266" s="4" t="s">
        <v>749</v>
      </c>
      <c r="C266" s="7">
        <v>7</v>
      </c>
      <c r="D266" s="12" t="str">
        <f t="shared" si="4"/>
        <v>*</v>
      </c>
    </row>
    <row r="267" spans="1:4" x14ac:dyDescent="0.25">
      <c r="A267" s="2">
        <v>28184</v>
      </c>
      <c r="B267" s="4" t="s">
        <v>297</v>
      </c>
      <c r="C267" s="7">
        <v>88</v>
      </c>
      <c r="D267" s="12" t="str">
        <f t="shared" si="4"/>
        <v>*</v>
      </c>
    </row>
    <row r="268" spans="1:4" x14ac:dyDescent="0.25">
      <c r="A268" s="2">
        <v>28306</v>
      </c>
      <c r="B268" s="4" t="s">
        <v>750</v>
      </c>
      <c r="C268" s="7">
        <v>22</v>
      </c>
      <c r="D268" s="12" t="str">
        <f t="shared" si="4"/>
        <v>*</v>
      </c>
    </row>
    <row r="269" spans="1:4" x14ac:dyDescent="0.25">
      <c r="A269" s="2">
        <v>28307</v>
      </c>
      <c r="B269" s="4" t="s">
        <v>751</v>
      </c>
      <c r="C269" s="7">
        <v>0</v>
      </c>
      <c r="D269" s="12" t="str">
        <f t="shared" si="4"/>
        <v>*</v>
      </c>
    </row>
    <row r="270" spans="1:4" x14ac:dyDescent="0.25">
      <c r="A270" s="2">
        <v>28308</v>
      </c>
      <c r="B270" s="4" t="s">
        <v>752</v>
      </c>
      <c r="C270" s="7">
        <v>40</v>
      </c>
      <c r="D270" s="12" t="str">
        <f t="shared" si="4"/>
        <v>*</v>
      </c>
    </row>
    <row r="271" spans="1:4" x14ac:dyDescent="0.25">
      <c r="A271" s="2">
        <v>28512</v>
      </c>
      <c r="B271" s="4" t="s">
        <v>724</v>
      </c>
      <c r="C271" s="7">
        <v>50</v>
      </c>
      <c r="D271" s="12" t="str">
        <f t="shared" si="4"/>
        <v>*</v>
      </c>
    </row>
    <row r="272" spans="1:4" x14ac:dyDescent="0.25">
      <c r="A272" s="2">
        <v>29293</v>
      </c>
      <c r="B272" s="4" t="s">
        <v>855</v>
      </c>
      <c r="C272" s="7">
        <v>520</v>
      </c>
      <c r="D272" s="12" t="str">
        <f t="shared" si="4"/>
        <v>*</v>
      </c>
    </row>
    <row r="273" spans="1:4" x14ac:dyDescent="0.25">
      <c r="A273" s="2">
        <v>29296</v>
      </c>
      <c r="B273" s="4" t="s">
        <v>198</v>
      </c>
      <c r="C273" s="7">
        <v>2212</v>
      </c>
      <c r="D273" s="12" t="str">
        <f t="shared" si="4"/>
        <v>*</v>
      </c>
    </row>
    <row r="274" spans="1:4" x14ac:dyDescent="0.25">
      <c r="A274" s="2">
        <v>29435</v>
      </c>
      <c r="B274" s="4" t="s">
        <v>277</v>
      </c>
      <c r="C274" s="7">
        <v>23</v>
      </c>
      <c r="D274" s="12" t="str">
        <f t="shared" si="4"/>
        <v>*</v>
      </c>
    </row>
    <row r="275" spans="1:4" x14ac:dyDescent="0.25">
      <c r="A275" s="2">
        <v>29437</v>
      </c>
      <c r="B275" s="4" t="s">
        <v>753</v>
      </c>
      <c r="C275" s="7">
        <v>0</v>
      </c>
      <c r="D275" s="12" t="str">
        <f t="shared" si="4"/>
        <v>*</v>
      </c>
    </row>
    <row r="276" spans="1:4" x14ac:dyDescent="0.25">
      <c r="A276" s="2">
        <v>29935</v>
      </c>
      <c r="B276" s="4" t="s">
        <v>155</v>
      </c>
      <c r="C276" s="7">
        <v>54</v>
      </c>
      <c r="D276" s="12" t="str">
        <f t="shared" si="4"/>
        <v>*</v>
      </c>
    </row>
    <row r="277" spans="1:4" x14ac:dyDescent="0.25">
      <c r="A277" s="2">
        <v>29952</v>
      </c>
      <c r="B277" s="4" t="s">
        <v>463</v>
      </c>
      <c r="C277" s="7">
        <v>3757</v>
      </c>
      <c r="D277" s="12" t="str">
        <f t="shared" si="4"/>
        <v>*</v>
      </c>
    </row>
    <row r="278" spans="1:4" x14ac:dyDescent="0.25">
      <c r="A278" s="2">
        <v>29956</v>
      </c>
      <c r="B278" s="4" t="s">
        <v>70</v>
      </c>
      <c r="C278" s="7">
        <v>8949</v>
      </c>
      <c r="D278" s="12" t="str">
        <f t="shared" si="4"/>
        <v>*</v>
      </c>
    </row>
    <row r="279" spans="1:4" x14ac:dyDescent="0.25">
      <c r="A279" s="2">
        <v>29959</v>
      </c>
      <c r="B279" s="4" t="s">
        <v>71</v>
      </c>
      <c r="C279" s="7">
        <v>9239</v>
      </c>
      <c r="D279" s="12" t="str">
        <f t="shared" si="4"/>
        <v>*</v>
      </c>
    </row>
    <row r="280" spans="1:4" x14ac:dyDescent="0.25">
      <c r="A280" s="2">
        <v>29961</v>
      </c>
      <c r="B280" s="4" t="s">
        <v>72</v>
      </c>
      <c r="C280" s="7">
        <v>9494</v>
      </c>
      <c r="D280" s="12" t="str">
        <f t="shared" si="4"/>
        <v>*</v>
      </c>
    </row>
    <row r="281" spans="1:4" x14ac:dyDescent="0.25">
      <c r="A281" s="2">
        <v>29962</v>
      </c>
      <c r="B281" s="4" t="s">
        <v>73</v>
      </c>
      <c r="C281" s="7">
        <v>8653</v>
      </c>
      <c r="D281" s="12" t="str">
        <f t="shared" si="4"/>
        <v>*</v>
      </c>
    </row>
    <row r="282" spans="1:4" x14ac:dyDescent="0.25">
      <c r="A282" s="2">
        <v>29964</v>
      </c>
      <c r="B282" s="4" t="s">
        <v>74</v>
      </c>
      <c r="C282" s="7">
        <v>8834</v>
      </c>
      <c r="D282" s="12" t="str">
        <f t="shared" si="4"/>
        <v>*</v>
      </c>
    </row>
    <row r="283" spans="1:4" x14ac:dyDescent="0.25">
      <c r="A283" s="2">
        <v>30165</v>
      </c>
      <c r="B283" s="4" t="s">
        <v>91</v>
      </c>
      <c r="C283" s="7">
        <v>19510</v>
      </c>
      <c r="D283" s="12" t="str">
        <f t="shared" si="4"/>
        <v>*</v>
      </c>
    </row>
    <row r="284" spans="1:4" x14ac:dyDescent="0.25">
      <c r="A284" s="2">
        <v>30171</v>
      </c>
      <c r="B284" s="4" t="s">
        <v>11</v>
      </c>
      <c r="C284" s="7">
        <v>24</v>
      </c>
      <c r="D284" s="12" t="str">
        <f t="shared" si="4"/>
        <v>*</v>
      </c>
    </row>
    <row r="285" spans="1:4" x14ac:dyDescent="0.25">
      <c r="A285" s="2">
        <v>30658</v>
      </c>
      <c r="B285" s="4" t="s">
        <v>320</v>
      </c>
      <c r="C285" s="7">
        <v>18</v>
      </c>
      <c r="D285" s="12" t="str">
        <f t="shared" si="4"/>
        <v>*</v>
      </c>
    </row>
    <row r="286" spans="1:4" x14ac:dyDescent="0.25">
      <c r="A286" s="2">
        <v>30772</v>
      </c>
      <c r="B286" s="4" t="s">
        <v>190</v>
      </c>
      <c r="C286" s="7">
        <v>58</v>
      </c>
      <c r="D286" s="12" t="str">
        <f t="shared" si="4"/>
        <v>*</v>
      </c>
    </row>
    <row r="287" spans="1:4" x14ac:dyDescent="0.25">
      <c r="A287" s="2">
        <v>31321</v>
      </c>
      <c r="B287" s="4" t="s">
        <v>120</v>
      </c>
      <c r="C287" s="7">
        <v>17211</v>
      </c>
      <c r="D287" s="12" t="str">
        <f t="shared" si="4"/>
        <v>*</v>
      </c>
    </row>
    <row r="288" spans="1:4" x14ac:dyDescent="0.25">
      <c r="A288" s="2">
        <v>31555</v>
      </c>
      <c r="B288" s="4" t="s">
        <v>684</v>
      </c>
      <c r="C288" s="7">
        <v>0</v>
      </c>
      <c r="D288" s="12" t="str">
        <f t="shared" si="4"/>
        <v>*</v>
      </c>
    </row>
    <row r="289" spans="1:4" x14ac:dyDescent="0.25">
      <c r="A289" s="2">
        <v>31580</v>
      </c>
      <c r="B289" s="4" t="s">
        <v>650</v>
      </c>
      <c r="C289" s="7">
        <v>9</v>
      </c>
      <c r="D289" s="12" t="str">
        <f t="shared" si="4"/>
        <v>*</v>
      </c>
    </row>
    <row r="290" spans="1:4" x14ac:dyDescent="0.25">
      <c r="A290" s="2">
        <v>32487</v>
      </c>
      <c r="B290" s="4" t="s">
        <v>234</v>
      </c>
      <c r="C290" s="7">
        <v>45</v>
      </c>
      <c r="D290" s="12" t="str">
        <f t="shared" si="4"/>
        <v>*</v>
      </c>
    </row>
    <row r="291" spans="1:4" x14ac:dyDescent="0.25">
      <c r="A291" s="2">
        <v>32534</v>
      </c>
      <c r="B291" s="4" t="s">
        <v>1122</v>
      </c>
      <c r="C291" s="7">
        <v>8240</v>
      </c>
      <c r="D291" s="12" t="str">
        <f t="shared" si="4"/>
        <v>*</v>
      </c>
    </row>
    <row r="292" spans="1:4" x14ac:dyDescent="0.25">
      <c r="A292" s="2">
        <v>32927</v>
      </c>
      <c r="B292" s="4" t="s">
        <v>203</v>
      </c>
      <c r="C292" s="7">
        <v>8257</v>
      </c>
      <c r="D292" s="12" t="str">
        <f t="shared" si="4"/>
        <v>*</v>
      </c>
    </row>
    <row r="293" spans="1:4" x14ac:dyDescent="0.25">
      <c r="A293" s="2">
        <v>32933</v>
      </c>
      <c r="B293" s="4" t="s">
        <v>92</v>
      </c>
      <c r="C293" s="7">
        <v>19446</v>
      </c>
      <c r="D293" s="12" t="str">
        <f t="shared" si="4"/>
        <v>*</v>
      </c>
    </row>
    <row r="294" spans="1:4" x14ac:dyDescent="0.25">
      <c r="A294" s="2">
        <v>33609</v>
      </c>
      <c r="B294" s="4" t="s">
        <v>862</v>
      </c>
      <c r="C294" s="7">
        <v>43</v>
      </c>
      <c r="D294" s="12" t="str">
        <f t="shared" si="4"/>
        <v>*</v>
      </c>
    </row>
    <row r="295" spans="1:4" x14ac:dyDescent="0.25">
      <c r="A295" s="2">
        <v>33612</v>
      </c>
      <c r="B295" s="4" t="s">
        <v>863</v>
      </c>
      <c r="C295" s="7">
        <v>131</v>
      </c>
      <c r="D295" s="12" t="str">
        <f t="shared" si="4"/>
        <v>*</v>
      </c>
    </row>
    <row r="296" spans="1:4" x14ac:dyDescent="0.25">
      <c r="A296" s="2">
        <v>33623</v>
      </c>
      <c r="B296" s="4" t="s">
        <v>864</v>
      </c>
      <c r="C296" s="7">
        <v>168</v>
      </c>
      <c r="D296" s="12" t="str">
        <f t="shared" si="4"/>
        <v>*</v>
      </c>
    </row>
    <row r="297" spans="1:4" x14ac:dyDescent="0.25">
      <c r="A297" s="2">
        <v>34214</v>
      </c>
      <c r="B297" s="4" t="s">
        <v>542</v>
      </c>
      <c r="C297" s="7">
        <v>3</v>
      </c>
      <c r="D297" s="12" t="str">
        <f t="shared" si="4"/>
        <v>*</v>
      </c>
    </row>
    <row r="298" spans="1:4" x14ac:dyDescent="0.25">
      <c r="A298" s="2">
        <v>34801</v>
      </c>
      <c r="B298" s="4" t="s">
        <v>250</v>
      </c>
      <c r="C298" s="7">
        <v>4667</v>
      </c>
      <c r="D298" s="12" t="str">
        <f t="shared" si="4"/>
        <v>*</v>
      </c>
    </row>
    <row r="299" spans="1:4" x14ac:dyDescent="0.25">
      <c r="A299" s="2">
        <v>35224</v>
      </c>
      <c r="B299" s="4" t="s">
        <v>793</v>
      </c>
      <c r="C299" s="7">
        <v>16</v>
      </c>
      <c r="D299" s="12" t="str">
        <f t="shared" si="4"/>
        <v>*</v>
      </c>
    </row>
    <row r="300" spans="1:4" x14ac:dyDescent="0.25">
      <c r="A300" s="2">
        <v>35227</v>
      </c>
      <c r="B300" s="4" t="s">
        <v>289</v>
      </c>
      <c r="C300" s="7">
        <v>99</v>
      </c>
      <c r="D300" s="12" t="str">
        <f t="shared" si="4"/>
        <v>*</v>
      </c>
    </row>
    <row r="301" spans="1:4" x14ac:dyDescent="0.25">
      <c r="A301" s="2">
        <v>35238</v>
      </c>
      <c r="B301" s="4" t="s">
        <v>571</v>
      </c>
      <c r="C301" s="7">
        <v>0</v>
      </c>
      <c r="D301" s="12" t="str">
        <f t="shared" si="4"/>
        <v>*</v>
      </c>
    </row>
    <row r="302" spans="1:4" x14ac:dyDescent="0.25">
      <c r="A302" s="2">
        <v>35256</v>
      </c>
      <c r="B302" s="4" t="s">
        <v>256</v>
      </c>
      <c r="C302" s="7">
        <v>327</v>
      </c>
      <c r="D302" s="12" t="str">
        <f t="shared" si="4"/>
        <v>*</v>
      </c>
    </row>
    <row r="303" spans="1:4" x14ac:dyDescent="0.25">
      <c r="A303" s="2">
        <v>35331</v>
      </c>
      <c r="B303" s="4" t="s">
        <v>572</v>
      </c>
      <c r="C303" s="7">
        <v>10</v>
      </c>
      <c r="D303" s="12" t="str">
        <f t="shared" si="4"/>
        <v>*</v>
      </c>
    </row>
    <row r="304" spans="1:4" x14ac:dyDescent="0.25">
      <c r="A304" s="2">
        <v>35359</v>
      </c>
      <c r="B304" s="4" t="s">
        <v>573</v>
      </c>
      <c r="C304" s="7">
        <v>0</v>
      </c>
      <c r="D304" s="12" t="str">
        <f t="shared" si="4"/>
        <v>*</v>
      </c>
    </row>
    <row r="305" spans="1:4" x14ac:dyDescent="0.25">
      <c r="A305" s="2">
        <v>35550</v>
      </c>
      <c r="B305" s="4" t="s">
        <v>159</v>
      </c>
      <c r="C305" s="7">
        <v>90</v>
      </c>
      <c r="D305" s="12" t="str">
        <f t="shared" si="4"/>
        <v>*</v>
      </c>
    </row>
    <row r="306" spans="1:4" x14ac:dyDescent="0.25">
      <c r="A306" s="2">
        <v>35554</v>
      </c>
      <c r="B306" s="4" t="s">
        <v>165</v>
      </c>
      <c r="C306" s="7">
        <v>28</v>
      </c>
      <c r="D306" s="12" t="str">
        <f t="shared" si="4"/>
        <v>*</v>
      </c>
    </row>
    <row r="307" spans="1:4" x14ac:dyDescent="0.25">
      <c r="A307" s="2">
        <v>35555</v>
      </c>
      <c r="B307" s="4" t="s">
        <v>166</v>
      </c>
      <c r="C307" s="7">
        <v>25</v>
      </c>
      <c r="D307" s="12" t="str">
        <f t="shared" si="4"/>
        <v>*</v>
      </c>
    </row>
    <row r="308" spans="1:4" x14ac:dyDescent="0.25">
      <c r="A308" s="2">
        <v>36011</v>
      </c>
      <c r="B308" s="4" t="s">
        <v>173</v>
      </c>
      <c r="C308" s="7">
        <v>19</v>
      </c>
      <c r="D308" s="12" t="str">
        <f t="shared" si="4"/>
        <v>*</v>
      </c>
    </row>
    <row r="309" spans="1:4" x14ac:dyDescent="0.25">
      <c r="A309" s="2">
        <v>36031</v>
      </c>
      <c r="B309" s="4" t="s">
        <v>845</v>
      </c>
      <c r="C309" s="7">
        <v>160</v>
      </c>
      <c r="D309" s="12" t="str">
        <f t="shared" si="4"/>
        <v>*</v>
      </c>
    </row>
    <row r="310" spans="1:4" x14ac:dyDescent="0.25">
      <c r="A310" s="2">
        <v>36399</v>
      </c>
      <c r="B310" s="4" t="s">
        <v>997</v>
      </c>
      <c r="C310" s="7">
        <v>14</v>
      </c>
      <c r="D310" s="12" t="str">
        <f t="shared" si="4"/>
        <v>*</v>
      </c>
    </row>
    <row r="311" spans="1:4" x14ac:dyDescent="0.25">
      <c r="A311" s="2">
        <v>36400</v>
      </c>
      <c r="B311" s="4" t="s">
        <v>998</v>
      </c>
      <c r="C311" s="7">
        <v>0</v>
      </c>
      <c r="D311" s="12" t="str">
        <f t="shared" si="4"/>
        <v>*</v>
      </c>
    </row>
    <row r="312" spans="1:4" x14ac:dyDescent="0.25">
      <c r="A312" s="2">
        <v>37518</v>
      </c>
      <c r="B312" s="4" t="s">
        <v>637</v>
      </c>
      <c r="C312" s="7">
        <v>30</v>
      </c>
      <c r="D312" s="12" t="str">
        <f t="shared" si="4"/>
        <v>*</v>
      </c>
    </row>
    <row r="313" spans="1:4" x14ac:dyDescent="0.25">
      <c r="A313" s="2">
        <v>37519</v>
      </c>
      <c r="B313" s="4" t="s">
        <v>638</v>
      </c>
      <c r="C313" s="7">
        <v>30</v>
      </c>
      <c r="D313" s="12" t="str">
        <f t="shared" si="4"/>
        <v>*</v>
      </c>
    </row>
    <row r="314" spans="1:4" x14ac:dyDescent="0.25">
      <c r="A314" s="2">
        <v>37528</v>
      </c>
      <c r="B314" s="4" t="s">
        <v>820</v>
      </c>
      <c r="C314" s="7">
        <v>662</v>
      </c>
      <c r="D314" s="12" t="str">
        <f t="shared" si="4"/>
        <v>*</v>
      </c>
    </row>
    <row r="315" spans="1:4" x14ac:dyDescent="0.25">
      <c r="A315" s="2">
        <v>38534</v>
      </c>
      <c r="B315" s="4" t="s">
        <v>754</v>
      </c>
      <c r="C315" s="7">
        <v>15</v>
      </c>
      <c r="D315" s="12" t="str">
        <f t="shared" si="4"/>
        <v>*</v>
      </c>
    </row>
    <row r="316" spans="1:4" x14ac:dyDescent="0.25">
      <c r="A316" s="2">
        <v>38648</v>
      </c>
      <c r="B316" s="4" t="s">
        <v>716</v>
      </c>
      <c r="C316" s="7">
        <v>0</v>
      </c>
      <c r="D316" s="12" t="str">
        <f t="shared" si="4"/>
        <v>*</v>
      </c>
    </row>
    <row r="317" spans="1:4" x14ac:dyDescent="0.25">
      <c r="A317" s="2">
        <v>38930</v>
      </c>
      <c r="B317" s="4" t="s">
        <v>917</v>
      </c>
      <c r="C317" s="7">
        <v>22</v>
      </c>
      <c r="D317" s="12" t="str">
        <f t="shared" si="4"/>
        <v>*</v>
      </c>
    </row>
    <row r="318" spans="1:4" x14ac:dyDescent="0.25">
      <c r="A318" s="2">
        <v>39378</v>
      </c>
      <c r="B318" s="4" t="s">
        <v>821</v>
      </c>
      <c r="C318" s="7">
        <v>260</v>
      </c>
      <c r="D318" s="12" t="str">
        <f t="shared" si="4"/>
        <v>*</v>
      </c>
    </row>
    <row r="319" spans="1:4" x14ac:dyDescent="0.25">
      <c r="A319" s="2">
        <v>40086</v>
      </c>
      <c r="B319" s="4" t="s">
        <v>524</v>
      </c>
      <c r="C319" s="7">
        <v>202</v>
      </c>
      <c r="D319" s="12" t="str">
        <f t="shared" si="4"/>
        <v>*</v>
      </c>
    </row>
    <row r="320" spans="1:4" x14ac:dyDescent="0.25">
      <c r="A320" s="2">
        <v>40251</v>
      </c>
      <c r="B320" s="4" t="s">
        <v>990</v>
      </c>
      <c r="C320" s="7">
        <v>203</v>
      </c>
      <c r="D320" s="12" t="str">
        <f t="shared" si="4"/>
        <v>*</v>
      </c>
    </row>
    <row r="321" spans="1:4" x14ac:dyDescent="0.25">
      <c r="A321" s="2">
        <v>40685</v>
      </c>
      <c r="B321" s="4" t="s">
        <v>121</v>
      </c>
      <c r="C321" s="7">
        <v>915</v>
      </c>
      <c r="D321" s="12" t="str">
        <f t="shared" si="4"/>
        <v>*</v>
      </c>
    </row>
    <row r="322" spans="1:4" x14ac:dyDescent="0.25">
      <c r="A322" s="2">
        <v>40772</v>
      </c>
      <c r="B322" s="4" t="s">
        <v>755</v>
      </c>
      <c r="C322" s="7">
        <v>14</v>
      </c>
      <c r="D322" s="12" t="str">
        <f t="shared" si="4"/>
        <v>*</v>
      </c>
    </row>
    <row r="323" spans="1:4" x14ac:dyDescent="0.25">
      <c r="A323" s="2">
        <v>42566</v>
      </c>
      <c r="B323" s="4" t="s">
        <v>546</v>
      </c>
      <c r="C323" s="7">
        <v>34</v>
      </c>
      <c r="D323" s="12" t="str">
        <f t="shared" si="4"/>
        <v>*</v>
      </c>
    </row>
    <row r="324" spans="1:4" x14ac:dyDescent="0.25">
      <c r="A324" s="2">
        <v>42681</v>
      </c>
      <c r="B324" s="4" t="s">
        <v>574</v>
      </c>
      <c r="C324" s="7">
        <v>0</v>
      </c>
      <c r="D324" s="12" t="str">
        <f t="shared" ref="D324:D387" si="5">IF($D$3="FIM","*","")</f>
        <v>*</v>
      </c>
    </row>
    <row r="325" spans="1:4" x14ac:dyDescent="0.25">
      <c r="A325" s="2">
        <v>42854</v>
      </c>
      <c r="B325" s="4" t="s">
        <v>491</v>
      </c>
      <c r="C325" s="7">
        <v>961</v>
      </c>
      <c r="D325" s="12" t="str">
        <f t="shared" si="5"/>
        <v>*</v>
      </c>
    </row>
    <row r="326" spans="1:4" x14ac:dyDescent="0.25">
      <c r="A326" s="2">
        <v>44398</v>
      </c>
      <c r="B326" s="4" t="s">
        <v>337</v>
      </c>
      <c r="C326" s="7">
        <v>921</v>
      </c>
      <c r="D326" s="12" t="str">
        <f t="shared" si="5"/>
        <v>*</v>
      </c>
    </row>
    <row r="327" spans="1:4" x14ac:dyDescent="0.25">
      <c r="A327" s="2">
        <v>44789</v>
      </c>
      <c r="B327" s="4" t="s">
        <v>756</v>
      </c>
      <c r="C327" s="7">
        <v>8</v>
      </c>
      <c r="D327" s="12" t="str">
        <f t="shared" si="5"/>
        <v>*</v>
      </c>
    </row>
    <row r="328" spans="1:4" x14ac:dyDescent="0.25">
      <c r="A328" s="2">
        <v>45637</v>
      </c>
      <c r="B328" s="4" t="s">
        <v>621</v>
      </c>
      <c r="C328" s="7">
        <v>54</v>
      </c>
      <c r="D328" s="12" t="str">
        <f t="shared" si="5"/>
        <v>*</v>
      </c>
    </row>
    <row r="329" spans="1:4" x14ac:dyDescent="0.25">
      <c r="A329" s="2">
        <v>46420</v>
      </c>
      <c r="B329" s="4" t="s">
        <v>473</v>
      </c>
      <c r="C329" s="7">
        <v>1805</v>
      </c>
      <c r="D329" s="12" t="str">
        <f t="shared" si="5"/>
        <v>*</v>
      </c>
    </row>
    <row r="330" spans="1:4" x14ac:dyDescent="0.25">
      <c r="A330" s="2">
        <v>47447</v>
      </c>
      <c r="B330" s="4" t="s">
        <v>93</v>
      </c>
      <c r="C330" s="7">
        <v>15674</v>
      </c>
      <c r="D330" s="12" t="str">
        <f t="shared" si="5"/>
        <v>*</v>
      </c>
    </row>
    <row r="331" spans="1:4" x14ac:dyDescent="0.25">
      <c r="A331" s="2">
        <v>48901</v>
      </c>
      <c r="B331" s="4" t="s">
        <v>404</v>
      </c>
      <c r="C331" s="7">
        <v>26</v>
      </c>
      <c r="D331" s="12" t="str">
        <f t="shared" si="5"/>
        <v>*</v>
      </c>
    </row>
    <row r="332" spans="1:4" x14ac:dyDescent="0.25">
      <c r="A332" s="2">
        <v>49033</v>
      </c>
      <c r="B332" s="4" t="s">
        <v>397</v>
      </c>
      <c r="C332" s="7">
        <v>63</v>
      </c>
      <c r="D332" s="12" t="str">
        <f t="shared" si="5"/>
        <v>*</v>
      </c>
    </row>
    <row r="333" spans="1:4" x14ac:dyDescent="0.25">
      <c r="A333" s="2">
        <v>49254</v>
      </c>
      <c r="B333" s="4" t="s">
        <v>184</v>
      </c>
      <c r="C333" s="7">
        <v>858</v>
      </c>
      <c r="D333" s="12" t="str">
        <f t="shared" si="5"/>
        <v>*</v>
      </c>
    </row>
    <row r="334" spans="1:4" x14ac:dyDescent="0.25">
      <c r="A334" s="2">
        <v>49695</v>
      </c>
      <c r="B334" s="4" t="s">
        <v>505</v>
      </c>
      <c r="C334" s="7">
        <v>235</v>
      </c>
      <c r="D334" s="12" t="str">
        <f t="shared" si="5"/>
        <v>*</v>
      </c>
    </row>
    <row r="335" spans="1:4" x14ac:dyDescent="0.25">
      <c r="A335" s="2">
        <v>49858</v>
      </c>
      <c r="B335" s="4" t="s">
        <v>846</v>
      </c>
      <c r="C335" s="7">
        <v>39</v>
      </c>
      <c r="D335" s="12" t="str">
        <f t="shared" si="5"/>
        <v>*</v>
      </c>
    </row>
    <row r="336" spans="1:4" x14ac:dyDescent="0.25">
      <c r="A336" s="2">
        <v>50475</v>
      </c>
      <c r="B336" s="4" t="s">
        <v>525</v>
      </c>
      <c r="C336" s="7">
        <v>192</v>
      </c>
      <c r="D336" s="12" t="str">
        <f t="shared" si="5"/>
        <v>*</v>
      </c>
    </row>
    <row r="337" spans="1:4" x14ac:dyDescent="0.25">
      <c r="A337" s="2">
        <v>50591</v>
      </c>
      <c r="B337" s="4" t="s">
        <v>390</v>
      </c>
      <c r="C337" s="7">
        <v>26</v>
      </c>
      <c r="D337" s="12" t="str">
        <f t="shared" si="5"/>
        <v>*</v>
      </c>
    </row>
    <row r="338" spans="1:4" x14ac:dyDescent="0.25">
      <c r="A338" s="2">
        <v>50797</v>
      </c>
      <c r="B338" s="4" t="s">
        <v>38</v>
      </c>
      <c r="C338" s="7">
        <v>200</v>
      </c>
      <c r="D338" s="12" t="str">
        <f t="shared" si="5"/>
        <v>*</v>
      </c>
    </row>
    <row r="339" spans="1:4" x14ac:dyDescent="0.25">
      <c r="A339" s="2">
        <v>51222</v>
      </c>
      <c r="B339" s="4" t="s">
        <v>689</v>
      </c>
      <c r="C339" s="7">
        <v>57</v>
      </c>
      <c r="D339" s="12" t="str">
        <f t="shared" si="5"/>
        <v>*</v>
      </c>
    </row>
    <row r="340" spans="1:4" x14ac:dyDescent="0.25">
      <c r="A340" s="2">
        <v>51579</v>
      </c>
      <c r="B340" s="4" t="s">
        <v>43</v>
      </c>
      <c r="C340" s="7">
        <v>900</v>
      </c>
      <c r="D340" s="12" t="str">
        <f t="shared" si="5"/>
        <v>*</v>
      </c>
    </row>
    <row r="341" spans="1:4" x14ac:dyDescent="0.25">
      <c r="A341" s="2">
        <v>52129</v>
      </c>
      <c r="B341" s="4" t="s">
        <v>904</v>
      </c>
      <c r="C341" s="7">
        <v>170</v>
      </c>
      <c r="D341" s="12" t="str">
        <f t="shared" si="5"/>
        <v>*</v>
      </c>
    </row>
    <row r="342" spans="1:4" x14ac:dyDescent="0.25">
      <c r="A342" s="2">
        <v>52994</v>
      </c>
      <c r="B342" s="4" t="s">
        <v>757</v>
      </c>
      <c r="C342" s="7">
        <v>20</v>
      </c>
      <c r="D342" s="12" t="str">
        <f t="shared" si="5"/>
        <v>*</v>
      </c>
    </row>
    <row r="343" spans="1:4" x14ac:dyDescent="0.25">
      <c r="A343" s="2">
        <v>53446</v>
      </c>
      <c r="B343" s="4" t="s">
        <v>274</v>
      </c>
      <c r="C343" s="7">
        <v>839</v>
      </c>
      <c r="D343" s="12" t="str">
        <f t="shared" si="5"/>
        <v>*</v>
      </c>
    </row>
    <row r="344" spans="1:4" x14ac:dyDescent="0.25">
      <c r="A344" s="2">
        <v>53813</v>
      </c>
      <c r="B344" s="4" t="s">
        <v>519</v>
      </c>
      <c r="C344" s="7">
        <v>56</v>
      </c>
      <c r="D344" s="12" t="str">
        <f t="shared" si="5"/>
        <v>*</v>
      </c>
    </row>
    <row r="345" spans="1:4" x14ac:dyDescent="0.25">
      <c r="A345" s="2">
        <v>53814</v>
      </c>
      <c r="B345" s="4" t="s">
        <v>520</v>
      </c>
      <c r="C345" s="7">
        <v>62</v>
      </c>
      <c r="D345" s="12" t="str">
        <f t="shared" si="5"/>
        <v>*</v>
      </c>
    </row>
    <row r="346" spans="1:4" x14ac:dyDescent="0.25">
      <c r="A346" s="2">
        <v>53849</v>
      </c>
      <c r="B346" s="4" t="s">
        <v>321</v>
      </c>
      <c r="C346" s="7">
        <v>31</v>
      </c>
      <c r="D346" s="12" t="str">
        <f t="shared" si="5"/>
        <v>*</v>
      </c>
    </row>
    <row r="347" spans="1:4" x14ac:dyDescent="0.25">
      <c r="A347" s="2">
        <v>54017</v>
      </c>
      <c r="B347" s="4" t="s">
        <v>758</v>
      </c>
      <c r="C347" s="7">
        <v>6</v>
      </c>
      <c r="D347" s="12" t="str">
        <f t="shared" si="5"/>
        <v>*</v>
      </c>
    </row>
    <row r="348" spans="1:4" x14ac:dyDescent="0.25">
      <c r="A348" s="2">
        <v>54018</v>
      </c>
      <c r="B348" s="4" t="s">
        <v>759</v>
      </c>
      <c r="C348" s="7">
        <v>0</v>
      </c>
      <c r="D348" s="12" t="str">
        <f t="shared" si="5"/>
        <v>*</v>
      </c>
    </row>
    <row r="349" spans="1:4" x14ac:dyDescent="0.25">
      <c r="A349" s="2">
        <v>54019</v>
      </c>
      <c r="B349" s="4" t="s">
        <v>145</v>
      </c>
      <c r="C349" s="7">
        <v>8</v>
      </c>
      <c r="D349" s="12" t="str">
        <f t="shared" si="5"/>
        <v>*</v>
      </c>
    </row>
    <row r="350" spans="1:4" x14ac:dyDescent="0.25">
      <c r="A350" s="2">
        <v>54026</v>
      </c>
      <c r="B350" s="4" t="s">
        <v>651</v>
      </c>
      <c r="C350" s="7">
        <v>8</v>
      </c>
      <c r="D350" s="12" t="str">
        <f t="shared" si="5"/>
        <v>*</v>
      </c>
    </row>
    <row r="351" spans="1:4" x14ac:dyDescent="0.25">
      <c r="A351" s="2">
        <v>54029</v>
      </c>
      <c r="B351" s="4" t="s">
        <v>652</v>
      </c>
      <c r="C351" s="7">
        <v>220</v>
      </c>
      <c r="D351" s="12" t="str">
        <f t="shared" si="5"/>
        <v>*</v>
      </c>
    </row>
    <row r="352" spans="1:4" x14ac:dyDescent="0.25">
      <c r="A352" s="2">
        <v>54032</v>
      </c>
      <c r="B352" s="4" t="s">
        <v>653</v>
      </c>
      <c r="C352" s="7">
        <v>1200</v>
      </c>
      <c r="D352" s="12" t="str">
        <f t="shared" si="5"/>
        <v>*</v>
      </c>
    </row>
    <row r="353" spans="1:4" x14ac:dyDescent="0.25">
      <c r="A353" s="2">
        <v>54144</v>
      </c>
      <c r="B353" s="4" t="s">
        <v>760</v>
      </c>
      <c r="C353" s="7">
        <v>14</v>
      </c>
      <c r="D353" s="12" t="str">
        <f t="shared" si="5"/>
        <v>*</v>
      </c>
    </row>
    <row r="354" spans="1:4" x14ac:dyDescent="0.25">
      <c r="A354" s="2">
        <v>54550</v>
      </c>
      <c r="B354" s="4" t="s">
        <v>726</v>
      </c>
      <c r="C354" s="7">
        <v>48</v>
      </c>
      <c r="D354" s="12" t="str">
        <f t="shared" si="5"/>
        <v>*</v>
      </c>
    </row>
    <row r="355" spans="1:4" x14ac:dyDescent="0.25">
      <c r="A355" s="2">
        <v>54552</v>
      </c>
      <c r="B355" s="4" t="s">
        <v>338</v>
      </c>
      <c r="C355" s="7">
        <v>171</v>
      </c>
      <c r="D355" s="12" t="str">
        <f t="shared" si="5"/>
        <v>*</v>
      </c>
    </row>
    <row r="356" spans="1:4" x14ac:dyDescent="0.25">
      <c r="A356" s="2">
        <v>54586</v>
      </c>
      <c r="B356" s="4" t="s">
        <v>279</v>
      </c>
      <c r="C356" s="7">
        <v>6</v>
      </c>
      <c r="D356" s="12" t="str">
        <f t="shared" si="5"/>
        <v>*</v>
      </c>
    </row>
    <row r="357" spans="1:4" x14ac:dyDescent="0.25">
      <c r="A357" s="2">
        <v>54587</v>
      </c>
      <c r="B357" s="4" t="s">
        <v>278</v>
      </c>
      <c r="C357" s="7">
        <v>24</v>
      </c>
      <c r="D357" s="12" t="str">
        <f t="shared" si="5"/>
        <v>*</v>
      </c>
    </row>
    <row r="358" spans="1:4" x14ac:dyDescent="0.25">
      <c r="A358" s="2">
        <v>54668</v>
      </c>
      <c r="B358" s="4" t="s">
        <v>12</v>
      </c>
      <c r="C358" s="7">
        <v>137</v>
      </c>
      <c r="D358" s="12" t="str">
        <f t="shared" si="5"/>
        <v>*</v>
      </c>
    </row>
    <row r="359" spans="1:4" x14ac:dyDescent="0.25">
      <c r="A359" s="2">
        <v>54682</v>
      </c>
      <c r="B359" s="4" t="s">
        <v>464</v>
      </c>
      <c r="C359" s="7">
        <v>2697</v>
      </c>
      <c r="D359" s="12" t="str">
        <f t="shared" si="5"/>
        <v>*</v>
      </c>
    </row>
    <row r="360" spans="1:4" x14ac:dyDescent="0.25">
      <c r="A360" s="2">
        <v>55836</v>
      </c>
      <c r="B360" s="4" t="s">
        <v>968</v>
      </c>
      <c r="C360" s="7">
        <v>500</v>
      </c>
      <c r="D360" s="12" t="str">
        <f t="shared" si="5"/>
        <v>*</v>
      </c>
    </row>
    <row r="361" spans="1:4" x14ac:dyDescent="0.25">
      <c r="A361" s="2">
        <v>56519</v>
      </c>
      <c r="B361" s="4" t="s">
        <v>391</v>
      </c>
      <c r="C361" s="7">
        <v>13</v>
      </c>
      <c r="D361" s="12" t="str">
        <f t="shared" si="5"/>
        <v>*</v>
      </c>
    </row>
    <row r="362" spans="1:4" x14ac:dyDescent="0.25">
      <c r="A362" s="2">
        <v>56520</v>
      </c>
      <c r="B362" s="4" t="s">
        <v>398</v>
      </c>
      <c r="C362" s="7">
        <v>18</v>
      </c>
      <c r="D362" s="12" t="str">
        <f t="shared" si="5"/>
        <v>*</v>
      </c>
    </row>
    <row r="363" spans="1:4" x14ac:dyDescent="0.25">
      <c r="A363" s="2">
        <v>57444</v>
      </c>
      <c r="B363" s="4" t="s">
        <v>10</v>
      </c>
      <c r="C363" s="7">
        <v>127</v>
      </c>
      <c r="D363" s="12" t="str">
        <f t="shared" si="5"/>
        <v>*</v>
      </c>
    </row>
    <row r="364" spans="1:4" x14ac:dyDescent="0.25">
      <c r="A364" s="2">
        <v>57598</v>
      </c>
      <c r="B364" s="4" t="s">
        <v>275</v>
      </c>
      <c r="C364" s="7">
        <v>1514</v>
      </c>
      <c r="D364" s="12" t="str">
        <f t="shared" si="5"/>
        <v>*</v>
      </c>
    </row>
    <row r="365" spans="1:4" x14ac:dyDescent="0.25">
      <c r="A365" s="2">
        <v>57900</v>
      </c>
      <c r="B365" s="4" t="s">
        <v>962</v>
      </c>
      <c r="C365" s="7">
        <v>14</v>
      </c>
      <c r="D365" s="12" t="str">
        <f t="shared" si="5"/>
        <v>*</v>
      </c>
    </row>
    <row r="366" spans="1:4" x14ac:dyDescent="0.25">
      <c r="A366" s="2">
        <v>58116</v>
      </c>
      <c r="B366" s="4" t="s">
        <v>919</v>
      </c>
      <c r="C366" s="7">
        <v>0</v>
      </c>
      <c r="D366" s="12" t="str">
        <f t="shared" si="5"/>
        <v>*</v>
      </c>
    </row>
    <row r="367" spans="1:4" x14ac:dyDescent="0.25">
      <c r="A367" s="2">
        <v>58117</v>
      </c>
      <c r="B367" s="4" t="s">
        <v>920</v>
      </c>
      <c r="C367" s="7">
        <v>25</v>
      </c>
      <c r="D367" s="12" t="str">
        <f t="shared" si="5"/>
        <v>*</v>
      </c>
    </row>
    <row r="368" spans="1:4" x14ac:dyDescent="0.25">
      <c r="A368" s="2">
        <v>58436</v>
      </c>
      <c r="B368" s="4" t="s">
        <v>880</v>
      </c>
      <c r="C368" s="7">
        <v>30</v>
      </c>
      <c r="D368" s="12" t="str">
        <f t="shared" si="5"/>
        <v>*</v>
      </c>
    </row>
    <row r="369" spans="1:4" x14ac:dyDescent="0.25">
      <c r="A369" s="2">
        <v>58647</v>
      </c>
      <c r="B369" s="4" t="s">
        <v>549</v>
      </c>
      <c r="C369" s="7">
        <v>80</v>
      </c>
      <c r="D369" s="12" t="str">
        <f t="shared" si="5"/>
        <v>*</v>
      </c>
    </row>
    <row r="370" spans="1:4" x14ac:dyDescent="0.25">
      <c r="A370" s="2">
        <v>58706</v>
      </c>
      <c r="B370" s="4" t="s">
        <v>225</v>
      </c>
      <c r="C370" s="7">
        <v>159</v>
      </c>
      <c r="D370" s="12" t="str">
        <f t="shared" si="5"/>
        <v>*</v>
      </c>
    </row>
    <row r="371" spans="1:4" x14ac:dyDescent="0.25">
      <c r="A371" s="2">
        <v>58792</v>
      </c>
      <c r="B371" s="4" t="s">
        <v>1323</v>
      </c>
      <c r="C371" s="7">
        <v>0</v>
      </c>
      <c r="D371" s="12" t="str">
        <f t="shared" si="5"/>
        <v>*</v>
      </c>
    </row>
    <row r="372" spans="1:4" x14ac:dyDescent="0.25">
      <c r="A372" s="2">
        <v>58977</v>
      </c>
      <c r="B372" s="4" t="s">
        <v>204</v>
      </c>
      <c r="C372" s="7">
        <v>66</v>
      </c>
      <c r="D372" s="12" t="str">
        <f t="shared" si="5"/>
        <v>*</v>
      </c>
    </row>
    <row r="373" spans="1:4" x14ac:dyDescent="0.25">
      <c r="A373" s="2">
        <v>59018</v>
      </c>
      <c r="B373" s="4" t="s">
        <v>257</v>
      </c>
      <c r="C373" s="7">
        <v>101</v>
      </c>
      <c r="D373" s="12" t="str">
        <f t="shared" si="5"/>
        <v>*</v>
      </c>
    </row>
    <row r="374" spans="1:4" x14ac:dyDescent="0.25">
      <c r="A374" s="2">
        <v>59069</v>
      </c>
      <c r="B374" s="4" t="s">
        <v>290</v>
      </c>
      <c r="C374" s="7">
        <v>27</v>
      </c>
      <c r="D374" s="12" t="str">
        <f t="shared" si="5"/>
        <v>*</v>
      </c>
    </row>
    <row r="375" spans="1:4" x14ac:dyDescent="0.25">
      <c r="A375" s="2">
        <v>59074</v>
      </c>
      <c r="B375" s="4" t="s">
        <v>444</v>
      </c>
      <c r="C375" s="7">
        <v>1567</v>
      </c>
      <c r="D375" s="12" t="str">
        <f t="shared" si="5"/>
        <v>*</v>
      </c>
    </row>
    <row r="376" spans="1:4" x14ac:dyDescent="0.25">
      <c r="A376" s="2">
        <v>59097</v>
      </c>
      <c r="B376" s="4" t="s">
        <v>291</v>
      </c>
      <c r="C376" s="7">
        <v>50</v>
      </c>
      <c r="D376" s="12" t="str">
        <f t="shared" si="5"/>
        <v>*</v>
      </c>
    </row>
    <row r="377" spans="1:4" x14ac:dyDescent="0.25">
      <c r="A377" s="2">
        <v>59882</v>
      </c>
      <c r="B377" s="4" t="s">
        <v>894</v>
      </c>
      <c r="C377" s="7">
        <v>478</v>
      </c>
      <c r="D377" s="12" t="str">
        <f t="shared" si="5"/>
        <v>*</v>
      </c>
    </row>
    <row r="378" spans="1:4" x14ac:dyDescent="0.25">
      <c r="A378" s="2">
        <v>59942</v>
      </c>
      <c r="B378" s="4" t="s">
        <v>262</v>
      </c>
      <c r="C378" s="7">
        <v>132</v>
      </c>
      <c r="D378" s="12" t="str">
        <f t="shared" si="5"/>
        <v>*</v>
      </c>
    </row>
    <row r="379" spans="1:4" x14ac:dyDescent="0.25">
      <c r="A379" s="2">
        <v>60116</v>
      </c>
      <c r="B379" s="4" t="s">
        <v>280</v>
      </c>
      <c r="C379" s="7">
        <v>134</v>
      </c>
      <c r="D379" s="12" t="str">
        <f t="shared" si="5"/>
        <v>*</v>
      </c>
    </row>
    <row r="380" spans="1:4" x14ac:dyDescent="0.25">
      <c r="A380" s="2">
        <v>60517</v>
      </c>
      <c r="B380" s="4" t="s">
        <v>521</v>
      </c>
      <c r="C380" s="7">
        <v>652</v>
      </c>
      <c r="D380" s="12" t="str">
        <f t="shared" si="5"/>
        <v>*</v>
      </c>
    </row>
    <row r="381" spans="1:4" x14ac:dyDescent="0.25">
      <c r="A381" s="2">
        <v>60830</v>
      </c>
      <c r="B381" s="4" t="s">
        <v>761</v>
      </c>
      <c r="C381" s="7">
        <v>12</v>
      </c>
      <c r="D381" s="12" t="str">
        <f t="shared" si="5"/>
        <v>*</v>
      </c>
    </row>
    <row r="382" spans="1:4" x14ac:dyDescent="0.25">
      <c r="A382" s="2">
        <v>60889</v>
      </c>
      <c r="B382" s="4" t="s">
        <v>654</v>
      </c>
      <c r="C382" s="7">
        <v>546</v>
      </c>
      <c r="D382" s="12" t="str">
        <f t="shared" si="5"/>
        <v>*</v>
      </c>
    </row>
    <row r="383" spans="1:4" x14ac:dyDescent="0.25">
      <c r="A383" s="2">
        <v>60973</v>
      </c>
      <c r="B383" s="4" t="s">
        <v>986</v>
      </c>
      <c r="C383" s="7">
        <v>20</v>
      </c>
      <c r="D383" s="12" t="str">
        <f t="shared" si="5"/>
        <v>*</v>
      </c>
    </row>
    <row r="384" spans="1:4" x14ac:dyDescent="0.25">
      <c r="A384" s="2">
        <v>61046</v>
      </c>
      <c r="B384" s="4" t="s">
        <v>258</v>
      </c>
      <c r="C384" s="7">
        <v>17</v>
      </c>
      <c r="D384" s="12" t="str">
        <f t="shared" si="5"/>
        <v>*</v>
      </c>
    </row>
    <row r="385" spans="1:4" x14ac:dyDescent="0.25">
      <c r="A385" s="2">
        <v>61200</v>
      </c>
      <c r="B385" s="4" t="s">
        <v>292</v>
      </c>
      <c r="C385" s="7">
        <v>60</v>
      </c>
      <c r="D385" s="12" t="str">
        <f t="shared" si="5"/>
        <v>*</v>
      </c>
    </row>
    <row r="386" spans="1:4" x14ac:dyDescent="0.25">
      <c r="A386" s="2">
        <v>61201</v>
      </c>
      <c r="B386" s="4" t="s">
        <v>762</v>
      </c>
      <c r="C386" s="7">
        <v>200</v>
      </c>
      <c r="D386" s="12" t="str">
        <f t="shared" si="5"/>
        <v>*</v>
      </c>
    </row>
    <row r="387" spans="1:4" x14ac:dyDescent="0.25">
      <c r="A387" s="2">
        <v>63031</v>
      </c>
      <c r="B387" s="4" t="s">
        <v>780</v>
      </c>
      <c r="C387" s="7">
        <v>815</v>
      </c>
      <c r="D387" s="12" t="str">
        <f t="shared" si="5"/>
        <v>*</v>
      </c>
    </row>
    <row r="388" spans="1:4" x14ac:dyDescent="0.25">
      <c r="A388" s="2">
        <v>63252</v>
      </c>
      <c r="B388" s="4" t="s">
        <v>942</v>
      </c>
      <c r="C388" s="7">
        <v>101</v>
      </c>
      <c r="D388" s="12" t="str">
        <f t="shared" ref="D388:D451" si="6">IF($D$3="FIM","*","")</f>
        <v>*</v>
      </c>
    </row>
    <row r="389" spans="1:4" x14ac:dyDescent="0.25">
      <c r="A389" s="2">
        <v>63382</v>
      </c>
      <c r="B389" s="4" t="s">
        <v>552</v>
      </c>
      <c r="C389" s="7">
        <v>18</v>
      </c>
      <c r="D389" s="12" t="str">
        <f t="shared" si="6"/>
        <v>*</v>
      </c>
    </row>
    <row r="390" spans="1:4" x14ac:dyDescent="0.25">
      <c r="A390" s="2">
        <v>63385</v>
      </c>
      <c r="B390" s="4" t="s">
        <v>96</v>
      </c>
      <c r="C390" s="7">
        <v>20594</v>
      </c>
      <c r="D390" s="12" t="str">
        <f t="shared" si="6"/>
        <v>*</v>
      </c>
    </row>
    <row r="391" spans="1:4" x14ac:dyDescent="0.25">
      <c r="A391" s="2">
        <v>63591</v>
      </c>
      <c r="B391" s="4" t="s">
        <v>61</v>
      </c>
      <c r="C391" s="7">
        <v>12240</v>
      </c>
      <c r="D391" s="12" t="str">
        <f t="shared" si="6"/>
        <v>*</v>
      </c>
    </row>
    <row r="392" spans="1:4" x14ac:dyDescent="0.25">
      <c r="A392" s="2">
        <v>63839</v>
      </c>
      <c r="B392" s="4" t="s">
        <v>951</v>
      </c>
      <c r="C392" s="7">
        <v>245</v>
      </c>
      <c r="D392" s="12" t="str">
        <f t="shared" si="6"/>
        <v>*</v>
      </c>
    </row>
    <row r="393" spans="1:4" x14ac:dyDescent="0.25">
      <c r="A393" s="2">
        <v>63991</v>
      </c>
      <c r="B393" s="4" t="s">
        <v>712</v>
      </c>
      <c r="C393" s="7">
        <v>3107</v>
      </c>
      <c r="D393" s="12" t="str">
        <f t="shared" si="6"/>
        <v>*</v>
      </c>
    </row>
    <row r="394" spans="1:4" x14ac:dyDescent="0.25">
      <c r="A394" s="2">
        <v>64253</v>
      </c>
      <c r="B394" s="4" t="s">
        <v>900</v>
      </c>
      <c r="C394" s="7">
        <v>1086</v>
      </c>
      <c r="D394" s="12" t="str">
        <f t="shared" si="6"/>
        <v>*</v>
      </c>
    </row>
    <row r="395" spans="1:4" x14ac:dyDescent="0.25">
      <c r="A395" s="2">
        <v>64302</v>
      </c>
      <c r="B395" s="4" t="s">
        <v>108</v>
      </c>
      <c r="C395" s="7">
        <v>5185</v>
      </c>
      <c r="D395" s="12" t="str">
        <f t="shared" si="6"/>
        <v>*</v>
      </c>
    </row>
    <row r="396" spans="1:4" x14ac:dyDescent="0.25">
      <c r="A396" s="2">
        <v>64466</v>
      </c>
      <c r="B396" s="4" t="s">
        <v>834</v>
      </c>
      <c r="C396" s="7">
        <v>73</v>
      </c>
      <c r="D396" s="12" t="str">
        <f t="shared" si="6"/>
        <v>*</v>
      </c>
    </row>
    <row r="397" spans="1:4" x14ac:dyDescent="0.25">
      <c r="A397" s="2">
        <v>64604</v>
      </c>
      <c r="B397" s="4" t="s">
        <v>263</v>
      </c>
      <c r="C397" s="7">
        <v>151</v>
      </c>
      <c r="D397" s="12" t="str">
        <f t="shared" si="6"/>
        <v>*</v>
      </c>
    </row>
    <row r="398" spans="1:4" x14ac:dyDescent="0.25">
      <c r="A398" s="2">
        <v>64605</v>
      </c>
      <c r="B398" s="4" t="s">
        <v>264</v>
      </c>
      <c r="C398" s="7">
        <v>188</v>
      </c>
      <c r="D398" s="12" t="str">
        <f t="shared" si="6"/>
        <v>*</v>
      </c>
    </row>
    <row r="399" spans="1:4" x14ac:dyDescent="0.25">
      <c r="A399" s="2">
        <v>64607</v>
      </c>
      <c r="B399" s="4" t="s">
        <v>259</v>
      </c>
      <c r="C399" s="7">
        <v>112</v>
      </c>
      <c r="D399" s="12" t="str">
        <f t="shared" si="6"/>
        <v>*</v>
      </c>
    </row>
    <row r="400" spans="1:4" x14ac:dyDescent="0.25">
      <c r="A400" s="2">
        <v>64609</v>
      </c>
      <c r="B400" s="4" t="s">
        <v>260</v>
      </c>
      <c r="C400" s="7">
        <v>7</v>
      </c>
      <c r="D400" s="12" t="str">
        <f t="shared" si="6"/>
        <v>*</v>
      </c>
    </row>
    <row r="401" spans="1:4" x14ac:dyDescent="0.25">
      <c r="A401" s="2">
        <v>64610</v>
      </c>
      <c r="B401" s="4" t="s">
        <v>875</v>
      </c>
      <c r="C401" s="7">
        <v>309</v>
      </c>
      <c r="D401" s="12" t="str">
        <f t="shared" si="6"/>
        <v>*</v>
      </c>
    </row>
    <row r="402" spans="1:4" x14ac:dyDescent="0.25">
      <c r="A402" s="2">
        <v>64625</v>
      </c>
      <c r="B402" s="4" t="s">
        <v>265</v>
      </c>
      <c r="C402" s="7">
        <v>106</v>
      </c>
      <c r="D402" s="12" t="str">
        <f t="shared" si="6"/>
        <v>*</v>
      </c>
    </row>
    <row r="403" spans="1:4" x14ac:dyDescent="0.25">
      <c r="A403" s="2">
        <v>64626</v>
      </c>
      <c r="B403" s="4" t="s">
        <v>895</v>
      </c>
      <c r="C403" s="7">
        <v>1602</v>
      </c>
      <c r="D403" s="12" t="str">
        <f t="shared" si="6"/>
        <v>*</v>
      </c>
    </row>
    <row r="404" spans="1:4" x14ac:dyDescent="0.25">
      <c r="A404" s="2">
        <v>64627</v>
      </c>
      <c r="B404" s="4" t="s">
        <v>266</v>
      </c>
      <c r="C404" s="7">
        <v>214</v>
      </c>
      <c r="D404" s="12" t="str">
        <f t="shared" si="6"/>
        <v>*</v>
      </c>
    </row>
    <row r="405" spans="1:4" x14ac:dyDescent="0.25">
      <c r="A405" s="2">
        <v>64630</v>
      </c>
      <c r="B405" s="4" t="s">
        <v>993</v>
      </c>
      <c r="C405" s="7">
        <v>20</v>
      </c>
      <c r="D405" s="12" t="str">
        <f t="shared" si="6"/>
        <v>*</v>
      </c>
    </row>
    <row r="406" spans="1:4" x14ac:dyDescent="0.25">
      <c r="A406" s="2">
        <v>64634</v>
      </c>
      <c r="B406" s="4" t="s">
        <v>995</v>
      </c>
      <c r="C406" s="7">
        <v>50</v>
      </c>
      <c r="D406" s="12" t="str">
        <f t="shared" si="6"/>
        <v>*</v>
      </c>
    </row>
    <row r="407" spans="1:4" x14ac:dyDescent="0.25">
      <c r="A407" s="2">
        <v>64635</v>
      </c>
      <c r="B407" s="4" t="s">
        <v>763</v>
      </c>
      <c r="C407" s="7">
        <v>3</v>
      </c>
      <c r="D407" s="12" t="str">
        <f t="shared" si="6"/>
        <v>*</v>
      </c>
    </row>
    <row r="408" spans="1:4" x14ac:dyDescent="0.25">
      <c r="A408" s="2">
        <v>64636</v>
      </c>
      <c r="B408" s="4" t="s">
        <v>298</v>
      </c>
      <c r="C408" s="7">
        <v>45</v>
      </c>
      <c r="D408" s="12" t="str">
        <f t="shared" si="6"/>
        <v>*</v>
      </c>
    </row>
    <row r="409" spans="1:4" x14ac:dyDescent="0.25">
      <c r="A409" s="2">
        <v>64647</v>
      </c>
      <c r="B409" s="4" t="s">
        <v>293</v>
      </c>
      <c r="C409" s="7">
        <v>0</v>
      </c>
      <c r="D409" s="12" t="str">
        <f t="shared" si="6"/>
        <v>*</v>
      </c>
    </row>
    <row r="410" spans="1:4" x14ac:dyDescent="0.25">
      <c r="A410" s="2">
        <v>64648</v>
      </c>
      <c r="B410" s="4" t="s">
        <v>764</v>
      </c>
      <c r="C410" s="7">
        <v>2</v>
      </c>
      <c r="D410" s="12" t="str">
        <f t="shared" si="6"/>
        <v>*</v>
      </c>
    </row>
    <row r="411" spans="1:4" x14ac:dyDescent="0.25">
      <c r="A411" s="2">
        <v>64817</v>
      </c>
      <c r="B411" s="4" t="s">
        <v>267</v>
      </c>
      <c r="C411" s="7">
        <v>6</v>
      </c>
      <c r="D411" s="12" t="str">
        <f t="shared" si="6"/>
        <v>*</v>
      </c>
    </row>
    <row r="412" spans="1:4" x14ac:dyDescent="0.25">
      <c r="A412" s="2">
        <v>64819</v>
      </c>
      <c r="B412" s="4" t="s">
        <v>215</v>
      </c>
      <c r="C412" s="7">
        <v>570</v>
      </c>
      <c r="D412" s="12" t="str">
        <f t="shared" si="6"/>
        <v>*</v>
      </c>
    </row>
    <row r="413" spans="1:4" x14ac:dyDescent="0.25">
      <c r="A413" s="2">
        <v>64821</v>
      </c>
      <c r="B413" s="4" t="s">
        <v>235</v>
      </c>
      <c r="C413" s="7">
        <v>20</v>
      </c>
      <c r="D413" s="12" t="str">
        <f t="shared" si="6"/>
        <v>*</v>
      </c>
    </row>
    <row r="414" spans="1:4" x14ac:dyDescent="0.25">
      <c r="A414" s="2">
        <v>64822</v>
      </c>
      <c r="B414" s="4" t="s">
        <v>174</v>
      </c>
      <c r="C414" s="7">
        <v>38</v>
      </c>
      <c r="D414" s="12" t="str">
        <f t="shared" si="6"/>
        <v>*</v>
      </c>
    </row>
    <row r="415" spans="1:4" x14ac:dyDescent="0.25">
      <c r="A415" s="2">
        <v>64860</v>
      </c>
      <c r="B415" s="4" t="s">
        <v>268</v>
      </c>
      <c r="C415" s="7">
        <v>55</v>
      </c>
      <c r="D415" s="12" t="str">
        <f t="shared" si="6"/>
        <v>*</v>
      </c>
    </row>
    <row r="416" spans="1:4" x14ac:dyDescent="0.25">
      <c r="A416" s="2">
        <v>64861</v>
      </c>
      <c r="B416" s="4" t="s">
        <v>269</v>
      </c>
      <c r="C416" s="7">
        <v>50</v>
      </c>
      <c r="D416" s="12" t="str">
        <f t="shared" si="6"/>
        <v>*</v>
      </c>
    </row>
    <row r="417" spans="1:4" x14ac:dyDescent="0.25">
      <c r="A417" s="2">
        <v>65173</v>
      </c>
      <c r="B417" s="4" t="s">
        <v>794</v>
      </c>
      <c r="C417" s="7">
        <v>37</v>
      </c>
      <c r="D417" s="12" t="str">
        <f t="shared" si="6"/>
        <v>*</v>
      </c>
    </row>
    <row r="418" spans="1:4" x14ac:dyDescent="0.25">
      <c r="A418" s="2">
        <v>65748</v>
      </c>
      <c r="B418" s="4" t="s">
        <v>122</v>
      </c>
      <c r="C418" s="7">
        <v>4800</v>
      </c>
      <c r="D418" s="12" t="str">
        <f t="shared" si="6"/>
        <v>*</v>
      </c>
    </row>
    <row r="419" spans="1:4" x14ac:dyDescent="0.25">
      <c r="A419" s="2">
        <v>66168</v>
      </c>
      <c r="B419" s="4" t="s">
        <v>342</v>
      </c>
      <c r="C419" s="7">
        <v>525</v>
      </c>
      <c r="D419" s="12" t="str">
        <f t="shared" si="6"/>
        <v>*</v>
      </c>
    </row>
    <row r="420" spans="1:4" x14ac:dyDescent="0.25">
      <c r="A420" s="2">
        <v>66308</v>
      </c>
      <c r="B420" s="4" t="s">
        <v>598</v>
      </c>
      <c r="C420" s="7">
        <v>5</v>
      </c>
      <c r="D420" s="12" t="str">
        <f t="shared" si="6"/>
        <v>*</v>
      </c>
    </row>
    <row r="421" spans="1:4" x14ac:dyDescent="0.25">
      <c r="A421" s="2">
        <v>66786</v>
      </c>
      <c r="B421" s="4" t="s">
        <v>383</v>
      </c>
      <c r="C421" s="7">
        <v>1188</v>
      </c>
      <c r="D421" s="12" t="str">
        <f t="shared" si="6"/>
        <v>*</v>
      </c>
    </row>
    <row r="422" spans="1:4" x14ac:dyDescent="0.25">
      <c r="A422" s="2">
        <v>68351</v>
      </c>
      <c r="B422" s="4" t="s">
        <v>617</v>
      </c>
      <c r="C422" s="7">
        <v>5</v>
      </c>
      <c r="D422" s="12" t="str">
        <f t="shared" si="6"/>
        <v>*</v>
      </c>
    </row>
    <row r="423" spans="1:4" x14ac:dyDescent="0.25">
      <c r="A423" s="2">
        <v>69222</v>
      </c>
      <c r="B423" s="4" t="s">
        <v>445</v>
      </c>
      <c r="C423" s="7">
        <v>2894</v>
      </c>
      <c r="D423" s="12" t="str">
        <f t="shared" si="6"/>
        <v>*</v>
      </c>
    </row>
    <row r="424" spans="1:4" x14ac:dyDescent="0.25">
      <c r="A424" s="2">
        <v>69229</v>
      </c>
      <c r="B424" s="4" t="s">
        <v>180</v>
      </c>
      <c r="C424" s="7">
        <v>106</v>
      </c>
      <c r="D424" s="12" t="str">
        <f t="shared" si="6"/>
        <v>*</v>
      </c>
    </row>
    <row r="425" spans="1:4" x14ac:dyDescent="0.25">
      <c r="A425" s="2">
        <v>69339</v>
      </c>
      <c r="B425" s="4" t="s">
        <v>599</v>
      </c>
      <c r="C425" s="7">
        <v>1</v>
      </c>
      <c r="D425" s="12" t="str">
        <f t="shared" si="6"/>
        <v>*</v>
      </c>
    </row>
    <row r="426" spans="1:4" x14ac:dyDescent="0.25">
      <c r="A426" s="2">
        <v>70379</v>
      </c>
      <c r="B426" s="4" t="s">
        <v>707</v>
      </c>
      <c r="C426" s="7">
        <v>3699</v>
      </c>
      <c r="D426" s="12" t="str">
        <f t="shared" si="6"/>
        <v>*</v>
      </c>
    </row>
    <row r="427" spans="1:4" x14ac:dyDescent="0.25">
      <c r="A427" s="2">
        <v>70967</v>
      </c>
      <c r="B427" s="4" t="s">
        <v>281</v>
      </c>
      <c r="C427" s="7">
        <v>59</v>
      </c>
      <c r="D427" s="12" t="str">
        <f t="shared" si="6"/>
        <v>*</v>
      </c>
    </row>
    <row r="428" spans="1:4" x14ac:dyDescent="0.25">
      <c r="A428" s="2">
        <v>71053</v>
      </c>
      <c r="B428" s="4" t="s">
        <v>575</v>
      </c>
      <c r="C428" s="7">
        <v>0</v>
      </c>
      <c r="D428" s="12" t="str">
        <f t="shared" si="6"/>
        <v>*</v>
      </c>
    </row>
    <row r="429" spans="1:4" x14ac:dyDescent="0.25">
      <c r="A429" s="2">
        <v>71189</v>
      </c>
      <c r="B429" s="4" t="s">
        <v>151</v>
      </c>
      <c r="C429" s="7">
        <v>501</v>
      </c>
      <c r="D429" s="12" t="str">
        <f t="shared" si="6"/>
        <v>*</v>
      </c>
    </row>
    <row r="430" spans="1:4" x14ac:dyDescent="0.25">
      <c r="A430" s="2">
        <v>71190</v>
      </c>
      <c r="B430" s="4" t="s">
        <v>151</v>
      </c>
      <c r="C430" s="7">
        <v>3360</v>
      </c>
      <c r="D430" s="12" t="str">
        <f t="shared" si="6"/>
        <v>*</v>
      </c>
    </row>
    <row r="431" spans="1:4" x14ac:dyDescent="0.25">
      <c r="A431" s="2">
        <v>71697</v>
      </c>
      <c r="B431" s="4" t="s">
        <v>983</v>
      </c>
      <c r="C431" s="7">
        <v>497</v>
      </c>
      <c r="D431" s="12" t="str">
        <f t="shared" si="6"/>
        <v>*</v>
      </c>
    </row>
    <row r="432" spans="1:4" x14ac:dyDescent="0.25">
      <c r="A432" s="2">
        <v>71874</v>
      </c>
      <c r="B432" s="4" t="s">
        <v>999</v>
      </c>
      <c r="C432" s="7">
        <v>1</v>
      </c>
      <c r="D432" s="12" t="str">
        <f t="shared" si="6"/>
        <v>*</v>
      </c>
    </row>
    <row r="433" spans="1:4" x14ac:dyDescent="0.25">
      <c r="A433" s="2">
        <v>72052</v>
      </c>
      <c r="B433" s="4" t="s">
        <v>4</v>
      </c>
      <c r="C433" s="7">
        <v>36</v>
      </c>
      <c r="D433" s="12" t="str">
        <f t="shared" si="6"/>
        <v>*</v>
      </c>
    </row>
    <row r="434" spans="1:4" x14ac:dyDescent="0.25">
      <c r="A434" s="2">
        <v>72174</v>
      </c>
      <c r="B434" s="4" t="s">
        <v>1324</v>
      </c>
      <c r="C434" s="7">
        <v>0</v>
      </c>
      <c r="D434" s="12" t="str">
        <f t="shared" si="6"/>
        <v>*</v>
      </c>
    </row>
    <row r="435" spans="1:4" x14ac:dyDescent="0.25">
      <c r="A435" s="2">
        <v>72184</v>
      </c>
      <c r="B435" s="4" t="s">
        <v>622</v>
      </c>
      <c r="C435" s="7">
        <v>700</v>
      </c>
      <c r="D435" s="12" t="str">
        <f t="shared" si="6"/>
        <v>*</v>
      </c>
    </row>
    <row r="436" spans="1:4" x14ac:dyDescent="0.25">
      <c r="A436" s="2">
        <v>72222</v>
      </c>
      <c r="B436" s="4" t="s">
        <v>704</v>
      </c>
      <c r="C436" s="7">
        <v>322</v>
      </c>
      <c r="D436" s="12" t="str">
        <f t="shared" si="6"/>
        <v>*</v>
      </c>
    </row>
    <row r="437" spans="1:4" x14ac:dyDescent="0.25">
      <c r="A437" s="2">
        <v>74081</v>
      </c>
      <c r="B437" s="4" t="s">
        <v>1325</v>
      </c>
      <c r="C437" s="7">
        <v>0</v>
      </c>
      <c r="D437" s="12" t="str">
        <f t="shared" si="6"/>
        <v>*</v>
      </c>
    </row>
    <row r="438" spans="1:4" x14ac:dyDescent="0.25">
      <c r="A438" s="2">
        <v>74124</v>
      </c>
      <c r="B438" s="4" t="s">
        <v>123</v>
      </c>
      <c r="C438" s="7">
        <v>3910</v>
      </c>
      <c r="D438" s="12" t="str">
        <f t="shared" si="6"/>
        <v>*</v>
      </c>
    </row>
    <row r="439" spans="1:4" x14ac:dyDescent="0.25">
      <c r="A439" s="2">
        <v>74907</v>
      </c>
      <c r="B439" s="4" t="s">
        <v>947</v>
      </c>
      <c r="C439" s="7">
        <v>15</v>
      </c>
      <c r="D439" s="12" t="str">
        <f t="shared" si="6"/>
        <v>*</v>
      </c>
    </row>
    <row r="440" spans="1:4" x14ac:dyDescent="0.25">
      <c r="A440" s="2">
        <v>74908</v>
      </c>
      <c r="B440" s="4" t="s">
        <v>948</v>
      </c>
      <c r="C440" s="7">
        <v>15</v>
      </c>
      <c r="D440" s="12" t="str">
        <f t="shared" si="6"/>
        <v>*</v>
      </c>
    </row>
    <row r="441" spans="1:4" x14ac:dyDescent="0.25">
      <c r="A441" s="2">
        <v>74909</v>
      </c>
      <c r="B441" s="4" t="s">
        <v>218</v>
      </c>
      <c r="C441" s="7">
        <v>13</v>
      </c>
      <c r="D441" s="12" t="str">
        <f t="shared" si="6"/>
        <v>*</v>
      </c>
    </row>
    <row r="442" spans="1:4" x14ac:dyDescent="0.25">
      <c r="A442" s="2">
        <v>74911</v>
      </c>
      <c r="B442" s="4" t="s">
        <v>219</v>
      </c>
      <c r="C442" s="7">
        <v>35</v>
      </c>
      <c r="D442" s="12" t="str">
        <f t="shared" si="6"/>
        <v>*</v>
      </c>
    </row>
    <row r="443" spans="1:4" x14ac:dyDescent="0.25">
      <c r="A443" s="2">
        <v>74976</v>
      </c>
      <c r="B443" s="4" t="s">
        <v>765</v>
      </c>
      <c r="C443" s="7">
        <v>138</v>
      </c>
      <c r="D443" s="12" t="str">
        <f t="shared" si="6"/>
        <v>*</v>
      </c>
    </row>
    <row r="444" spans="1:4" x14ac:dyDescent="0.25">
      <c r="A444" s="2">
        <v>74979</v>
      </c>
      <c r="B444" s="4" t="s">
        <v>299</v>
      </c>
      <c r="C444" s="7">
        <v>88</v>
      </c>
      <c r="D444" s="12" t="str">
        <f t="shared" si="6"/>
        <v>*</v>
      </c>
    </row>
    <row r="445" spans="1:4" x14ac:dyDescent="0.25">
      <c r="A445" s="2">
        <v>75324</v>
      </c>
      <c r="B445" s="4" t="s">
        <v>876</v>
      </c>
      <c r="C445" s="7">
        <v>525</v>
      </c>
      <c r="D445" s="12" t="str">
        <f t="shared" si="6"/>
        <v>*</v>
      </c>
    </row>
    <row r="446" spans="1:4" x14ac:dyDescent="0.25">
      <c r="A446" s="2">
        <v>75334</v>
      </c>
      <c r="B446" s="4" t="s">
        <v>877</v>
      </c>
      <c r="C446" s="7">
        <v>613</v>
      </c>
      <c r="D446" s="12" t="str">
        <f t="shared" si="6"/>
        <v>*</v>
      </c>
    </row>
    <row r="447" spans="1:4" x14ac:dyDescent="0.25">
      <c r="A447" s="2">
        <v>75915</v>
      </c>
      <c r="B447" s="4" t="s">
        <v>563</v>
      </c>
      <c r="C447" s="7">
        <v>113</v>
      </c>
      <c r="D447" s="12" t="str">
        <f t="shared" si="6"/>
        <v>*</v>
      </c>
    </row>
    <row r="448" spans="1:4" x14ac:dyDescent="0.25">
      <c r="A448" s="2">
        <v>75938</v>
      </c>
      <c r="B448" s="4" t="s">
        <v>75</v>
      </c>
      <c r="C448" s="7">
        <v>6645</v>
      </c>
      <c r="D448" s="12" t="str">
        <f t="shared" si="6"/>
        <v>*</v>
      </c>
    </row>
    <row r="449" spans="1:4" x14ac:dyDescent="0.25">
      <c r="A449" s="2">
        <v>76218</v>
      </c>
      <c r="B449" s="4" t="s">
        <v>526</v>
      </c>
      <c r="C449" s="7">
        <v>2</v>
      </c>
      <c r="D449" s="12" t="str">
        <f t="shared" si="6"/>
        <v>*</v>
      </c>
    </row>
    <row r="450" spans="1:4" x14ac:dyDescent="0.25">
      <c r="A450" s="2">
        <v>76430</v>
      </c>
      <c r="B450" s="4" t="s">
        <v>557</v>
      </c>
      <c r="C450" s="7">
        <v>5</v>
      </c>
      <c r="D450" s="12" t="str">
        <f t="shared" si="6"/>
        <v>*</v>
      </c>
    </row>
    <row r="451" spans="1:4" x14ac:dyDescent="0.25">
      <c r="A451" s="2">
        <v>76583</v>
      </c>
      <c r="B451" s="4" t="s">
        <v>396</v>
      </c>
      <c r="C451" s="7">
        <v>93</v>
      </c>
      <c r="D451" s="12" t="str">
        <f t="shared" si="6"/>
        <v>*</v>
      </c>
    </row>
    <row r="452" spans="1:4" x14ac:dyDescent="0.25">
      <c r="A452" s="2">
        <v>76776</v>
      </c>
      <c r="B452" s="4" t="s">
        <v>124</v>
      </c>
      <c r="C452" s="7">
        <v>9100</v>
      </c>
      <c r="D452" s="12" t="str">
        <f t="shared" ref="D452:D515" si="7">IF($D$3="FIM","*","")</f>
        <v>*</v>
      </c>
    </row>
    <row r="453" spans="1:4" x14ac:dyDescent="0.25">
      <c r="A453" s="2">
        <v>76777</v>
      </c>
      <c r="B453" s="4" t="s">
        <v>109</v>
      </c>
      <c r="C453" s="7">
        <v>2856</v>
      </c>
      <c r="D453" s="12" t="str">
        <f t="shared" si="7"/>
        <v>*</v>
      </c>
    </row>
    <row r="454" spans="1:4" x14ac:dyDescent="0.25">
      <c r="A454" s="2">
        <v>76780</v>
      </c>
      <c r="B454" s="4" t="s">
        <v>110</v>
      </c>
      <c r="C454" s="7">
        <v>2300</v>
      </c>
      <c r="D454" s="12" t="str">
        <f t="shared" si="7"/>
        <v>*</v>
      </c>
    </row>
    <row r="455" spans="1:4" x14ac:dyDescent="0.25">
      <c r="A455" s="2">
        <v>76781</v>
      </c>
      <c r="B455" s="4" t="s">
        <v>125</v>
      </c>
      <c r="C455" s="7">
        <v>1052</v>
      </c>
      <c r="D455" s="12" t="str">
        <f t="shared" si="7"/>
        <v>*</v>
      </c>
    </row>
    <row r="456" spans="1:4" x14ac:dyDescent="0.25">
      <c r="A456" s="2">
        <v>76806</v>
      </c>
      <c r="B456" s="4" t="s">
        <v>881</v>
      </c>
      <c r="C456" s="7">
        <v>0</v>
      </c>
      <c r="D456" s="12" t="str">
        <f t="shared" si="7"/>
        <v>*</v>
      </c>
    </row>
    <row r="457" spans="1:4" x14ac:dyDescent="0.25">
      <c r="A457" s="2">
        <v>77109</v>
      </c>
      <c r="B457" s="4" t="s">
        <v>766</v>
      </c>
      <c r="C457" s="7">
        <v>74</v>
      </c>
      <c r="D457" s="12" t="str">
        <f t="shared" si="7"/>
        <v>*</v>
      </c>
    </row>
    <row r="458" spans="1:4" x14ac:dyDescent="0.25">
      <c r="A458" s="2">
        <v>77110</v>
      </c>
      <c r="B458" s="4" t="s">
        <v>767</v>
      </c>
      <c r="C458" s="7">
        <v>3</v>
      </c>
      <c r="D458" s="12" t="str">
        <f t="shared" si="7"/>
        <v>*</v>
      </c>
    </row>
    <row r="459" spans="1:4" x14ac:dyDescent="0.25">
      <c r="A459" s="2">
        <v>77380</v>
      </c>
      <c r="B459" s="4" t="s">
        <v>1326</v>
      </c>
      <c r="C459" s="7">
        <v>0</v>
      </c>
      <c r="D459" s="12" t="str">
        <f t="shared" si="7"/>
        <v>*</v>
      </c>
    </row>
    <row r="460" spans="1:4" x14ac:dyDescent="0.25">
      <c r="A460" s="2">
        <v>77493</v>
      </c>
      <c r="B460" s="4" t="s">
        <v>668</v>
      </c>
      <c r="C460" s="7">
        <v>24</v>
      </c>
      <c r="D460" s="12" t="str">
        <f t="shared" si="7"/>
        <v>*</v>
      </c>
    </row>
    <row r="461" spans="1:4" x14ac:dyDescent="0.25">
      <c r="A461" s="2">
        <v>77554</v>
      </c>
      <c r="B461" s="4" t="s">
        <v>220</v>
      </c>
      <c r="C461" s="7">
        <v>7</v>
      </c>
      <c r="D461" s="12" t="str">
        <f t="shared" si="7"/>
        <v>*</v>
      </c>
    </row>
    <row r="462" spans="1:4" x14ac:dyDescent="0.25">
      <c r="A462" s="2">
        <v>77556</v>
      </c>
      <c r="B462" s="4" t="s">
        <v>949</v>
      </c>
      <c r="C462" s="7">
        <v>2</v>
      </c>
      <c r="D462" s="12" t="str">
        <f t="shared" si="7"/>
        <v>*</v>
      </c>
    </row>
    <row r="463" spans="1:4" x14ac:dyDescent="0.25">
      <c r="A463" s="2">
        <v>77557</v>
      </c>
      <c r="B463" s="4" t="s">
        <v>221</v>
      </c>
      <c r="C463" s="7">
        <v>30</v>
      </c>
      <c r="D463" s="12" t="str">
        <f t="shared" si="7"/>
        <v>*</v>
      </c>
    </row>
    <row r="464" spans="1:4" x14ac:dyDescent="0.25">
      <c r="A464" s="2">
        <v>77562</v>
      </c>
      <c r="B464" s="4" t="s">
        <v>393</v>
      </c>
      <c r="C464" s="7">
        <v>2472</v>
      </c>
      <c r="D464" s="12" t="str">
        <f t="shared" si="7"/>
        <v>*</v>
      </c>
    </row>
    <row r="465" spans="1:4" x14ac:dyDescent="0.25">
      <c r="A465" s="2">
        <v>77755</v>
      </c>
      <c r="B465" s="4" t="s">
        <v>428</v>
      </c>
      <c r="C465" s="7">
        <v>2756</v>
      </c>
      <c r="D465" s="12" t="str">
        <f t="shared" si="7"/>
        <v>*</v>
      </c>
    </row>
    <row r="466" spans="1:4" x14ac:dyDescent="0.25">
      <c r="A466" s="2">
        <v>77786</v>
      </c>
      <c r="B466" s="4" t="s">
        <v>896</v>
      </c>
      <c r="C466" s="7">
        <v>12</v>
      </c>
      <c r="D466" s="12" t="str">
        <f t="shared" si="7"/>
        <v>*</v>
      </c>
    </row>
    <row r="467" spans="1:4" x14ac:dyDescent="0.25">
      <c r="A467" s="2">
        <v>77788</v>
      </c>
      <c r="B467" s="4" t="s">
        <v>861</v>
      </c>
      <c r="C467" s="7">
        <v>670</v>
      </c>
      <c r="D467" s="12" t="str">
        <f t="shared" si="7"/>
        <v>*</v>
      </c>
    </row>
    <row r="468" spans="1:4" x14ac:dyDescent="0.25">
      <c r="A468" s="2">
        <v>77819</v>
      </c>
      <c r="B468" s="4" t="s">
        <v>569</v>
      </c>
      <c r="C468" s="7">
        <v>1353</v>
      </c>
      <c r="D468" s="12" t="str">
        <f t="shared" si="7"/>
        <v>*</v>
      </c>
    </row>
    <row r="469" spans="1:4" x14ac:dyDescent="0.25">
      <c r="A469" s="2">
        <v>77822</v>
      </c>
      <c r="B469" s="4" t="s">
        <v>930</v>
      </c>
      <c r="C469" s="7">
        <v>114</v>
      </c>
      <c r="D469" s="12" t="str">
        <f t="shared" si="7"/>
        <v>*</v>
      </c>
    </row>
    <row r="470" spans="1:4" x14ac:dyDescent="0.25">
      <c r="A470" s="2">
        <v>77823</v>
      </c>
      <c r="B470" s="4" t="s">
        <v>931</v>
      </c>
      <c r="C470" s="7">
        <v>94</v>
      </c>
      <c r="D470" s="12" t="str">
        <f t="shared" si="7"/>
        <v>*</v>
      </c>
    </row>
    <row r="471" spans="1:4" x14ac:dyDescent="0.25">
      <c r="A471" s="2">
        <v>77992</v>
      </c>
      <c r="B471" s="4" t="s">
        <v>570</v>
      </c>
      <c r="C471" s="7">
        <v>1661</v>
      </c>
      <c r="D471" s="12" t="str">
        <f t="shared" si="7"/>
        <v>*</v>
      </c>
    </row>
    <row r="472" spans="1:4" x14ac:dyDescent="0.25">
      <c r="A472" s="2">
        <v>78025</v>
      </c>
      <c r="B472" s="4" t="s">
        <v>197</v>
      </c>
      <c r="C472" s="7">
        <v>227</v>
      </c>
      <c r="D472" s="12" t="str">
        <f t="shared" si="7"/>
        <v>*</v>
      </c>
    </row>
    <row r="473" spans="1:4" x14ac:dyDescent="0.25">
      <c r="A473" s="2">
        <v>78055</v>
      </c>
      <c r="B473" s="4" t="s">
        <v>969</v>
      </c>
      <c r="C473" s="7">
        <v>80</v>
      </c>
      <c r="D473" s="12" t="str">
        <f t="shared" si="7"/>
        <v>*</v>
      </c>
    </row>
    <row r="474" spans="1:4" x14ac:dyDescent="0.25">
      <c r="A474" s="2">
        <v>78057</v>
      </c>
      <c r="B474" s="4" t="s">
        <v>970</v>
      </c>
      <c r="C474" s="7">
        <v>13</v>
      </c>
      <c r="D474" s="12" t="str">
        <f t="shared" si="7"/>
        <v>*</v>
      </c>
    </row>
    <row r="475" spans="1:4" x14ac:dyDescent="0.25">
      <c r="A475" s="2">
        <v>78181</v>
      </c>
      <c r="B475" s="4" t="s">
        <v>380</v>
      </c>
      <c r="C475" s="7">
        <v>374</v>
      </c>
      <c r="D475" s="12" t="str">
        <f t="shared" si="7"/>
        <v>*</v>
      </c>
    </row>
    <row r="476" spans="1:4" x14ac:dyDescent="0.25">
      <c r="A476" s="2">
        <v>78303</v>
      </c>
      <c r="B476" s="4" t="s">
        <v>558</v>
      </c>
      <c r="C476" s="7">
        <v>15</v>
      </c>
      <c r="D476" s="12" t="str">
        <f t="shared" si="7"/>
        <v>*</v>
      </c>
    </row>
    <row r="477" spans="1:4" x14ac:dyDescent="0.25">
      <c r="A477" s="2">
        <v>78306</v>
      </c>
      <c r="B477" s="4" t="s">
        <v>559</v>
      </c>
      <c r="C477" s="7">
        <v>4</v>
      </c>
      <c r="D477" s="12" t="str">
        <f t="shared" si="7"/>
        <v>*</v>
      </c>
    </row>
    <row r="478" spans="1:4" x14ac:dyDescent="0.25">
      <c r="A478" s="2">
        <v>78307</v>
      </c>
      <c r="B478" s="4" t="s">
        <v>547</v>
      </c>
      <c r="C478" s="7">
        <v>4</v>
      </c>
      <c r="D478" s="12" t="str">
        <f t="shared" si="7"/>
        <v>*</v>
      </c>
    </row>
    <row r="479" spans="1:4" x14ac:dyDescent="0.25">
      <c r="A479" s="2">
        <v>78398</v>
      </c>
      <c r="B479" s="4" t="s">
        <v>597</v>
      </c>
      <c r="C479" s="7">
        <v>0</v>
      </c>
      <c r="D479" s="12" t="str">
        <f t="shared" si="7"/>
        <v>*</v>
      </c>
    </row>
    <row r="480" spans="1:4" x14ac:dyDescent="0.25">
      <c r="A480" s="2">
        <v>78399</v>
      </c>
      <c r="B480" s="4" t="s">
        <v>36</v>
      </c>
      <c r="C480" s="7">
        <v>19</v>
      </c>
      <c r="D480" s="12" t="str">
        <f t="shared" si="7"/>
        <v>*</v>
      </c>
    </row>
    <row r="481" spans="1:4" x14ac:dyDescent="0.25">
      <c r="A481" s="2">
        <v>78416</v>
      </c>
      <c r="B481" s="4" t="s">
        <v>869</v>
      </c>
      <c r="C481" s="7">
        <v>144</v>
      </c>
      <c r="D481" s="12" t="str">
        <f t="shared" si="7"/>
        <v>*</v>
      </c>
    </row>
    <row r="482" spans="1:4" x14ac:dyDescent="0.25">
      <c r="A482" s="2">
        <v>78418</v>
      </c>
      <c r="B482" s="4" t="s">
        <v>866</v>
      </c>
      <c r="C482" s="7">
        <v>88</v>
      </c>
      <c r="D482" s="12" t="str">
        <f t="shared" si="7"/>
        <v>*</v>
      </c>
    </row>
    <row r="483" spans="1:4" x14ac:dyDescent="0.25">
      <c r="A483" s="2">
        <v>78509</v>
      </c>
      <c r="B483" s="4" t="s">
        <v>560</v>
      </c>
      <c r="C483" s="7">
        <v>4</v>
      </c>
      <c r="D483" s="12" t="str">
        <f t="shared" si="7"/>
        <v>*</v>
      </c>
    </row>
    <row r="484" spans="1:4" x14ac:dyDescent="0.25">
      <c r="A484" s="2">
        <v>78641</v>
      </c>
      <c r="B484" s="4" t="s">
        <v>483</v>
      </c>
      <c r="C484" s="7">
        <v>4121</v>
      </c>
      <c r="D484" s="12" t="str">
        <f t="shared" si="7"/>
        <v>*</v>
      </c>
    </row>
    <row r="485" spans="1:4" x14ac:dyDescent="0.25">
      <c r="A485" s="2">
        <v>78642</v>
      </c>
      <c r="B485" s="4" t="s">
        <v>484</v>
      </c>
      <c r="C485" s="7">
        <v>3100</v>
      </c>
      <c r="D485" s="12" t="str">
        <f t="shared" si="7"/>
        <v>*</v>
      </c>
    </row>
    <row r="486" spans="1:4" x14ac:dyDescent="0.25">
      <c r="A486" s="2">
        <v>78643</v>
      </c>
      <c r="B486" s="4" t="s">
        <v>485</v>
      </c>
      <c r="C486" s="7">
        <v>4324</v>
      </c>
      <c r="D486" s="12" t="str">
        <f t="shared" si="7"/>
        <v>*</v>
      </c>
    </row>
    <row r="487" spans="1:4" x14ac:dyDescent="0.25">
      <c r="A487" s="2">
        <v>78646</v>
      </c>
      <c r="B487" s="4" t="s">
        <v>486</v>
      </c>
      <c r="C487" s="7">
        <v>4232</v>
      </c>
      <c r="D487" s="12" t="str">
        <f t="shared" si="7"/>
        <v>*</v>
      </c>
    </row>
    <row r="488" spans="1:4" x14ac:dyDescent="0.25">
      <c r="A488" s="2">
        <v>79635</v>
      </c>
      <c r="B488" s="4" t="s">
        <v>695</v>
      </c>
      <c r="C488" s="7">
        <v>0</v>
      </c>
      <c r="D488" s="12" t="str">
        <f t="shared" si="7"/>
        <v>*</v>
      </c>
    </row>
    <row r="489" spans="1:4" x14ac:dyDescent="0.25">
      <c r="A489" s="2">
        <v>79687</v>
      </c>
      <c r="B489" s="4" t="s">
        <v>446</v>
      </c>
      <c r="C489" s="7">
        <v>4661</v>
      </c>
      <c r="D489" s="12" t="str">
        <f t="shared" si="7"/>
        <v>*</v>
      </c>
    </row>
    <row r="490" spans="1:4" x14ac:dyDescent="0.25">
      <c r="A490" s="2">
        <v>79688</v>
      </c>
      <c r="B490" s="4" t="s">
        <v>447</v>
      </c>
      <c r="C490" s="7">
        <v>5148</v>
      </c>
      <c r="D490" s="12" t="str">
        <f t="shared" si="7"/>
        <v>*</v>
      </c>
    </row>
    <row r="491" spans="1:4" x14ac:dyDescent="0.25">
      <c r="A491" s="2">
        <v>80298</v>
      </c>
      <c r="B491" s="4" t="s">
        <v>216</v>
      </c>
      <c r="C491" s="7">
        <v>7</v>
      </c>
      <c r="D491" s="12" t="str">
        <f t="shared" si="7"/>
        <v>*</v>
      </c>
    </row>
    <row r="492" spans="1:4" x14ac:dyDescent="0.25">
      <c r="A492" s="2">
        <v>80300</v>
      </c>
      <c r="B492" s="4" t="s">
        <v>228</v>
      </c>
      <c r="C492" s="7">
        <v>62</v>
      </c>
      <c r="D492" s="12" t="str">
        <f t="shared" si="7"/>
        <v>*</v>
      </c>
    </row>
    <row r="493" spans="1:4" x14ac:dyDescent="0.25">
      <c r="A493" s="2">
        <v>80384</v>
      </c>
      <c r="B493" s="4" t="s">
        <v>567</v>
      </c>
      <c r="C493" s="7">
        <v>22</v>
      </c>
      <c r="D493" s="12" t="str">
        <f t="shared" si="7"/>
        <v>*</v>
      </c>
    </row>
    <row r="494" spans="1:4" x14ac:dyDescent="0.25">
      <c r="A494" s="2">
        <v>80385</v>
      </c>
      <c r="B494" s="4" t="s">
        <v>322</v>
      </c>
      <c r="C494" s="7">
        <v>6</v>
      </c>
      <c r="D494" s="12" t="str">
        <f t="shared" si="7"/>
        <v>*</v>
      </c>
    </row>
    <row r="495" spans="1:4" x14ac:dyDescent="0.25">
      <c r="A495" s="2">
        <v>80387</v>
      </c>
      <c r="B495" s="4" t="s">
        <v>170</v>
      </c>
      <c r="C495" s="7">
        <v>411</v>
      </c>
      <c r="D495" s="12" t="str">
        <f t="shared" si="7"/>
        <v>*</v>
      </c>
    </row>
    <row r="496" spans="1:4" x14ac:dyDescent="0.25">
      <c r="A496" s="2">
        <v>80390</v>
      </c>
      <c r="B496" s="4" t="s">
        <v>328</v>
      </c>
      <c r="C496" s="7">
        <v>48</v>
      </c>
      <c r="D496" s="12" t="str">
        <f t="shared" si="7"/>
        <v>*</v>
      </c>
    </row>
    <row r="497" spans="1:4" x14ac:dyDescent="0.25">
      <c r="A497" s="2">
        <v>80650</v>
      </c>
      <c r="B497" s="4" t="s">
        <v>37</v>
      </c>
      <c r="C497" s="7">
        <v>0</v>
      </c>
      <c r="D497" s="12" t="str">
        <f t="shared" si="7"/>
        <v>*</v>
      </c>
    </row>
    <row r="498" spans="1:4" x14ac:dyDescent="0.25">
      <c r="A498" s="2">
        <v>80872</v>
      </c>
      <c r="B498" s="4" t="s">
        <v>487</v>
      </c>
      <c r="C498" s="7">
        <v>4355</v>
      </c>
      <c r="D498" s="12" t="str">
        <f t="shared" si="7"/>
        <v>*</v>
      </c>
    </row>
    <row r="499" spans="1:4" x14ac:dyDescent="0.25">
      <c r="A499" s="2">
        <v>80874</v>
      </c>
      <c r="B499" s="4" t="s">
        <v>488</v>
      </c>
      <c r="C499" s="7">
        <v>4332</v>
      </c>
      <c r="D499" s="12" t="str">
        <f t="shared" si="7"/>
        <v>*</v>
      </c>
    </row>
    <row r="500" spans="1:4" x14ac:dyDescent="0.25">
      <c r="A500" s="2">
        <v>81131</v>
      </c>
      <c r="B500" s="4" t="s">
        <v>195</v>
      </c>
      <c r="C500" s="7">
        <v>337</v>
      </c>
      <c r="D500" s="12" t="str">
        <f t="shared" si="7"/>
        <v>*</v>
      </c>
    </row>
    <row r="501" spans="1:4" x14ac:dyDescent="0.25">
      <c r="A501" s="2">
        <v>81152</v>
      </c>
      <c r="B501" s="4" t="s">
        <v>943</v>
      </c>
      <c r="C501" s="7">
        <v>1169</v>
      </c>
      <c r="D501" s="12" t="str">
        <f t="shared" si="7"/>
        <v>*</v>
      </c>
    </row>
    <row r="502" spans="1:4" x14ac:dyDescent="0.25">
      <c r="A502" s="2">
        <v>81370</v>
      </c>
      <c r="B502" s="4" t="s">
        <v>926</v>
      </c>
      <c r="C502" s="7">
        <v>2568</v>
      </c>
      <c r="D502" s="12" t="str">
        <f t="shared" si="7"/>
        <v>*</v>
      </c>
    </row>
    <row r="503" spans="1:4" x14ac:dyDescent="0.25">
      <c r="A503" s="2">
        <v>81371</v>
      </c>
      <c r="B503" s="4" t="s">
        <v>927</v>
      </c>
      <c r="C503" s="7">
        <v>2613</v>
      </c>
      <c r="D503" s="12" t="str">
        <f t="shared" si="7"/>
        <v>*</v>
      </c>
    </row>
    <row r="504" spans="1:4" x14ac:dyDescent="0.25">
      <c r="A504" s="2">
        <v>81455</v>
      </c>
      <c r="B504" s="4" t="s">
        <v>991</v>
      </c>
      <c r="C504" s="7">
        <v>470</v>
      </c>
      <c r="D504" s="12" t="str">
        <f t="shared" si="7"/>
        <v>*</v>
      </c>
    </row>
    <row r="505" spans="1:4" x14ac:dyDescent="0.25">
      <c r="A505" s="2">
        <v>81493</v>
      </c>
      <c r="B505" s="4" t="s">
        <v>961</v>
      </c>
      <c r="C505" s="7">
        <v>63</v>
      </c>
      <c r="D505" s="12" t="str">
        <f t="shared" si="7"/>
        <v>*</v>
      </c>
    </row>
    <row r="506" spans="1:4" x14ac:dyDescent="0.25">
      <c r="A506" s="2">
        <v>81514</v>
      </c>
      <c r="B506" s="4" t="s">
        <v>865</v>
      </c>
      <c r="C506" s="7">
        <v>81201</v>
      </c>
      <c r="D506" s="12" t="str">
        <f t="shared" si="7"/>
        <v>*</v>
      </c>
    </row>
    <row r="507" spans="1:4" x14ac:dyDescent="0.25">
      <c r="A507" s="2">
        <v>81563</v>
      </c>
      <c r="B507" s="4" t="s">
        <v>795</v>
      </c>
      <c r="C507" s="7">
        <v>3</v>
      </c>
      <c r="D507" s="12" t="str">
        <f t="shared" si="7"/>
        <v>*</v>
      </c>
    </row>
    <row r="508" spans="1:4" x14ac:dyDescent="0.25">
      <c r="A508" s="2">
        <v>81564</v>
      </c>
      <c r="B508" s="4" t="s">
        <v>796</v>
      </c>
      <c r="C508" s="7">
        <v>3</v>
      </c>
      <c r="D508" s="12" t="str">
        <f t="shared" si="7"/>
        <v>*</v>
      </c>
    </row>
    <row r="509" spans="1:4" x14ac:dyDescent="0.25">
      <c r="A509" s="2">
        <v>81565</v>
      </c>
      <c r="B509" s="4" t="s">
        <v>797</v>
      </c>
      <c r="C509" s="7">
        <v>3</v>
      </c>
      <c r="D509" s="12" t="str">
        <f t="shared" si="7"/>
        <v>*</v>
      </c>
    </row>
    <row r="510" spans="1:4" x14ac:dyDescent="0.25">
      <c r="A510" s="2">
        <v>81566</v>
      </c>
      <c r="B510" s="4" t="s">
        <v>323</v>
      </c>
      <c r="C510" s="7">
        <v>356</v>
      </c>
      <c r="D510" s="12" t="str">
        <f t="shared" si="7"/>
        <v>*</v>
      </c>
    </row>
    <row r="511" spans="1:4" x14ac:dyDescent="0.25">
      <c r="A511" s="2">
        <v>81807</v>
      </c>
      <c r="B511" s="4" t="s">
        <v>329</v>
      </c>
      <c r="C511" s="7">
        <v>12</v>
      </c>
      <c r="D511" s="12" t="str">
        <f t="shared" si="7"/>
        <v>*</v>
      </c>
    </row>
    <row r="512" spans="1:4" x14ac:dyDescent="0.25">
      <c r="A512" s="2">
        <v>81808</v>
      </c>
      <c r="B512" s="4" t="s">
        <v>324</v>
      </c>
      <c r="C512" s="7">
        <v>21</v>
      </c>
      <c r="D512" s="12" t="str">
        <f t="shared" si="7"/>
        <v>*</v>
      </c>
    </row>
    <row r="513" spans="1:4" x14ac:dyDescent="0.25">
      <c r="A513" s="2">
        <v>82185</v>
      </c>
      <c r="B513" s="4" t="s">
        <v>222</v>
      </c>
      <c r="C513" s="7">
        <v>27</v>
      </c>
      <c r="D513" s="12" t="str">
        <f t="shared" si="7"/>
        <v>*</v>
      </c>
    </row>
    <row r="514" spans="1:4" x14ac:dyDescent="0.25">
      <c r="A514" s="2">
        <v>82452</v>
      </c>
      <c r="B514" s="4" t="s">
        <v>768</v>
      </c>
      <c r="C514" s="7">
        <v>212</v>
      </c>
      <c r="D514" s="12" t="str">
        <f t="shared" si="7"/>
        <v>*</v>
      </c>
    </row>
    <row r="515" spans="1:4" x14ac:dyDescent="0.25">
      <c r="A515" s="2">
        <v>82732</v>
      </c>
      <c r="B515" s="4" t="s">
        <v>372</v>
      </c>
      <c r="C515" s="7">
        <v>325</v>
      </c>
      <c r="D515" s="12" t="str">
        <f t="shared" si="7"/>
        <v>*</v>
      </c>
    </row>
    <row r="516" spans="1:4" x14ac:dyDescent="0.25">
      <c r="A516" s="2">
        <v>82916</v>
      </c>
      <c r="B516" s="4" t="s">
        <v>5</v>
      </c>
      <c r="C516" s="7">
        <v>10</v>
      </c>
      <c r="D516" s="12" t="str">
        <f t="shared" ref="D516:D579" si="8">IF($D$3="FIM","*","")</f>
        <v>*</v>
      </c>
    </row>
    <row r="517" spans="1:4" x14ac:dyDescent="0.25">
      <c r="A517" s="2">
        <v>82995</v>
      </c>
      <c r="B517" s="4" t="s">
        <v>148</v>
      </c>
      <c r="C517" s="7">
        <v>428</v>
      </c>
      <c r="D517" s="12" t="str">
        <f t="shared" si="8"/>
        <v>*</v>
      </c>
    </row>
    <row r="518" spans="1:4" x14ac:dyDescent="0.25">
      <c r="A518" s="2">
        <v>82996</v>
      </c>
      <c r="B518" s="4" t="s">
        <v>506</v>
      </c>
      <c r="C518" s="7">
        <v>210</v>
      </c>
      <c r="D518" s="12" t="str">
        <f t="shared" si="8"/>
        <v>*</v>
      </c>
    </row>
    <row r="519" spans="1:4" x14ac:dyDescent="0.25">
      <c r="A519" s="2">
        <v>83627</v>
      </c>
      <c r="B519" s="4" t="s">
        <v>448</v>
      </c>
      <c r="C519" s="7">
        <v>15828</v>
      </c>
      <c r="D519" s="12" t="str">
        <f t="shared" si="8"/>
        <v>*</v>
      </c>
    </row>
    <row r="520" spans="1:4" x14ac:dyDescent="0.25">
      <c r="A520" s="2">
        <v>83838</v>
      </c>
      <c r="B520" s="4" t="s">
        <v>576</v>
      </c>
      <c r="C520" s="7">
        <v>11624</v>
      </c>
      <c r="D520" s="12" t="str">
        <f t="shared" si="8"/>
        <v>*</v>
      </c>
    </row>
    <row r="521" spans="1:4" x14ac:dyDescent="0.25">
      <c r="A521" s="2">
        <v>83839</v>
      </c>
      <c r="B521" s="4" t="s">
        <v>577</v>
      </c>
      <c r="C521" s="7">
        <v>3394</v>
      </c>
      <c r="D521" s="12" t="str">
        <f t="shared" si="8"/>
        <v>*</v>
      </c>
    </row>
    <row r="522" spans="1:4" x14ac:dyDescent="0.25">
      <c r="A522" s="2">
        <v>84878</v>
      </c>
      <c r="B522" s="4" t="s">
        <v>449</v>
      </c>
      <c r="C522" s="7">
        <v>22227</v>
      </c>
      <c r="D522" s="12" t="str">
        <f t="shared" si="8"/>
        <v>*</v>
      </c>
    </row>
    <row r="523" spans="1:4" x14ac:dyDescent="0.25">
      <c r="A523" s="2">
        <v>86030</v>
      </c>
      <c r="B523" s="4" t="s">
        <v>690</v>
      </c>
      <c r="C523" s="7">
        <v>28</v>
      </c>
      <c r="D523" s="12" t="str">
        <f t="shared" si="8"/>
        <v>*</v>
      </c>
    </row>
    <row r="524" spans="1:4" x14ac:dyDescent="0.25">
      <c r="A524" s="2">
        <v>86118</v>
      </c>
      <c r="B524" s="4" t="s">
        <v>373</v>
      </c>
      <c r="C524" s="7">
        <v>155</v>
      </c>
      <c r="D524" s="12" t="str">
        <f t="shared" si="8"/>
        <v>*</v>
      </c>
    </row>
    <row r="525" spans="1:4" x14ac:dyDescent="0.25">
      <c r="A525" s="2">
        <v>87247</v>
      </c>
      <c r="B525" s="4" t="s">
        <v>517</v>
      </c>
      <c r="C525" s="7">
        <v>0</v>
      </c>
      <c r="D525" s="12" t="str">
        <f t="shared" si="8"/>
        <v>*</v>
      </c>
    </row>
    <row r="526" spans="1:4" x14ac:dyDescent="0.25">
      <c r="A526" s="2">
        <v>87348</v>
      </c>
      <c r="B526" s="4" t="s">
        <v>522</v>
      </c>
      <c r="C526" s="7">
        <v>105</v>
      </c>
      <c r="D526" s="12" t="str">
        <f t="shared" si="8"/>
        <v>*</v>
      </c>
    </row>
    <row r="527" spans="1:4" x14ac:dyDescent="0.25">
      <c r="A527" s="2">
        <v>87465</v>
      </c>
      <c r="B527" s="4" t="s">
        <v>937</v>
      </c>
      <c r="C527" s="7">
        <v>1867</v>
      </c>
      <c r="D527" s="12" t="str">
        <f t="shared" si="8"/>
        <v>*</v>
      </c>
    </row>
    <row r="528" spans="1:4" x14ac:dyDescent="0.25">
      <c r="A528" s="2">
        <v>87586</v>
      </c>
      <c r="B528" s="4" t="s">
        <v>182</v>
      </c>
      <c r="C528" s="7">
        <v>14</v>
      </c>
      <c r="D528" s="12" t="str">
        <f t="shared" si="8"/>
        <v>*</v>
      </c>
    </row>
    <row r="529" spans="1:4" x14ac:dyDescent="0.25">
      <c r="A529" s="2">
        <v>87698</v>
      </c>
      <c r="B529" s="4" t="s">
        <v>932</v>
      </c>
      <c r="C529" s="7">
        <v>65</v>
      </c>
      <c r="D529" s="12" t="str">
        <f t="shared" si="8"/>
        <v>*</v>
      </c>
    </row>
    <row r="530" spans="1:4" x14ac:dyDescent="0.25">
      <c r="A530" s="2">
        <v>87699</v>
      </c>
      <c r="B530" s="4" t="s">
        <v>933</v>
      </c>
      <c r="C530" s="7">
        <v>118</v>
      </c>
      <c r="D530" s="12" t="str">
        <f t="shared" si="8"/>
        <v>*</v>
      </c>
    </row>
    <row r="531" spans="1:4" x14ac:dyDescent="0.25">
      <c r="A531" s="2">
        <v>88718</v>
      </c>
      <c r="B531" s="4" t="s">
        <v>344</v>
      </c>
      <c r="C531" s="7">
        <v>20</v>
      </c>
      <c r="D531" s="12" t="str">
        <f t="shared" si="8"/>
        <v>*</v>
      </c>
    </row>
    <row r="532" spans="1:4" x14ac:dyDescent="0.25">
      <c r="A532" s="2">
        <v>88719</v>
      </c>
      <c r="B532" s="4" t="s">
        <v>345</v>
      </c>
      <c r="C532" s="7">
        <v>25</v>
      </c>
      <c r="D532" s="12" t="str">
        <f t="shared" si="8"/>
        <v>*</v>
      </c>
    </row>
    <row r="533" spans="1:4" x14ac:dyDescent="0.25">
      <c r="A533" s="2">
        <v>88726</v>
      </c>
      <c r="B533" s="4" t="s">
        <v>358</v>
      </c>
      <c r="C533" s="7">
        <v>16</v>
      </c>
      <c r="D533" s="12" t="str">
        <f t="shared" si="8"/>
        <v>*</v>
      </c>
    </row>
    <row r="534" spans="1:4" x14ac:dyDescent="0.25">
      <c r="A534" s="2">
        <v>88727</v>
      </c>
      <c r="B534" s="4" t="s">
        <v>359</v>
      </c>
      <c r="C534" s="7">
        <v>85</v>
      </c>
      <c r="D534" s="12" t="str">
        <f t="shared" si="8"/>
        <v>*</v>
      </c>
    </row>
    <row r="535" spans="1:4" x14ac:dyDescent="0.25">
      <c r="A535" s="2">
        <v>88728</v>
      </c>
      <c r="B535" s="4" t="s">
        <v>347</v>
      </c>
      <c r="C535" s="7">
        <v>101</v>
      </c>
      <c r="D535" s="12" t="str">
        <f t="shared" si="8"/>
        <v>*</v>
      </c>
    </row>
    <row r="536" spans="1:4" x14ac:dyDescent="0.25">
      <c r="A536" s="2">
        <v>88729</v>
      </c>
      <c r="B536" s="4" t="s">
        <v>360</v>
      </c>
      <c r="C536" s="7">
        <v>14</v>
      </c>
      <c r="D536" s="12" t="str">
        <f t="shared" si="8"/>
        <v>*</v>
      </c>
    </row>
    <row r="537" spans="1:4" x14ac:dyDescent="0.25">
      <c r="A537" s="2">
        <v>88730</v>
      </c>
      <c r="B537" s="4" t="s">
        <v>348</v>
      </c>
      <c r="C537" s="7">
        <v>16</v>
      </c>
      <c r="D537" s="12" t="str">
        <f t="shared" si="8"/>
        <v>*</v>
      </c>
    </row>
    <row r="538" spans="1:4" x14ac:dyDescent="0.25">
      <c r="A538" s="2">
        <v>88731</v>
      </c>
      <c r="B538" s="4" t="s">
        <v>630</v>
      </c>
      <c r="C538" s="7">
        <v>2</v>
      </c>
      <c r="D538" s="12" t="str">
        <f t="shared" si="8"/>
        <v>*</v>
      </c>
    </row>
    <row r="539" spans="1:4" x14ac:dyDescent="0.25">
      <c r="A539" s="2">
        <v>88732</v>
      </c>
      <c r="B539" s="4" t="s">
        <v>361</v>
      </c>
      <c r="C539" s="7">
        <v>6</v>
      </c>
      <c r="D539" s="12" t="str">
        <f t="shared" si="8"/>
        <v>*</v>
      </c>
    </row>
    <row r="540" spans="1:4" x14ac:dyDescent="0.25">
      <c r="A540" s="2">
        <v>88733</v>
      </c>
      <c r="B540" s="4" t="s">
        <v>362</v>
      </c>
      <c r="C540" s="7">
        <v>4</v>
      </c>
      <c r="D540" s="12" t="str">
        <f t="shared" si="8"/>
        <v>*</v>
      </c>
    </row>
    <row r="541" spans="1:4" x14ac:dyDescent="0.25">
      <c r="A541" s="2">
        <v>88734</v>
      </c>
      <c r="B541" s="4" t="s">
        <v>363</v>
      </c>
      <c r="C541" s="7">
        <v>1</v>
      </c>
      <c r="D541" s="12" t="str">
        <f t="shared" si="8"/>
        <v>*</v>
      </c>
    </row>
    <row r="542" spans="1:4" x14ac:dyDescent="0.25">
      <c r="A542" s="2">
        <v>88735</v>
      </c>
      <c r="B542" s="4" t="s">
        <v>349</v>
      </c>
      <c r="C542" s="7">
        <v>5</v>
      </c>
      <c r="D542" s="12" t="str">
        <f t="shared" si="8"/>
        <v>*</v>
      </c>
    </row>
    <row r="543" spans="1:4" x14ac:dyDescent="0.25">
      <c r="A543" s="2">
        <v>88740</v>
      </c>
      <c r="B543" s="4" t="s">
        <v>346</v>
      </c>
      <c r="C543" s="7">
        <v>13</v>
      </c>
      <c r="D543" s="12" t="str">
        <f t="shared" si="8"/>
        <v>*</v>
      </c>
    </row>
    <row r="544" spans="1:4" x14ac:dyDescent="0.25">
      <c r="A544" s="2">
        <v>88744</v>
      </c>
      <c r="B544" s="4" t="s">
        <v>350</v>
      </c>
      <c r="C544" s="7">
        <v>13</v>
      </c>
      <c r="D544" s="12" t="str">
        <f t="shared" si="8"/>
        <v>*</v>
      </c>
    </row>
    <row r="545" spans="1:4" x14ac:dyDescent="0.25">
      <c r="A545" s="2">
        <v>88745</v>
      </c>
      <c r="B545" s="4" t="s">
        <v>351</v>
      </c>
      <c r="C545" s="7">
        <v>13</v>
      </c>
      <c r="D545" s="12" t="str">
        <f t="shared" si="8"/>
        <v>*</v>
      </c>
    </row>
    <row r="546" spans="1:4" x14ac:dyDescent="0.25">
      <c r="A546" s="2">
        <v>88746</v>
      </c>
      <c r="B546" s="4" t="s">
        <v>352</v>
      </c>
      <c r="C546" s="7">
        <v>2</v>
      </c>
      <c r="D546" s="12" t="str">
        <f t="shared" si="8"/>
        <v>*</v>
      </c>
    </row>
    <row r="547" spans="1:4" x14ac:dyDescent="0.25">
      <c r="A547" s="2">
        <v>88747</v>
      </c>
      <c r="B547" s="4" t="s">
        <v>353</v>
      </c>
      <c r="C547" s="7">
        <v>2</v>
      </c>
      <c r="D547" s="12" t="str">
        <f t="shared" si="8"/>
        <v>*</v>
      </c>
    </row>
    <row r="548" spans="1:4" x14ac:dyDescent="0.25">
      <c r="A548" s="2">
        <v>88838</v>
      </c>
      <c r="B548" s="4" t="s">
        <v>167</v>
      </c>
      <c r="C548" s="7">
        <v>1155</v>
      </c>
      <c r="D548" s="12" t="str">
        <f t="shared" si="8"/>
        <v>*</v>
      </c>
    </row>
    <row r="549" spans="1:4" x14ac:dyDescent="0.25">
      <c r="A549" s="2">
        <v>88839</v>
      </c>
      <c r="B549" s="4" t="s">
        <v>177</v>
      </c>
      <c r="C549" s="7">
        <v>24</v>
      </c>
      <c r="D549" s="12" t="str">
        <f t="shared" si="8"/>
        <v>*</v>
      </c>
    </row>
    <row r="550" spans="1:4" x14ac:dyDescent="0.25">
      <c r="A550" s="2">
        <v>88849</v>
      </c>
      <c r="B550" s="4" t="s">
        <v>835</v>
      </c>
      <c r="C550" s="7">
        <v>225</v>
      </c>
      <c r="D550" s="12" t="str">
        <f t="shared" si="8"/>
        <v>*</v>
      </c>
    </row>
    <row r="551" spans="1:4" x14ac:dyDescent="0.25">
      <c r="A551" s="2">
        <v>88856</v>
      </c>
      <c r="B551" s="4" t="s">
        <v>882</v>
      </c>
      <c r="C551" s="7">
        <v>57</v>
      </c>
      <c r="D551" s="12" t="str">
        <f t="shared" si="8"/>
        <v>*</v>
      </c>
    </row>
    <row r="552" spans="1:4" x14ac:dyDescent="0.25">
      <c r="A552" s="2">
        <v>88876</v>
      </c>
      <c r="B552" s="4" t="s">
        <v>543</v>
      </c>
      <c r="C552" s="7">
        <v>0</v>
      </c>
      <c r="D552" s="12" t="str">
        <f t="shared" si="8"/>
        <v>*</v>
      </c>
    </row>
    <row r="553" spans="1:4" x14ac:dyDescent="0.25">
      <c r="A553" s="2">
        <v>88989</v>
      </c>
      <c r="B553" s="4" t="s">
        <v>578</v>
      </c>
      <c r="C553" s="7">
        <v>3</v>
      </c>
      <c r="D553" s="12" t="str">
        <f t="shared" si="8"/>
        <v>*</v>
      </c>
    </row>
    <row r="554" spans="1:4" x14ac:dyDescent="0.25">
      <c r="A554" s="2">
        <v>88992</v>
      </c>
      <c r="B554" s="4" t="s">
        <v>579</v>
      </c>
      <c r="C554" s="7">
        <v>1</v>
      </c>
      <c r="D554" s="12" t="str">
        <f t="shared" si="8"/>
        <v>*</v>
      </c>
    </row>
    <row r="555" spans="1:4" x14ac:dyDescent="0.25">
      <c r="A555" s="2">
        <v>88993</v>
      </c>
      <c r="B555" s="4" t="s">
        <v>580</v>
      </c>
      <c r="C555" s="7">
        <v>2</v>
      </c>
      <c r="D555" s="12" t="str">
        <f t="shared" si="8"/>
        <v>*</v>
      </c>
    </row>
    <row r="556" spans="1:4" x14ac:dyDescent="0.25">
      <c r="A556" s="2">
        <v>89818</v>
      </c>
      <c r="B556" s="4" t="s">
        <v>581</v>
      </c>
      <c r="C556" s="7">
        <v>16</v>
      </c>
      <c r="D556" s="12" t="str">
        <f t="shared" si="8"/>
        <v>*</v>
      </c>
    </row>
    <row r="557" spans="1:4" x14ac:dyDescent="0.25">
      <c r="A557" s="2">
        <v>89855</v>
      </c>
      <c r="B557" s="4" t="s">
        <v>987</v>
      </c>
      <c r="C557" s="7">
        <v>0</v>
      </c>
      <c r="D557" s="12" t="str">
        <f t="shared" si="8"/>
        <v>*</v>
      </c>
    </row>
    <row r="558" spans="1:4" x14ac:dyDescent="0.25">
      <c r="A558" s="2">
        <v>89863</v>
      </c>
      <c r="B558" s="4" t="s">
        <v>823</v>
      </c>
      <c r="C558" s="7">
        <v>210</v>
      </c>
      <c r="D558" s="12" t="str">
        <f t="shared" si="8"/>
        <v>*</v>
      </c>
    </row>
    <row r="559" spans="1:4" x14ac:dyDescent="0.25">
      <c r="A559" s="2">
        <v>89864</v>
      </c>
      <c r="B559" s="4" t="s">
        <v>824</v>
      </c>
      <c r="C559" s="7">
        <v>38</v>
      </c>
      <c r="D559" s="12" t="str">
        <f t="shared" si="8"/>
        <v>*</v>
      </c>
    </row>
    <row r="560" spans="1:4" x14ac:dyDescent="0.25">
      <c r="A560" s="2">
        <v>89865</v>
      </c>
      <c r="B560" s="4" t="s">
        <v>825</v>
      </c>
      <c r="C560" s="7">
        <v>71</v>
      </c>
      <c r="D560" s="12" t="str">
        <f t="shared" si="8"/>
        <v>*</v>
      </c>
    </row>
    <row r="561" spans="1:4" x14ac:dyDescent="0.25">
      <c r="A561" s="2">
        <v>90500</v>
      </c>
      <c r="B561" s="4" t="s">
        <v>623</v>
      </c>
      <c r="C561" s="7">
        <v>1794</v>
      </c>
      <c r="D561" s="12" t="str">
        <f t="shared" si="8"/>
        <v>*</v>
      </c>
    </row>
    <row r="562" spans="1:4" x14ac:dyDescent="0.25">
      <c r="A562" s="2">
        <v>90502</v>
      </c>
      <c r="B562" s="4" t="s">
        <v>126</v>
      </c>
      <c r="C562" s="7">
        <v>2420</v>
      </c>
      <c r="D562" s="12" t="str">
        <f t="shared" si="8"/>
        <v>*</v>
      </c>
    </row>
    <row r="563" spans="1:4" x14ac:dyDescent="0.25">
      <c r="A563" s="2">
        <v>91250</v>
      </c>
      <c r="B563" s="4" t="s">
        <v>481</v>
      </c>
      <c r="C563" s="7">
        <v>490</v>
      </c>
      <c r="D563" s="12" t="str">
        <f t="shared" si="8"/>
        <v>*</v>
      </c>
    </row>
    <row r="564" spans="1:4" x14ac:dyDescent="0.25">
      <c r="A564" s="2">
        <v>91669</v>
      </c>
      <c r="B564" s="4" t="s">
        <v>386</v>
      </c>
      <c r="C564" s="7">
        <v>2491</v>
      </c>
      <c r="D564" s="12" t="str">
        <f t="shared" si="8"/>
        <v>*</v>
      </c>
    </row>
    <row r="565" spans="1:4" x14ac:dyDescent="0.25">
      <c r="A565" s="2">
        <v>91811</v>
      </c>
      <c r="B565" s="4" t="s">
        <v>191</v>
      </c>
      <c r="C565" s="7">
        <v>386</v>
      </c>
      <c r="D565" s="12" t="str">
        <f t="shared" si="8"/>
        <v>*</v>
      </c>
    </row>
    <row r="566" spans="1:4" x14ac:dyDescent="0.25">
      <c r="A566" s="2">
        <v>91868</v>
      </c>
      <c r="B566" s="4" t="s">
        <v>934</v>
      </c>
      <c r="C566" s="7">
        <v>96</v>
      </c>
      <c r="D566" s="12" t="str">
        <f t="shared" si="8"/>
        <v>*</v>
      </c>
    </row>
    <row r="567" spans="1:4" x14ac:dyDescent="0.25">
      <c r="A567" s="2">
        <v>92111</v>
      </c>
      <c r="B567" s="4" t="s">
        <v>127</v>
      </c>
      <c r="C567" s="7">
        <v>1131</v>
      </c>
      <c r="D567" s="12" t="str">
        <f t="shared" si="8"/>
        <v>*</v>
      </c>
    </row>
    <row r="568" spans="1:4" x14ac:dyDescent="0.25">
      <c r="A568" s="2">
        <v>92842</v>
      </c>
      <c r="B568" s="4" t="s">
        <v>69</v>
      </c>
      <c r="C568" s="7">
        <v>39</v>
      </c>
      <c r="D568" s="12" t="str">
        <f t="shared" si="8"/>
        <v>*</v>
      </c>
    </row>
    <row r="569" spans="1:4" x14ac:dyDescent="0.25">
      <c r="A569" s="2">
        <v>92906</v>
      </c>
      <c r="B569" s="4" t="s">
        <v>708</v>
      </c>
      <c r="C569" s="7">
        <v>2945</v>
      </c>
      <c r="D569" s="12" t="str">
        <f t="shared" si="8"/>
        <v>*</v>
      </c>
    </row>
    <row r="570" spans="1:4" x14ac:dyDescent="0.25">
      <c r="A570" s="2">
        <v>92907</v>
      </c>
      <c r="B570" s="4" t="s">
        <v>709</v>
      </c>
      <c r="C570" s="7">
        <v>2831</v>
      </c>
      <c r="D570" s="12" t="str">
        <f t="shared" si="8"/>
        <v>*</v>
      </c>
    </row>
    <row r="571" spans="1:4" x14ac:dyDescent="0.25">
      <c r="A571" s="2">
        <v>92908</v>
      </c>
      <c r="B571" s="4" t="s">
        <v>710</v>
      </c>
      <c r="C571" s="7">
        <v>2886</v>
      </c>
      <c r="D571" s="12" t="str">
        <f t="shared" si="8"/>
        <v>*</v>
      </c>
    </row>
    <row r="572" spans="1:4" x14ac:dyDescent="0.25">
      <c r="A572" s="2">
        <v>93139</v>
      </c>
      <c r="B572" s="4" t="s">
        <v>596</v>
      </c>
      <c r="C572" s="7">
        <v>37</v>
      </c>
      <c r="D572" s="12" t="str">
        <f t="shared" si="8"/>
        <v>*</v>
      </c>
    </row>
    <row r="573" spans="1:4" x14ac:dyDescent="0.25">
      <c r="A573" s="2">
        <v>93325</v>
      </c>
      <c r="B573" s="4" t="s">
        <v>62</v>
      </c>
      <c r="C573" s="7">
        <v>9261</v>
      </c>
      <c r="D573" s="12" t="str">
        <f t="shared" si="8"/>
        <v>*</v>
      </c>
    </row>
    <row r="574" spans="1:4" x14ac:dyDescent="0.25">
      <c r="A574" s="2">
        <v>93327</v>
      </c>
      <c r="B574" s="4" t="s">
        <v>63</v>
      </c>
      <c r="C574" s="7">
        <v>5314</v>
      </c>
      <c r="D574" s="12" t="str">
        <f t="shared" si="8"/>
        <v>*</v>
      </c>
    </row>
    <row r="575" spans="1:4" x14ac:dyDescent="0.25">
      <c r="A575" s="2">
        <v>93329</v>
      </c>
      <c r="B575" s="4" t="s">
        <v>64</v>
      </c>
      <c r="C575" s="7">
        <v>6384</v>
      </c>
      <c r="D575" s="12" t="str">
        <f t="shared" si="8"/>
        <v>*</v>
      </c>
    </row>
    <row r="576" spans="1:4" x14ac:dyDescent="0.25">
      <c r="A576" s="2">
        <v>93332</v>
      </c>
      <c r="B576" s="4" t="s">
        <v>65</v>
      </c>
      <c r="C576" s="7">
        <v>8597</v>
      </c>
      <c r="D576" s="12" t="str">
        <f t="shared" si="8"/>
        <v>*</v>
      </c>
    </row>
    <row r="577" spans="1:4" x14ac:dyDescent="0.25">
      <c r="A577" s="2">
        <v>93334</v>
      </c>
      <c r="B577" s="4" t="s">
        <v>66</v>
      </c>
      <c r="C577" s="7">
        <v>5626</v>
      </c>
      <c r="D577" s="12" t="str">
        <f t="shared" si="8"/>
        <v>*</v>
      </c>
    </row>
    <row r="578" spans="1:4" x14ac:dyDescent="0.25">
      <c r="A578" s="2">
        <v>93335</v>
      </c>
      <c r="B578" s="4" t="s">
        <v>67</v>
      </c>
      <c r="C578" s="7">
        <v>7872</v>
      </c>
      <c r="D578" s="12" t="str">
        <f t="shared" si="8"/>
        <v>*</v>
      </c>
    </row>
    <row r="579" spans="1:4" x14ac:dyDescent="0.25">
      <c r="A579" s="2">
        <v>93344</v>
      </c>
      <c r="B579" s="4" t="s">
        <v>582</v>
      </c>
      <c r="C579" s="7">
        <v>4</v>
      </c>
      <c r="D579" s="12" t="str">
        <f t="shared" si="8"/>
        <v>*</v>
      </c>
    </row>
    <row r="580" spans="1:4" x14ac:dyDescent="0.25">
      <c r="A580" s="2">
        <v>93453</v>
      </c>
      <c r="B580" s="4" t="s">
        <v>46</v>
      </c>
      <c r="C580" s="7">
        <v>11060</v>
      </c>
      <c r="D580" s="12" t="str">
        <f t="shared" ref="D580:D643" si="9">IF($D$3="FIM","*","")</f>
        <v>*</v>
      </c>
    </row>
    <row r="581" spans="1:4" x14ac:dyDescent="0.25">
      <c r="A581" s="2">
        <v>93454</v>
      </c>
      <c r="B581" s="4" t="s">
        <v>47</v>
      </c>
      <c r="C581" s="7">
        <v>11123</v>
      </c>
      <c r="D581" s="12" t="str">
        <f t="shared" si="9"/>
        <v>*</v>
      </c>
    </row>
    <row r="582" spans="1:4" x14ac:dyDescent="0.25">
      <c r="A582" s="2">
        <v>93456</v>
      </c>
      <c r="B582" s="4" t="s">
        <v>48</v>
      </c>
      <c r="C582" s="7">
        <v>10046</v>
      </c>
      <c r="D582" s="12" t="str">
        <f t="shared" si="9"/>
        <v>*</v>
      </c>
    </row>
    <row r="583" spans="1:4" x14ac:dyDescent="0.25">
      <c r="A583" s="2">
        <v>93461</v>
      </c>
      <c r="B583" s="4" t="s">
        <v>49</v>
      </c>
      <c r="C583" s="7">
        <v>11010</v>
      </c>
      <c r="D583" s="12" t="str">
        <f t="shared" si="9"/>
        <v>*</v>
      </c>
    </row>
    <row r="584" spans="1:4" x14ac:dyDescent="0.25">
      <c r="A584" s="2">
        <v>93462</v>
      </c>
      <c r="B584" s="4" t="s">
        <v>50</v>
      </c>
      <c r="C584" s="7">
        <v>10708</v>
      </c>
      <c r="D584" s="12" t="str">
        <f t="shared" si="9"/>
        <v>*</v>
      </c>
    </row>
    <row r="585" spans="1:4" x14ac:dyDescent="0.25">
      <c r="A585" s="2">
        <v>93486</v>
      </c>
      <c r="B585" s="4" t="s">
        <v>631</v>
      </c>
      <c r="C585" s="7">
        <v>2</v>
      </c>
      <c r="D585" s="12" t="str">
        <f t="shared" si="9"/>
        <v>*</v>
      </c>
    </row>
    <row r="586" spans="1:4" x14ac:dyDescent="0.25">
      <c r="A586" s="2">
        <v>93487</v>
      </c>
      <c r="B586" s="4" t="s">
        <v>632</v>
      </c>
      <c r="C586" s="7">
        <v>6</v>
      </c>
      <c r="D586" s="12" t="str">
        <f t="shared" si="9"/>
        <v>*</v>
      </c>
    </row>
    <row r="587" spans="1:4" x14ac:dyDescent="0.25">
      <c r="A587" s="2">
        <v>93488</v>
      </c>
      <c r="B587" s="4" t="s">
        <v>633</v>
      </c>
      <c r="C587" s="7">
        <v>3</v>
      </c>
      <c r="D587" s="12" t="str">
        <f t="shared" si="9"/>
        <v>*</v>
      </c>
    </row>
    <row r="588" spans="1:4" x14ac:dyDescent="0.25">
      <c r="A588" s="2">
        <v>94013</v>
      </c>
      <c r="B588" s="4" t="s">
        <v>606</v>
      </c>
      <c r="C588" s="7">
        <v>16</v>
      </c>
      <c r="D588" s="12" t="str">
        <f t="shared" si="9"/>
        <v>*</v>
      </c>
    </row>
    <row r="589" spans="1:4" x14ac:dyDescent="0.25">
      <c r="A589" s="2">
        <v>94615</v>
      </c>
      <c r="B589" s="4" t="s">
        <v>804</v>
      </c>
      <c r="C589" s="7">
        <v>5</v>
      </c>
      <c r="D589" s="12" t="str">
        <f t="shared" si="9"/>
        <v>*</v>
      </c>
    </row>
    <row r="590" spans="1:4" x14ac:dyDescent="0.25">
      <c r="A590" s="2">
        <v>94616</v>
      </c>
      <c r="B590" s="4" t="s">
        <v>805</v>
      </c>
      <c r="C590" s="7">
        <v>2</v>
      </c>
      <c r="D590" s="12" t="str">
        <f t="shared" si="9"/>
        <v>*</v>
      </c>
    </row>
    <row r="591" spans="1:4" x14ac:dyDescent="0.25">
      <c r="A591" s="2">
        <v>94617</v>
      </c>
      <c r="B591" s="4" t="s">
        <v>806</v>
      </c>
      <c r="C591" s="7">
        <v>4</v>
      </c>
      <c r="D591" s="12" t="str">
        <f t="shared" si="9"/>
        <v>*</v>
      </c>
    </row>
    <row r="592" spans="1:4" x14ac:dyDescent="0.25">
      <c r="A592" s="2">
        <v>94618</v>
      </c>
      <c r="B592" s="4" t="s">
        <v>807</v>
      </c>
      <c r="C592" s="7">
        <v>4</v>
      </c>
      <c r="D592" s="12" t="str">
        <f t="shared" si="9"/>
        <v>*</v>
      </c>
    </row>
    <row r="593" spans="1:4" x14ac:dyDescent="0.25">
      <c r="A593" s="2">
        <v>94627</v>
      </c>
      <c r="B593" s="4" t="s">
        <v>168</v>
      </c>
      <c r="C593" s="7">
        <v>221</v>
      </c>
      <c r="D593" s="12" t="str">
        <f t="shared" si="9"/>
        <v>*</v>
      </c>
    </row>
    <row r="594" spans="1:4" x14ac:dyDescent="0.25">
      <c r="A594" s="2">
        <v>95121</v>
      </c>
      <c r="B594" s="4" t="s">
        <v>769</v>
      </c>
      <c r="C594" s="7">
        <v>66</v>
      </c>
      <c r="D594" s="12" t="str">
        <f t="shared" si="9"/>
        <v>*</v>
      </c>
    </row>
    <row r="595" spans="1:4" x14ac:dyDescent="0.25">
      <c r="A595" s="2">
        <v>95209</v>
      </c>
      <c r="B595" s="4" t="s">
        <v>317</v>
      </c>
      <c r="C595" s="7">
        <v>165</v>
      </c>
      <c r="D595" s="12" t="str">
        <f t="shared" si="9"/>
        <v>*</v>
      </c>
    </row>
    <row r="596" spans="1:4" x14ac:dyDescent="0.25">
      <c r="A596" s="2">
        <v>95513</v>
      </c>
      <c r="B596" s="4" t="s">
        <v>128</v>
      </c>
      <c r="C596" s="7">
        <v>987</v>
      </c>
      <c r="D596" s="12" t="str">
        <f t="shared" si="9"/>
        <v>*</v>
      </c>
    </row>
    <row r="597" spans="1:4" x14ac:dyDescent="0.25">
      <c r="A597" s="2">
        <v>96516</v>
      </c>
      <c r="B597" s="4" t="s">
        <v>583</v>
      </c>
      <c r="C597" s="7">
        <v>739</v>
      </c>
      <c r="D597" s="12" t="str">
        <f t="shared" si="9"/>
        <v>*</v>
      </c>
    </row>
    <row r="598" spans="1:4" x14ac:dyDescent="0.25">
      <c r="A598" s="2">
        <v>97965</v>
      </c>
      <c r="B598" s="4" t="s">
        <v>952</v>
      </c>
      <c r="C598" s="7">
        <v>0</v>
      </c>
      <c r="D598" s="12" t="str">
        <f t="shared" si="9"/>
        <v>*</v>
      </c>
    </row>
    <row r="599" spans="1:4" x14ac:dyDescent="0.25">
      <c r="A599" s="2">
        <v>98080</v>
      </c>
      <c r="B599" s="4" t="s">
        <v>607</v>
      </c>
      <c r="C599" s="7">
        <v>581</v>
      </c>
      <c r="D599" s="12" t="str">
        <f t="shared" si="9"/>
        <v>*</v>
      </c>
    </row>
    <row r="600" spans="1:4" x14ac:dyDescent="0.25">
      <c r="A600" s="2">
        <v>98359</v>
      </c>
      <c r="B600" s="4" t="s">
        <v>399</v>
      </c>
      <c r="C600" s="7">
        <v>50</v>
      </c>
      <c r="D600" s="12" t="str">
        <f t="shared" si="9"/>
        <v>*</v>
      </c>
    </row>
    <row r="601" spans="1:4" x14ac:dyDescent="0.25">
      <c r="A601" s="2">
        <v>98702</v>
      </c>
      <c r="B601" s="4" t="s">
        <v>537</v>
      </c>
      <c r="C601" s="7">
        <v>2426</v>
      </c>
      <c r="D601" s="12" t="str">
        <f t="shared" si="9"/>
        <v>*</v>
      </c>
    </row>
    <row r="602" spans="1:4" x14ac:dyDescent="0.25">
      <c r="A602" s="2">
        <v>98703</v>
      </c>
      <c r="B602" s="4" t="s">
        <v>100</v>
      </c>
      <c r="C602" s="7">
        <v>567</v>
      </c>
      <c r="D602" s="12" t="str">
        <f t="shared" si="9"/>
        <v>*</v>
      </c>
    </row>
    <row r="603" spans="1:4" x14ac:dyDescent="0.25">
      <c r="A603" s="2">
        <v>98704</v>
      </c>
      <c r="B603" s="4" t="s">
        <v>101</v>
      </c>
      <c r="C603" s="7">
        <v>65</v>
      </c>
      <c r="D603" s="12" t="str">
        <f t="shared" si="9"/>
        <v>*</v>
      </c>
    </row>
    <row r="604" spans="1:4" x14ac:dyDescent="0.25">
      <c r="A604" s="2">
        <v>98732</v>
      </c>
      <c r="B604" s="4" t="s">
        <v>713</v>
      </c>
      <c r="C604" s="7">
        <v>0</v>
      </c>
      <c r="D604" s="12" t="str">
        <f t="shared" si="9"/>
        <v>*</v>
      </c>
    </row>
    <row r="605" spans="1:4" x14ac:dyDescent="0.25">
      <c r="A605" s="2">
        <v>98733</v>
      </c>
      <c r="B605" s="4" t="s">
        <v>714</v>
      </c>
      <c r="C605" s="7">
        <v>0</v>
      </c>
      <c r="D605" s="12" t="str">
        <f t="shared" si="9"/>
        <v>*</v>
      </c>
    </row>
    <row r="606" spans="1:4" x14ac:dyDescent="0.25">
      <c r="A606" s="2">
        <v>98734</v>
      </c>
      <c r="B606" s="4" t="s">
        <v>715</v>
      </c>
      <c r="C606" s="7">
        <v>1</v>
      </c>
      <c r="D606" s="12" t="str">
        <f t="shared" si="9"/>
        <v>*</v>
      </c>
    </row>
    <row r="607" spans="1:4" x14ac:dyDescent="0.25">
      <c r="A607" s="2">
        <v>99787</v>
      </c>
      <c r="B607" s="4" t="s">
        <v>836</v>
      </c>
      <c r="C607" s="7">
        <v>18</v>
      </c>
      <c r="D607" s="12" t="str">
        <f t="shared" si="9"/>
        <v>*</v>
      </c>
    </row>
    <row r="608" spans="1:4" x14ac:dyDescent="0.25">
      <c r="A608" s="2">
        <v>99788</v>
      </c>
      <c r="B608" s="4" t="s">
        <v>655</v>
      </c>
      <c r="C608" s="7">
        <v>0</v>
      </c>
      <c r="D608" s="12" t="str">
        <f t="shared" si="9"/>
        <v>*</v>
      </c>
    </row>
    <row r="609" spans="1:4" x14ac:dyDescent="0.25">
      <c r="A609" s="2">
        <v>99796</v>
      </c>
      <c r="B609" s="4" t="s">
        <v>770</v>
      </c>
      <c r="C609" s="7">
        <v>3</v>
      </c>
      <c r="D609" s="12" t="str">
        <f t="shared" si="9"/>
        <v>*</v>
      </c>
    </row>
    <row r="610" spans="1:4" x14ac:dyDescent="0.25">
      <c r="A610" s="2">
        <v>99810</v>
      </c>
      <c r="B610" s="4" t="s">
        <v>118</v>
      </c>
      <c r="C610" s="7">
        <v>3400</v>
      </c>
      <c r="D610" s="12" t="str">
        <f t="shared" si="9"/>
        <v>*</v>
      </c>
    </row>
    <row r="611" spans="1:4" x14ac:dyDescent="0.25">
      <c r="A611" s="2">
        <v>100383</v>
      </c>
      <c r="B611" s="4" t="s">
        <v>331</v>
      </c>
      <c r="C611" s="7">
        <v>27</v>
      </c>
      <c r="D611" s="12" t="str">
        <f t="shared" si="9"/>
        <v>*</v>
      </c>
    </row>
    <row r="612" spans="1:4" x14ac:dyDescent="0.25">
      <c r="A612" s="2">
        <v>100802</v>
      </c>
      <c r="B612" s="4" t="s">
        <v>778</v>
      </c>
      <c r="C612" s="7">
        <v>620</v>
      </c>
      <c r="D612" s="12" t="str">
        <f t="shared" si="9"/>
        <v>*</v>
      </c>
    </row>
    <row r="613" spans="1:4" x14ac:dyDescent="0.25">
      <c r="A613" s="2">
        <v>100907</v>
      </c>
      <c r="B613" s="4" t="s">
        <v>944</v>
      </c>
      <c r="C613" s="7">
        <v>124</v>
      </c>
      <c r="D613" s="12" t="str">
        <f t="shared" si="9"/>
        <v>*</v>
      </c>
    </row>
    <row r="614" spans="1:4" x14ac:dyDescent="0.25">
      <c r="A614" s="2">
        <v>101867</v>
      </c>
      <c r="B614" s="4" t="s">
        <v>339</v>
      </c>
      <c r="C614" s="7">
        <v>199</v>
      </c>
      <c r="D614" s="12" t="str">
        <f t="shared" si="9"/>
        <v>*</v>
      </c>
    </row>
    <row r="615" spans="1:4" x14ac:dyDescent="0.25">
      <c r="A615" s="2">
        <v>101868</v>
      </c>
      <c r="B615" s="4" t="s">
        <v>336</v>
      </c>
      <c r="C615" s="7">
        <v>157</v>
      </c>
      <c r="D615" s="12" t="str">
        <f t="shared" si="9"/>
        <v>*</v>
      </c>
    </row>
    <row r="616" spans="1:4" x14ac:dyDescent="0.25">
      <c r="A616" s="2">
        <v>101891</v>
      </c>
      <c r="B616" s="4" t="s">
        <v>605</v>
      </c>
      <c r="C616" s="7">
        <v>3</v>
      </c>
      <c r="D616" s="12" t="str">
        <f t="shared" si="9"/>
        <v>*</v>
      </c>
    </row>
    <row r="617" spans="1:4" x14ac:dyDescent="0.25">
      <c r="A617" s="2">
        <v>101917</v>
      </c>
      <c r="B617" s="4" t="s">
        <v>129</v>
      </c>
      <c r="C617" s="7">
        <v>1100</v>
      </c>
      <c r="D617" s="12" t="str">
        <f t="shared" si="9"/>
        <v>*</v>
      </c>
    </row>
    <row r="618" spans="1:4" x14ac:dyDescent="0.25">
      <c r="A618" s="2">
        <v>101938</v>
      </c>
      <c r="B618" s="4" t="s">
        <v>584</v>
      </c>
      <c r="C618" s="7">
        <v>43</v>
      </c>
      <c r="D618" s="12" t="str">
        <f t="shared" si="9"/>
        <v>*</v>
      </c>
    </row>
    <row r="619" spans="1:4" x14ac:dyDescent="0.25">
      <c r="A619" s="2">
        <v>102000</v>
      </c>
      <c r="B619" s="4" t="s">
        <v>503</v>
      </c>
      <c r="C619" s="7">
        <v>690</v>
      </c>
      <c r="D619" s="12" t="str">
        <f t="shared" si="9"/>
        <v>*</v>
      </c>
    </row>
    <row r="620" spans="1:4" x14ac:dyDescent="0.25">
      <c r="A620" s="2">
        <v>102234</v>
      </c>
      <c r="B620" s="4" t="s">
        <v>771</v>
      </c>
      <c r="C620" s="7">
        <v>158</v>
      </c>
      <c r="D620" s="12" t="str">
        <f t="shared" si="9"/>
        <v>*</v>
      </c>
    </row>
    <row r="621" spans="1:4" x14ac:dyDescent="0.25">
      <c r="A621" s="2">
        <v>102276</v>
      </c>
      <c r="B621" s="4" t="s">
        <v>340</v>
      </c>
      <c r="C621" s="7">
        <v>87</v>
      </c>
      <c r="D621" s="12" t="str">
        <f t="shared" si="9"/>
        <v>*</v>
      </c>
    </row>
    <row r="622" spans="1:4" x14ac:dyDescent="0.25">
      <c r="A622" s="2">
        <v>102277</v>
      </c>
      <c r="B622" s="4" t="s">
        <v>727</v>
      </c>
      <c r="C622" s="7">
        <v>85</v>
      </c>
      <c r="D622" s="12" t="str">
        <f t="shared" si="9"/>
        <v>*</v>
      </c>
    </row>
    <row r="623" spans="1:4" x14ac:dyDescent="0.25">
      <c r="A623" s="2">
        <v>102278</v>
      </c>
      <c r="B623" s="4" t="s">
        <v>728</v>
      </c>
      <c r="C623" s="7">
        <v>1</v>
      </c>
      <c r="D623" s="12" t="str">
        <f t="shared" si="9"/>
        <v>*</v>
      </c>
    </row>
    <row r="624" spans="1:4" x14ac:dyDescent="0.25">
      <c r="A624" s="2">
        <v>102279</v>
      </c>
      <c r="B624" s="4" t="s">
        <v>341</v>
      </c>
      <c r="C624" s="7">
        <v>80</v>
      </c>
      <c r="D624" s="12" t="str">
        <f t="shared" si="9"/>
        <v>*</v>
      </c>
    </row>
    <row r="625" spans="1:4" x14ac:dyDescent="0.25">
      <c r="A625" s="2">
        <v>102588</v>
      </c>
      <c r="B625" s="4" t="s">
        <v>310</v>
      </c>
      <c r="C625" s="7">
        <v>30</v>
      </c>
      <c r="D625" s="12" t="str">
        <f t="shared" si="9"/>
        <v>*</v>
      </c>
    </row>
    <row r="626" spans="1:4" x14ac:dyDescent="0.25">
      <c r="A626" s="2">
        <v>102690</v>
      </c>
      <c r="B626" s="4" t="s">
        <v>890</v>
      </c>
      <c r="C626" s="7">
        <v>3</v>
      </c>
      <c r="D626" s="12" t="str">
        <f t="shared" si="9"/>
        <v>*</v>
      </c>
    </row>
    <row r="627" spans="1:4" x14ac:dyDescent="0.25">
      <c r="A627" s="2">
        <v>102691</v>
      </c>
      <c r="B627" s="4" t="s">
        <v>891</v>
      </c>
      <c r="C627" s="7">
        <v>0</v>
      </c>
      <c r="D627" s="12" t="str">
        <f t="shared" si="9"/>
        <v>*</v>
      </c>
    </row>
    <row r="628" spans="1:4" x14ac:dyDescent="0.25">
      <c r="A628" s="2">
        <v>102694</v>
      </c>
      <c r="B628" s="4" t="s">
        <v>892</v>
      </c>
      <c r="C628" s="7">
        <v>2</v>
      </c>
      <c r="D628" s="12" t="str">
        <f t="shared" si="9"/>
        <v>*</v>
      </c>
    </row>
    <row r="629" spans="1:4" x14ac:dyDescent="0.25">
      <c r="A629" s="2">
        <v>102702</v>
      </c>
      <c r="B629" s="4" t="s">
        <v>720</v>
      </c>
      <c r="C629" s="7">
        <v>8590</v>
      </c>
      <c r="D629" s="12" t="str">
        <f t="shared" si="9"/>
        <v>*</v>
      </c>
    </row>
    <row r="630" spans="1:4" x14ac:dyDescent="0.25">
      <c r="A630" s="2">
        <v>102723</v>
      </c>
      <c r="B630" s="4" t="s">
        <v>893</v>
      </c>
      <c r="C630" s="7">
        <v>2</v>
      </c>
      <c r="D630" s="12" t="str">
        <f t="shared" si="9"/>
        <v>*</v>
      </c>
    </row>
    <row r="631" spans="1:4" x14ac:dyDescent="0.25">
      <c r="A631" s="2">
        <v>102728</v>
      </c>
      <c r="B631" s="4" t="s">
        <v>897</v>
      </c>
      <c r="C631" s="7">
        <v>30</v>
      </c>
      <c r="D631" s="12" t="str">
        <f t="shared" si="9"/>
        <v>*</v>
      </c>
    </row>
    <row r="632" spans="1:4" x14ac:dyDescent="0.25">
      <c r="A632" s="2">
        <v>102775</v>
      </c>
      <c r="B632" s="4" t="s">
        <v>898</v>
      </c>
      <c r="C632" s="7">
        <v>0</v>
      </c>
      <c r="D632" s="12" t="str">
        <f t="shared" si="9"/>
        <v>*</v>
      </c>
    </row>
    <row r="633" spans="1:4" x14ac:dyDescent="0.25">
      <c r="A633" s="2">
        <v>102776</v>
      </c>
      <c r="B633" s="4" t="s">
        <v>772</v>
      </c>
      <c r="C633" s="7">
        <v>3</v>
      </c>
      <c r="D633" s="12" t="str">
        <f t="shared" si="9"/>
        <v>*</v>
      </c>
    </row>
    <row r="634" spans="1:4" x14ac:dyDescent="0.25">
      <c r="A634" s="2">
        <v>102791</v>
      </c>
      <c r="B634" s="4" t="s">
        <v>130</v>
      </c>
      <c r="C634" s="7">
        <v>100</v>
      </c>
      <c r="D634" s="12" t="str">
        <f t="shared" si="9"/>
        <v>*</v>
      </c>
    </row>
    <row r="635" spans="1:4" x14ac:dyDescent="0.25">
      <c r="A635" s="2">
        <v>102814</v>
      </c>
      <c r="B635" s="4" t="s">
        <v>608</v>
      </c>
      <c r="C635" s="7">
        <v>48</v>
      </c>
      <c r="D635" s="12" t="str">
        <f t="shared" si="9"/>
        <v>*</v>
      </c>
    </row>
    <row r="636" spans="1:4" x14ac:dyDescent="0.25">
      <c r="A636" s="2">
        <v>102819</v>
      </c>
      <c r="B636" s="4" t="s">
        <v>354</v>
      </c>
      <c r="C636" s="7">
        <v>0</v>
      </c>
      <c r="D636" s="12" t="str">
        <f t="shared" si="9"/>
        <v>*</v>
      </c>
    </row>
    <row r="637" spans="1:4" x14ac:dyDescent="0.25">
      <c r="A637" s="2">
        <v>102820</v>
      </c>
      <c r="B637" s="4" t="s">
        <v>355</v>
      </c>
      <c r="C637" s="7">
        <v>5</v>
      </c>
      <c r="D637" s="12" t="str">
        <f t="shared" si="9"/>
        <v>*</v>
      </c>
    </row>
    <row r="638" spans="1:4" x14ac:dyDescent="0.25">
      <c r="A638" s="2">
        <v>102822</v>
      </c>
      <c r="B638" s="4" t="s">
        <v>634</v>
      </c>
      <c r="C638" s="7">
        <v>9</v>
      </c>
      <c r="D638" s="12" t="str">
        <f t="shared" si="9"/>
        <v>*</v>
      </c>
    </row>
    <row r="639" spans="1:4" x14ac:dyDescent="0.25">
      <c r="A639" s="2">
        <v>102922</v>
      </c>
      <c r="B639" s="4" t="s">
        <v>388</v>
      </c>
      <c r="C639" s="7">
        <v>21570</v>
      </c>
      <c r="D639" s="12" t="str">
        <f t="shared" si="9"/>
        <v>*</v>
      </c>
    </row>
    <row r="640" spans="1:4" x14ac:dyDescent="0.25">
      <c r="A640" s="2">
        <v>103142</v>
      </c>
      <c r="B640" s="4" t="s">
        <v>313</v>
      </c>
      <c r="C640" s="7">
        <v>9</v>
      </c>
      <c r="D640" s="12" t="str">
        <f t="shared" si="9"/>
        <v>*</v>
      </c>
    </row>
    <row r="641" spans="1:4" x14ac:dyDescent="0.25">
      <c r="A641" s="2">
        <v>103251</v>
      </c>
      <c r="B641" s="4" t="s">
        <v>111</v>
      </c>
      <c r="C641" s="7">
        <v>717</v>
      </c>
      <c r="D641" s="12" t="str">
        <f t="shared" si="9"/>
        <v>*</v>
      </c>
    </row>
    <row r="642" spans="1:4" x14ac:dyDescent="0.25">
      <c r="A642" s="2">
        <v>103344</v>
      </c>
      <c r="B642" s="4" t="s">
        <v>672</v>
      </c>
      <c r="C642" s="7">
        <v>26</v>
      </c>
      <c r="D642" s="12" t="str">
        <f t="shared" si="9"/>
        <v>*</v>
      </c>
    </row>
    <row r="643" spans="1:4" x14ac:dyDescent="0.25">
      <c r="A643" s="2">
        <v>103405</v>
      </c>
      <c r="B643" s="4" t="s">
        <v>938</v>
      </c>
      <c r="C643" s="7">
        <v>96</v>
      </c>
      <c r="D643" s="12" t="str">
        <f t="shared" si="9"/>
        <v>*</v>
      </c>
    </row>
    <row r="644" spans="1:4" x14ac:dyDescent="0.25">
      <c r="A644" s="2">
        <v>103490</v>
      </c>
      <c r="B644" s="4" t="s">
        <v>717</v>
      </c>
      <c r="C644" s="7">
        <v>1</v>
      </c>
      <c r="D644" s="12" t="str">
        <f t="shared" ref="D644:D707" si="10">IF($D$3="FIM","*","")</f>
        <v>*</v>
      </c>
    </row>
    <row r="645" spans="1:4" x14ac:dyDescent="0.25">
      <c r="A645" s="2">
        <v>104625</v>
      </c>
      <c r="B645" s="4" t="s">
        <v>609</v>
      </c>
      <c r="C645" s="7">
        <v>7</v>
      </c>
      <c r="D645" s="12" t="str">
        <f t="shared" si="10"/>
        <v>*</v>
      </c>
    </row>
    <row r="646" spans="1:4" x14ac:dyDescent="0.25">
      <c r="A646" s="2">
        <v>104639</v>
      </c>
      <c r="B646" s="4" t="s">
        <v>610</v>
      </c>
      <c r="C646" s="7">
        <v>10</v>
      </c>
      <c r="D646" s="12" t="str">
        <f t="shared" si="10"/>
        <v>*</v>
      </c>
    </row>
    <row r="647" spans="1:4" x14ac:dyDescent="0.25">
      <c r="A647" s="2">
        <v>104640</v>
      </c>
      <c r="B647" s="4" t="s">
        <v>611</v>
      </c>
      <c r="C647" s="7">
        <v>6</v>
      </c>
      <c r="D647" s="12" t="str">
        <f t="shared" si="10"/>
        <v>*</v>
      </c>
    </row>
    <row r="648" spans="1:4" x14ac:dyDescent="0.25">
      <c r="A648" s="2">
        <v>104641</v>
      </c>
      <c r="B648" s="4" t="s">
        <v>612</v>
      </c>
      <c r="C648" s="7">
        <v>1</v>
      </c>
      <c r="D648" s="12" t="str">
        <f t="shared" si="10"/>
        <v>*</v>
      </c>
    </row>
    <row r="649" spans="1:4" x14ac:dyDescent="0.25">
      <c r="A649" s="2">
        <v>104642</v>
      </c>
      <c r="B649" s="4" t="s">
        <v>613</v>
      </c>
      <c r="C649" s="7">
        <v>2</v>
      </c>
      <c r="D649" s="12" t="str">
        <f t="shared" si="10"/>
        <v>*</v>
      </c>
    </row>
    <row r="650" spans="1:4" x14ac:dyDescent="0.25">
      <c r="A650" s="2">
        <v>104655</v>
      </c>
      <c r="B650" s="4" t="s">
        <v>868</v>
      </c>
      <c r="C650" s="7">
        <v>750</v>
      </c>
      <c r="D650" s="12" t="str">
        <f t="shared" si="10"/>
        <v>*</v>
      </c>
    </row>
    <row r="651" spans="1:4" x14ac:dyDescent="0.25">
      <c r="A651" s="2">
        <v>104665</v>
      </c>
      <c r="B651" s="4" t="s">
        <v>639</v>
      </c>
      <c r="C651" s="7">
        <v>3</v>
      </c>
      <c r="D651" s="12" t="str">
        <f t="shared" si="10"/>
        <v>*</v>
      </c>
    </row>
    <row r="652" spans="1:4" x14ac:dyDescent="0.25">
      <c r="A652" s="2">
        <v>104667</v>
      </c>
      <c r="B652" s="4" t="s">
        <v>798</v>
      </c>
      <c r="C652" s="7">
        <v>117</v>
      </c>
      <c r="D652" s="12" t="str">
        <f t="shared" si="10"/>
        <v>*</v>
      </c>
    </row>
    <row r="653" spans="1:4" x14ac:dyDescent="0.25">
      <c r="A653" s="2">
        <v>104755</v>
      </c>
      <c r="B653" s="4" t="s">
        <v>976</v>
      </c>
      <c r="C653" s="7">
        <v>1053</v>
      </c>
      <c r="D653" s="12" t="str">
        <f t="shared" si="10"/>
        <v>*</v>
      </c>
    </row>
    <row r="654" spans="1:4" x14ac:dyDescent="0.25">
      <c r="A654" s="2">
        <v>104832</v>
      </c>
      <c r="B654" s="4" t="s">
        <v>205</v>
      </c>
      <c r="C654" s="7">
        <v>121</v>
      </c>
      <c r="D654" s="12" t="str">
        <f t="shared" si="10"/>
        <v>*</v>
      </c>
    </row>
    <row r="655" spans="1:4" x14ac:dyDescent="0.25">
      <c r="A655" s="2">
        <v>104911</v>
      </c>
      <c r="B655" s="4" t="s">
        <v>922</v>
      </c>
      <c r="C655" s="7">
        <v>13</v>
      </c>
      <c r="D655" s="12" t="str">
        <f t="shared" si="10"/>
        <v>*</v>
      </c>
    </row>
    <row r="656" spans="1:4" x14ac:dyDescent="0.25">
      <c r="A656" s="2">
        <v>105106</v>
      </c>
      <c r="B656" s="4" t="s">
        <v>808</v>
      </c>
      <c r="C656" s="7">
        <v>12</v>
      </c>
      <c r="D656" s="12" t="str">
        <f t="shared" si="10"/>
        <v>*</v>
      </c>
    </row>
    <row r="657" spans="1:4" x14ac:dyDescent="0.25">
      <c r="A657" s="2">
        <v>105107</v>
      </c>
      <c r="B657" s="4" t="s">
        <v>809</v>
      </c>
      <c r="C657" s="7">
        <v>4</v>
      </c>
      <c r="D657" s="12" t="str">
        <f t="shared" si="10"/>
        <v>*</v>
      </c>
    </row>
    <row r="658" spans="1:4" x14ac:dyDescent="0.25">
      <c r="A658" s="2">
        <v>105108</v>
      </c>
      <c r="B658" s="4" t="s">
        <v>810</v>
      </c>
      <c r="C658" s="7">
        <v>0</v>
      </c>
      <c r="D658" s="12" t="str">
        <f t="shared" si="10"/>
        <v>*</v>
      </c>
    </row>
    <row r="659" spans="1:4" x14ac:dyDescent="0.25">
      <c r="A659" s="2">
        <v>105109</v>
      </c>
      <c r="B659" s="4" t="s">
        <v>616</v>
      </c>
      <c r="C659" s="7">
        <v>6</v>
      </c>
      <c r="D659" s="12" t="str">
        <f t="shared" si="10"/>
        <v>*</v>
      </c>
    </row>
    <row r="660" spans="1:4" x14ac:dyDescent="0.25">
      <c r="A660" s="2">
        <v>105110</v>
      </c>
      <c r="B660" s="4" t="s">
        <v>811</v>
      </c>
      <c r="C660" s="7">
        <v>5</v>
      </c>
      <c r="D660" s="12" t="str">
        <f t="shared" si="10"/>
        <v>*</v>
      </c>
    </row>
    <row r="661" spans="1:4" x14ac:dyDescent="0.25">
      <c r="A661" s="2">
        <v>105112</v>
      </c>
      <c r="B661" s="4" t="s">
        <v>812</v>
      </c>
      <c r="C661" s="7">
        <v>0</v>
      </c>
      <c r="D661" s="12" t="str">
        <f t="shared" si="10"/>
        <v>*</v>
      </c>
    </row>
    <row r="662" spans="1:4" x14ac:dyDescent="0.25">
      <c r="A662" s="2">
        <v>105113</v>
      </c>
      <c r="B662" s="4" t="s">
        <v>614</v>
      </c>
      <c r="C662" s="7">
        <v>0</v>
      </c>
      <c r="D662" s="12" t="str">
        <f t="shared" si="10"/>
        <v>*</v>
      </c>
    </row>
    <row r="663" spans="1:4" x14ac:dyDescent="0.25">
      <c r="A663" s="2">
        <v>105114</v>
      </c>
      <c r="B663" s="4" t="s">
        <v>799</v>
      </c>
      <c r="C663" s="7">
        <v>8</v>
      </c>
      <c r="D663" s="12" t="str">
        <f t="shared" si="10"/>
        <v>*</v>
      </c>
    </row>
    <row r="664" spans="1:4" x14ac:dyDescent="0.25">
      <c r="A664" s="2">
        <v>105115</v>
      </c>
      <c r="B664" s="4" t="s">
        <v>800</v>
      </c>
      <c r="C664" s="7">
        <v>8</v>
      </c>
      <c r="D664" s="12" t="str">
        <f t="shared" si="10"/>
        <v>*</v>
      </c>
    </row>
    <row r="665" spans="1:4" x14ac:dyDescent="0.25">
      <c r="A665" s="2">
        <v>105116</v>
      </c>
      <c r="B665" s="4" t="s">
        <v>801</v>
      </c>
      <c r="C665" s="7">
        <v>6</v>
      </c>
      <c r="D665" s="12" t="str">
        <f t="shared" si="10"/>
        <v>*</v>
      </c>
    </row>
    <row r="666" spans="1:4" x14ac:dyDescent="0.25">
      <c r="A666" s="2">
        <v>105117</v>
      </c>
      <c r="B666" s="4" t="s">
        <v>802</v>
      </c>
      <c r="C666" s="7">
        <v>3</v>
      </c>
      <c r="D666" s="12" t="str">
        <f t="shared" si="10"/>
        <v>*</v>
      </c>
    </row>
    <row r="667" spans="1:4" x14ac:dyDescent="0.25">
      <c r="A667" s="2">
        <v>105118</v>
      </c>
      <c r="B667" s="4" t="s">
        <v>803</v>
      </c>
      <c r="C667" s="7">
        <v>6</v>
      </c>
      <c r="D667" s="12" t="str">
        <f t="shared" si="10"/>
        <v>*</v>
      </c>
    </row>
    <row r="668" spans="1:4" x14ac:dyDescent="0.25">
      <c r="A668" s="2">
        <v>105259</v>
      </c>
      <c r="B668" s="4" t="s">
        <v>703</v>
      </c>
      <c r="C668" s="7">
        <v>1999</v>
      </c>
      <c r="D668" s="12" t="str">
        <f t="shared" si="10"/>
        <v>*</v>
      </c>
    </row>
    <row r="669" spans="1:4" x14ac:dyDescent="0.25">
      <c r="A669" s="2">
        <v>105293</v>
      </c>
      <c r="B669" s="4" t="s">
        <v>510</v>
      </c>
      <c r="C669" s="7">
        <v>900</v>
      </c>
      <c r="D669" s="12" t="str">
        <f t="shared" si="10"/>
        <v>*</v>
      </c>
    </row>
    <row r="670" spans="1:4" x14ac:dyDescent="0.25">
      <c r="A670" s="2">
        <v>105294</v>
      </c>
      <c r="B670" s="4" t="s">
        <v>568</v>
      </c>
      <c r="C670" s="7">
        <v>27</v>
      </c>
      <c r="D670" s="12" t="str">
        <f t="shared" si="10"/>
        <v>*</v>
      </c>
    </row>
    <row r="671" spans="1:4" x14ac:dyDescent="0.25">
      <c r="A671" s="2">
        <v>105348</v>
      </c>
      <c r="B671" s="4" t="s">
        <v>585</v>
      </c>
      <c r="C671" s="7">
        <v>0</v>
      </c>
      <c r="D671" s="12" t="str">
        <f t="shared" si="10"/>
        <v>*</v>
      </c>
    </row>
    <row r="672" spans="1:4" x14ac:dyDescent="0.25">
      <c r="A672" s="2">
        <v>105489</v>
      </c>
      <c r="B672" s="4" t="s">
        <v>175</v>
      </c>
      <c r="C672" s="7">
        <v>166</v>
      </c>
      <c r="D672" s="12" t="str">
        <f t="shared" si="10"/>
        <v>*</v>
      </c>
    </row>
    <row r="673" spans="1:4" x14ac:dyDescent="0.25">
      <c r="A673" s="2">
        <v>105491</v>
      </c>
      <c r="B673" s="4" t="s">
        <v>233</v>
      </c>
      <c r="C673" s="7">
        <v>26</v>
      </c>
      <c r="D673" s="12" t="str">
        <f t="shared" si="10"/>
        <v>*</v>
      </c>
    </row>
    <row r="674" spans="1:4" x14ac:dyDescent="0.25">
      <c r="A674" s="2">
        <v>105704</v>
      </c>
      <c r="B674" s="4" t="s">
        <v>813</v>
      </c>
      <c r="C674" s="7">
        <v>10</v>
      </c>
      <c r="D674" s="12" t="str">
        <f t="shared" si="10"/>
        <v>*</v>
      </c>
    </row>
    <row r="675" spans="1:4" x14ac:dyDescent="0.25">
      <c r="A675" s="2">
        <v>105709</v>
      </c>
      <c r="B675" s="4" t="s">
        <v>615</v>
      </c>
      <c r="C675" s="7">
        <v>2</v>
      </c>
      <c r="D675" s="12" t="str">
        <f t="shared" si="10"/>
        <v>*</v>
      </c>
    </row>
    <row r="676" spans="1:4" x14ac:dyDescent="0.25">
      <c r="A676" s="2">
        <v>105889</v>
      </c>
      <c r="B676" s="4" t="s">
        <v>883</v>
      </c>
      <c r="C676" s="7">
        <v>334</v>
      </c>
      <c r="D676" s="12" t="str">
        <f t="shared" si="10"/>
        <v>*</v>
      </c>
    </row>
    <row r="677" spans="1:4" x14ac:dyDescent="0.25">
      <c r="A677" s="2">
        <v>105993</v>
      </c>
      <c r="B677" s="4" t="s">
        <v>586</v>
      </c>
      <c r="C677" s="7">
        <v>34</v>
      </c>
      <c r="D677" s="12" t="str">
        <f t="shared" si="10"/>
        <v>*</v>
      </c>
    </row>
    <row r="678" spans="1:4" x14ac:dyDescent="0.25">
      <c r="A678" s="2">
        <v>105994</v>
      </c>
      <c r="B678" s="4" t="s">
        <v>587</v>
      </c>
      <c r="C678" s="7">
        <v>49</v>
      </c>
      <c r="D678" s="12" t="str">
        <f t="shared" si="10"/>
        <v>*</v>
      </c>
    </row>
    <row r="679" spans="1:4" x14ac:dyDescent="0.25">
      <c r="A679" s="2">
        <v>106027</v>
      </c>
      <c r="B679" s="4" t="s">
        <v>588</v>
      </c>
      <c r="C679" s="7">
        <v>9</v>
      </c>
      <c r="D679" s="12" t="str">
        <f t="shared" si="10"/>
        <v>*</v>
      </c>
    </row>
    <row r="680" spans="1:4" x14ac:dyDescent="0.25">
      <c r="A680" s="2">
        <v>106038</v>
      </c>
      <c r="B680" s="4" t="s">
        <v>721</v>
      </c>
      <c r="C680" s="7">
        <v>10</v>
      </c>
      <c r="D680" s="12" t="str">
        <f t="shared" si="10"/>
        <v>*</v>
      </c>
    </row>
    <row r="681" spans="1:4" x14ac:dyDescent="0.25">
      <c r="A681" s="2">
        <v>106128</v>
      </c>
      <c r="B681" s="4" t="s">
        <v>343</v>
      </c>
      <c r="C681" s="7">
        <v>56</v>
      </c>
      <c r="D681" s="12" t="str">
        <f t="shared" si="10"/>
        <v>*</v>
      </c>
    </row>
    <row r="682" spans="1:4" x14ac:dyDescent="0.25">
      <c r="A682" s="2">
        <v>106129</v>
      </c>
      <c r="B682" s="4" t="s">
        <v>492</v>
      </c>
      <c r="C682" s="7">
        <v>10</v>
      </c>
      <c r="D682" s="12" t="str">
        <f t="shared" si="10"/>
        <v>*</v>
      </c>
    </row>
    <row r="683" spans="1:4" x14ac:dyDescent="0.25">
      <c r="A683" s="2">
        <v>106130</v>
      </c>
      <c r="B683" s="4" t="s">
        <v>493</v>
      </c>
      <c r="C683" s="7">
        <v>5</v>
      </c>
      <c r="D683" s="12" t="str">
        <f t="shared" si="10"/>
        <v>*</v>
      </c>
    </row>
    <row r="684" spans="1:4" x14ac:dyDescent="0.25">
      <c r="A684" s="2">
        <v>106131</v>
      </c>
      <c r="B684" s="4" t="s">
        <v>494</v>
      </c>
      <c r="C684" s="7">
        <v>2</v>
      </c>
      <c r="D684" s="12" t="str">
        <f t="shared" si="10"/>
        <v>*</v>
      </c>
    </row>
    <row r="685" spans="1:4" x14ac:dyDescent="0.25">
      <c r="A685" s="2">
        <v>106375</v>
      </c>
      <c r="B685" s="4" t="s">
        <v>527</v>
      </c>
      <c r="C685" s="7">
        <v>505</v>
      </c>
      <c r="D685" s="12" t="str">
        <f t="shared" si="10"/>
        <v>*</v>
      </c>
    </row>
    <row r="686" spans="1:4" x14ac:dyDescent="0.25">
      <c r="A686" s="2">
        <v>106376</v>
      </c>
      <c r="B686" s="4" t="s">
        <v>528</v>
      </c>
      <c r="C686" s="7">
        <v>686</v>
      </c>
      <c r="D686" s="12" t="str">
        <f t="shared" si="10"/>
        <v>*</v>
      </c>
    </row>
    <row r="687" spans="1:4" x14ac:dyDescent="0.25">
      <c r="A687" s="2">
        <v>106408</v>
      </c>
      <c r="B687" s="4" t="s">
        <v>26</v>
      </c>
      <c r="C687" s="7">
        <v>19</v>
      </c>
      <c r="D687" s="12" t="str">
        <f t="shared" si="10"/>
        <v>*</v>
      </c>
    </row>
    <row r="688" spans="1:4" x14ac:dyDescent="0.25">
      <c r="A688" s="2">
        <v>106414</v>
      </c>
      <c r="B688" s="4" t="s">
        <v>27</v>
      </c>
      <c r="C688" s="7">
        <v>1036</v>
      </c>
      <c r="D688" s="12" t="str">
        <f t="shared" si="10"/>
        <v>*</v>
      </c>
    </row>
    <row r="689" spans="1:4" x14ac:dyDescent="0.25">
      <c r="A689" s="2">
        <v>106544</v>
      </c>
      <c r="B689" s="4" t="s">
        <v>856</v>
      </c>
      <c r="C689" s="7">
        <v>785</v>
      </c>
      <c r="D689" s="12" t="str">
        <f t="shared" si="10"/>
        <v>*</v>
      </c>
    </row>
    <row r="690" spans="1:4" x14ac:dyDescent="0.25">
      <c r="A690" s="2">
        <v>106546</v>
      </c>
      <c r="B690" s="4" t="s">
        <v>857</v>
      </c>
      <c r="C690" s="7">
        <v>740</v>
      </c>
      <c r="D690" s="12" t="str">
        <f t="shared" si="10"/>
        <v>*</v>
      </c>
    </row>
    <row r="691" spans="1:4" x14ac:dyDescent="0.25">
      <c r="A691" s="2">
        <v>106631</v>
      </c>
      <c r="B691" s="4" t="s">
        <v>564</v>
      </c>
      <c r="C691" s="7">
        <v>118</v>
      </c>
      <c r="D691" s="12" t="str">
        <f t="shared" si="10"/>
        <v>*</v>
      </c>
    </row>
    <row r="692" spans="1:4" x14ac:dyDescent="0.25">
      <c r="A692" s="2">
        <v>106697</v>
      </c>
      <c r="B692" s="4" t="s">
        <v>489</v>
      </c>
      <c r="C692" s="7">
        <v>4393</v>
      </c>
      <c r="D692" s="12" t="str">
        <f t="shared" si="10"/>
        <v>*</v>
      </c>
    </row>
    <row r="693" spans="1:4" x14ac:dyDescent="0.25">
      <c r="A693" s="2">
        <v>107401</v>
      </c>
      <c r="B693" s="4" t="s">
        <v>300</v>
      </c>
      <c r="C693" s="7">
        <v>37</v>
      </c>
      <c r="D693" s="12" t="str">
        <f t="shared" si="10"/>
        <v>*</v>
      </c>
    </row>
    <row r="694" spans="1:4" x14ac:dyDescent="0.25">
      <c r="A694" s="2">
        <v>107483</v>
      </c>
      <c r="B694" s="4" t="s">
        <v>15</v>
      </c>
      <c r="C694" s="7">
        <v>177</v>
      </c>
      <c r="D694" s="12" t="str">
        <f t="shared" si="10"/>
        <v>*</v>
      </c>
    </row>
    <row r="695" spans="1:4" x14ac:dyDescent="0.25">
      <c r="A695" s="2">
        <v>107790</v>
      </c>
      <c r="B695" s="4" t="s">
        <v>495</v>
      </c>
      <c r="C695" s="7">
        <v>126</v>
      </c>
      <c r="D695" s="12" t="str">
        <f t="shared" si="10"/>
        <v>*</v>
      </c>
    </row>
    <row r="696" spans="1:4" x14ac:dyDescent="0.25">
      <c r="A696" s="2">
        <v>107889</v>
      </c>
      <c r="B696" s="4" t="s">
        <v>19</v>
      </c>
      <c r="C696" s="7">
        <v>161</v>
      </c>
      <c r="D696" s="12" t="str">
        <f t="shared" si="10"/>
        <v>*</v>
      </c>
    </row>
    <row r="697" spans="1:4" x14ac:dyDescent="0.25">
      <c r="A697" s="2">
        <v>107926</v>
      </c>
      <c r="B697" s="4" t="s">
        <v>971</v>
      </c>
      <c r="C697" s="7">
        <v>2700</v>
      </c>
      <c r="D697" s="12" t="str">
        <f t="shared" si="10"/>
        <v>*</v>
      </c>
    </row>
    <row r="698" spans="1:4" x14ac:dyDescent="0.25">
      <c r="A698" s="2">
        <v>108393</v>
      </c>
      <c r="B698" s="4" t="s">
        <v>635</v>
      </c>
      <c r="C698" s="7">
        <v>46</v>
      </c>
      <c r="D698" s="12" t="str">
        <f t="shared" si="10"/>
        <v>*</v>
      </c>
    </row>
    <row r="699" spans="1:4" x14ac:dyDescent="0.25">
      <c r="A699" s="2">
        <v>108398</v>
      </c>
      <c r="B699" s="4" t="s">
        <v>642</v>
      </c>
      <c r="C699" s="7">
        <v>0</v>
      </c>
      <c r="D699" s="12" t="str">
        <f t="shared" si="10"/>
        <v>*</v>
      </c>
    </row>
    <row r="700" spans="1:4" x14ac:dyDescent="0.25">
      <c r="A700" s="2">
        <v>108440</v>
      </c>
      <c r="B700" s="4" t="s">
        <v>691</v>
      </c>
      <c r="C700" s="7">
        <v>104</v>
      </c>
      <c r="D700" s="12" t="str">
        <f t="shared" si="10"/>
        <v>*</v>
      </c>
    </row>
    <row r="701" spans="1:4" x14ac:dyDescent="0.25">
      <c r="A701" s="2">
        <v>108441</v>
      </c>
      <c r="B701" s="4" t="s">
        <v>379</v>
      </c>
      <c r="C701" s="7">
        <v>85</v>
      </c>
      <c r="D701" s="12" t="str">
        <f t="shared" si="10"/>
        <v>*</v>
      </c>
    </row>
    <row r="702" spans="1:4" x14ac:dyDescent="0.25">
      <c r="A702" s="2">
        <v>108463</v>
      </c>
      <c r="B702" s="4" t="s">
        <v>112</v>
      </c>
      <c r="C702" s="7">
        <v>1011</v>
      </c>
      <c r="D702" s="12" t="str">
        <f t="shared" si="10"/>
        <v>*</v>
      </c>
    </row>
    <row r="703" spans="1:4" x14ac:dyDescent="0.25">
      <c r="A703" s="2">
        <v>108697</v>
      </c>
      <c r="B703" s="4" t="s">
        <v>688</v>
      </c>
      <c r="C703" s="7">
        <v>1</v>
      </c>
      <c r="D703" s="12" t="str">
        <f t="shared" si="10"/>
        <v>*</v>
      </c>
    </row>
    <row r="704" spans="1:4" x14ac:dyDescent="0.25">
      <c r="A704" s="2">
        <v>108711</v>
      </c>
      <c r="B704" s="4" t="s">
        <v>305</v>
      </c>
      <c r="C704" s="7">
        <v>1</v>
      </c>
      <c r="D704" s="12" t="str">
        <f t="shared" si="10"/>
        <v>*</v>
      </c>
    </row>
    <row r="705" spans="1:4" x14ac:dyDescent="0.25">
      <c r="A705" s="2">
        <v>108732</v>
      </c>
      <c r="B705" s="4" t="s">
        <v>589</v>
      </c>
      <c r="C705" s="7">
        <v>2</v>
      </c>
      <c r="D705" s="12" t="str">
        <f t="shared" si="10"/>
        <v>*</v>
      </c>
    </row>
    <row r="706" spans="1:4" x14ac:dyDescent="0.25">
      <c r="A706" s="2">
        <v>108734</v>
      </c>
      <c r="B706" s="4" t="s">
        <v>590</v>
      </c>
      <c r="C706" s="7">
        <v>4</v>
      </c>
      <c r="D706" s="12" t="str">
        <f t="shared" si="10"/>
        <v>*</v>
      </c>
    </row>
    <row r="707" spans="1:4" x14ac:dyDescent="0.25">
      <c r="A707" s="2">
        <v>108735</v>
      </c>
      <c r="B707" s="4" t="s">
        <v>591</v>
      </c>
      <c r="C707" s="7">
        <v>1</v>
      </c>
      <c r="D707" s="12" t="str">
        <f t="shared" si="10"/>
        <v>*</v>
      </c>
    </row>
    <row r="708" spans="1:4" x14ac:dyDescent="0.25">
      <c r="A708" s="2">
        <v>108736</v>
      </c>
      <c r="B708" s="4" t="s">
        <v>592</v>
      </c>
      <c r="C708" s="7">
        <v>3</v>
      </c>
      <c r="D708" s="12" t="str">
        <f t="shared" ref="D708:D771" si="11">IF($D$3="FIM","*","")</f>
        <v>*</v>
      </c>
    </row>
    <row r="709" spans="1:4" x14ac:dyDescent="0.25">
      <c r="A709" s="2">
        <v>109163</v>
      </c>
      <c r="B709" s="4" t="s">
        <v>450</v>
      </c>
      <c r="C709" s="7">
        <v>1129</v>
      </c>
      <c r="D709" s="12" t="str">
        <f t="shared" si="11"/>
        <v>*</v>
      </c>
    </row>
    <row r="710" spans="1:4" x14ac:dyDescent="0.25">
      <c r="A710" s="2">
        <v>109848</v>
      </c>
      <c r="B710" s="4" t="s">
        <v>963</v>
      </c>
      <c r="C710" s="7">
        <v>61</v>
      </c>
      <c r="D710" s="12" t="str">
        <f t="shared" si="11"/>
        <v>*</v>
      </c>
    </row>
    <row r="711" spans="1:4" x14ac:dyDescent="0.25">
      <c r="A711" s="2">
        <v>109944</v>
      </c>
      <c r="B711" s="4" t="s">
        <v>400</v>
      </c>
      <c r="C711" s="7">
        <v>258</v>
      </c>
      <c r="D711" s="12" t="str">
        <f t="shared" si="11"/>
        <v>*</v>
      </c>
    </row>
    <row r="712" spans="1:4" x14ac:dyDescent="0.25">
      <c r="A712" s="2">
        <v>110503</v>
      </c>
      <c r="B712" s="4" t="s">
        <v>217</v>
      </c>
      <c r="C712" s="7">
        <v>2140</v>
      </c>
      <c r="D712" s="12" t="str">
        <f t="shared" si="11"/>
        <v>*</v>
      </c>
    </row>
    <row r="713" spans="1:4" x14ac:dyDescent="0.25">
      <c r="A713" s="2">
        <v>110578</v>
      </c>
      <c r="B713" s="4" t="s">
        <v>939</v>
      </c>
      <c r="C713" s="7">
        <v>2503</v>
      </c>
      <c r="D713" s="12" t="str">
        <f t="shared" si="11"/>
        <v>*</v>
      </c>
    </row>
    <row r="714" spans="1:4" x14ac:dyDescent="0.25">
      <c r="A714" s="2">
        <v>110702</v>
      </c>
      <c r="B714" s="4" t="s">
        <v>656</v>
      </c>
      <c r="C714" s="7">
        <v>19</v>
      </c>
      <c r="D714" s="12" t="str">
        <f t="shared" si="11"/>
        <v>*</v>
      </c>
    </row>
    <row r="715" spans="1:4" x14ac:dyDescent="0.25">
      <c r="A715" s="2">
        <v>110771</v>
      </c>
      <c r="B715" s="4" t="s">
        <v>364</v>
      </c>
      <c r="C715" s="7">
        <v>66</v>
      </c>
      <c r="D715" s="12" t="str">
        <f t="shared" si="11"/>
        <v>*</v>
      </c>
    </row>
    <row r="716" spans="1:4" x14ac:dyDescent="0.25">
      <c r="A716" s="2">
        <v>110888</v>
      </c>
      <c r="B716" s="4" t="s">
        <v>356</v>
      </c>
      <c r="C716" s="7">
        <v>2</v>
      </c>
      <c r="D716" s="12" t="str">
        <f t="shared" si="11"/>
        <v>*</v>
      </c>
    </row>
    <row r="717" spans="1:4" x14ac:dyDescent="0.25">
      <c r="A717" s="2">
        <v>110889</v>
      </c>
      <c r="B717" s="4" t="s">
        <v>624</v>
      </c>
      <c r="C717" s="7">
        <v>0</v>
      </c>
      <c r="D717" s="12" t="str">
        <f t="shared" si="11"/>
        <v>*</v>
      </c>
    </row>
    <row r="718" spans="1:4" x14ac:dyDescent="0.25">
      <c r="A718" s="2">
        <v>110890</v>
      </c>
      <c r="B718" s="4" t="s">
        <v>625</v>
      </c>
      <c r="C718" s="7">
        <v>0</v>
      </c>
      <c r="D718" s="12" t="str">
        <f t="shared" si="11"/>
        <v>*</v>
      </c>
    </row>
    <row r="719" spans="1:4" x14ac:dyDescent="0.25">
      <c r="A719" s="2">
        <v>110891</v>
      </c>
      <c r="B719" s="4" t="s">
        <v>626</v>
      </c>
      <c r="C719" s="7">
        <v>200</v>
      </c>
      <c r="D719" s="12" t="str">
        <f t="shared" si="11"/>
        <v>*</v>
      </c>
    </row>
    <row r="720" spans="1:4" x14ac:dyDescent="0.25">
      <c r="A720" s="2">
        <v>110892</v>
      </c>
      <c r="B720" s="4" t="s">
        <v>673</v>
      </c>
      <c r="C720" s="7">
        <v>0</v>
      </c>
      <c r="D720" s="12" t="str">
        <f t="shared" si="11"/>
        <v>*</v>
      </c>
    </row>
    <row r="721" spans="1:4" x14ac:dyDescent="0.25">
      <c r="A721" s="2">
        <v>110893</v>
      </c>
      <c r="B721" s="4" t="s">
        <v>674</v>
      </c>
      <c r="C721" s="7">
        <v>0</v>
      </c>
      <c r="D721" s="12" t="str">
        <f t="shared" si="11"/>
        <v>*</v>
      </c>
    </row>
    <row r="722" spans="1:4" x14ac:dyDescent="0.25">
      <c r="A722" s="2">
        <v>110895</v>
      </c>
      <c r="B722" s="4" t="s">
        <v>104</v>
      </c>
      <c r="C722" s="7">
        <v>217</v>
      </c>
      <c r="D722" s="12" t="str">
        <f t="shared" si="11"/>
        <v>*</v>
      </c>
    </row>
    <row r="723" spans="1:4" x14ac:dyDescent="0.25">
      <c r="A723" s="2">
        <v>110896</v>
      </c>
      <c r="B723" s="4" t="s">
        <v>105</v>
      </c>
      <c r="C723" s="7">
        <v>20</v>
      </c>
      <c r="D723" s="12" t="str">
        <f t="shared" si="11"/>
        <v>*</v>
      </c>
    </row>
    <row r="724" spans="1:4" x14ac:dyDescent="0.25">
      <c r="A724" s="2">
        <v>111336</v>
      </c>
      <c r="B724" s="4" t="s">
        <v>729</v>
      </c>
      <c r="C724" s="7">
        <v>281</v>
      </c>
      <c r="D724" s="12" t="str">
        <f t="shared" si="11"/>
        <v>*</v>
      </c>
    </row>
    <row r="725" spans="1:4" x14ac:dyDescent="0.25">
      <c r="A725" s="2">
        <v>111524</v>
      </c>
      <c r="B725" s="4" t="s">
        <v>784</v>
      </c>
      <c r="C725" s="7">
        <v>341</v>
      </c>
      <c r="D725" s="12" t="str">
        <f t="shared" si="11"/>
        <v>*</v>
      </c>
    </row>
    <row r="726" spans="1:4" x14ac:dyDescent="0.25">
      <c r="A726" s="2">
        <v>111806</v>
      </c>
      <c r="B726" s="4" t="s">
        <v>23</v>
      </c>
      <c r="C726" s="7">
        <v>199</v>
      </c>
      <c r="D726" s="12" t="str">
        <f t="shared" si="11"/>
        <v>*</v>
      </c>
    </row>
    <row r="727" spans="1:4" x14ac:dyDescent="0.25">
      <c r="A727" s="2">
        <v>111841</v>
      </c>
      <c r="B727" s="4" t="s">
        <v>643</v>
      </c>
      <c r="C727" s="7">
        <v>0</v>
      </c>
      <c r="D727" s="12" t="str">
        <f t="shared" si="11"/>
        <v>*</v>
      </c>
    </row>
    <row r="728" spans="1:4" x14ac:dyDescent="0.25">
      <c r="A728" s="2">
        <v>112064</v>
      </c>
      <c r="B728" s="4" t="s">
        <v>921</v>
      </c>
      <c r="C728" s="7">
        <v>3</v>
      </c>
      <c r="D728" s="12" t="str">
        <f t="shared" si="11"/>
        <v>*</v>
      </c>
    </row>
    <row r="729" spans="1:4" x14ac:dyDescent="0.25">
      <c r="A729" s="2">
        <v>112109</v>
      </c>
      <c r="B729" s="4" t="s">
        <v>102</v>
      </c>
      <c r="C729" s="7">
        <v>15603</v>
      </c>
      <c r="D729" s="12" t="str">
        <f t="shared" si="11"/>
        <v>*</v>
      </c>
    </row>
    <row r="730" spans="1:4" x14ac:dyDescent="0.25">
      <c r="A730" s="2">
        <v>112154</v>
      </c>
      <c r="B730" s="4" t="s">
        <v>139</v>
      </c>
      <c r="C730" s="7">
        <v>171</v>
      </c>
      <c r="D730" s="12" t="str">
        <f t="shared" si="11"/>
        <v>*</v>
      </c>
    </row>
    <row r="731" spans="1:4" x14ac:dyDescent="0.25">
      <c r="A731" s="2">
        <v>112155</v>
      </c>
      <c r="B731" s="4" t="s">
        <v>140</v>
      </c>
      <c r="C731" s="7">
        <v>88</v>
      </c>
      <c r="D731" s="12" t="str">
        <f t="shared" si="11"/>
        <v>*</v>
      </c>
    </row>
    <row r="732" spans="1:4" x14ac:dyDescent="0.25">
      <c r="A732" s="2">
        <v>112156</v>
      </c>
      <c r="B732" s="4" t="s">
        <v>677</v>
      </c>
      <c r="C732" s="7">
        <v>267</v>
      </c>
      <c r="D732" s="12" t="str">
        <f t="shared" si="11"/>
        <v>*</v>
      </c>
    </row>
    <row r="733" spans="1:4" x14ac:dyDescent="0.25">
      <c r="A733" s="2">
        <v>112157</v>
      </c>
      <c r="B733" s="4" t="s">
        <v>141</v>
      </c>
      <c r="C733" s="7">
        <v>75</v>
      </c>
      <c r="D733" s="12" t="str">
        <f t="shared" si="11"/>
        <v>*</v>
      </c>
    </row>
    <row r="734" spans="1:4" x14ac:dyDescent="0.25">
      <c r="A734" s="2">
        <v>112158</v>
      </c>
      <c r="B734" s="4" t="s">
        <v>106</v>
      </c>
      <c r="C734" s="7">
        <v>115</v>
      </c>
      <c r="D734" s="12" t="str">
        <f t="shared" si="11"/>
        <v>*</v>
      </c>
    </row>
    <row r="735" spans="1:4" x14ac:dyDescent="0.25">
      <c r="A735" s="2">
        <v>112159</v>
      </c>
      <c r="B735" s="4" t="s">
        <v>107</v>
      </c>
      <c r="C735" s="7">
        <v>44</v>
      </c>
      <c r="D735" s="12" t="str">
        <f t="shared" si="11"/>
        <v>*</v>
      </c>
    </row>
    <row r="736" spans="1:4" x14ac:dyDescent="0.25">
      <c r="A736" s="2">
        <v>112160</v>
      </c>
      <c r="B736" s="4" t="s">
        <v>16</v>
      </c>
      <c r="C736" s="7">
        <v>0</v>
      </c>
      <c r="D736" s="12" t="str">
        <f t="shared" si="11"/>
        <v>*</v>
      </c>
    </row>
    <row r="737" spans="1:4" x14ac:dyDescent="0.25">
      <c r="A737" s="2">
        <v>112162</v>
      </c>
      <c r="B737" s="4" t="s">
        <v>17</v>
      </c>
      <c r="C737" s="7">
        <v>186</v>
      </c>
      <c r="D737" s="12" t="str">
        <f t="shared" si="11"/>
        <v>*</v>
      </c>
    </row>
    <row r="738" spans="1:4" x14ac:dyDescent="0.25">
      <c r="A738" s="2">
        <v>112163</v>
      </c>
      <c r="B738" s="4" t="s">
        <v>18</v>
      </c>
      <c r="C738" s="7">
        <v>394</v>
      </c>
      <c r="D738" s="12" t="str">
        <f t="shared" si="11"/>
        <v>*</v>
      </c>
    </row>
    <row r="739" spans="1:4" x14ac:dyDescent="0.25">
      <c r="A739" s="2">
        <v>112494</v>
      </c>
      <c r="B739" s="4" t="s">
        <v>675</v>
      </c>
      <c r="C739" s="7">
        <v>10</v>
      </c>
      <c r="D739" s="12" t="str">
        <f t="shared" si="11"/>
        <v>*</v>
      </c>
    </row>
    <row r="740" spans="1:4" x14ac:dyDescent="0.25">
      <c r="A740" s="2">
        <v>112965</v>
      </c>
      <c r="B740" s="4" t="s">
        <v>113</v>
      </c>
      <c r="C740" s="7">
        <v>400</v>
      </c>
      <c r="D740" s="12" t="str">
        <f t="shared" si="11"/>
        <v>*</v>
      </c>
    </row>
    <row r="741" spans="1:4" x14ac:dyDescent="0.25">
      <c r="A741" s="2">
        <v>113238</v>
      </c>
      <c r="B741" s="4" t="s">
        <v>640</v>
      </c>
      <c r="C741" s="7">
        <v>1</v>
      </c>
      <c r="D741" s="12" t="str">
        <f t="shared" si="11"/>
        <v>*</v>
      </c>
    </row>
    <row r="742" spans="1:4" x14ac:dyDescent="0.25">
      <c r="A742" s="2">
        <v>113242</v>
      </c>
      <c r="B742" s="4" t="s">
        <v>676</v>
      </c>
      <c r="C742" s="7">
        <v>12</v>
      </c>
      <c r="D742" s="12" t="str">
        <f t="shared" si="11"/>
        <v>*</v>
      </c>
    </row>
    <row r="743" spans="1:4" x14ac:dyDescent="0.25">
      <c r="A743" s="2">
        <v>113581</v>
      </c>
      <c r="B743" s="4" t="s">
        <v>325</v>
      </c>
      <c r="C743" s="7">
        <v>173</v>
      </c>
      <c r="D743" s="12" t="str">
        <f t="shared" si="11"/>
        <v>*</v>
      </c>
    </row>
    <row r="744" spans="1:4" x14ac:dyDescent="0.25">
      <c r="A744" s="2">
        <v>113611</v>
      </c>
      <c r="B744" s="4" t="s">
        <v>565</v>
      </c>
      <c r="C744" s="7">
        <v>345</v>
      </c>
      <c r="D744" s="12" t="str">
        <f t="shared" si="11"/>
        <v>*</v>
      </c>
    </row>
    <row r="745" spans="1:4" x14ac:dyDescent="0.25">
      <c r="A745" s="2">
        <v>113634</v>
      </c>
      <c r="B745" s="4" t="s">
        <v>645</v>
      </c>
      <c r="C745" s="7">
        <v>2</v>
      </c>
      <c r="D745" s="12" t="str">
        <f t="shared" si="11"/>
        <v>*</v>
      </c>
    </row>
    <row r="746" spans="1:4" x14ac:dyDescent="0.25">
      <c r="A746" s="2">
        <v>113846</v>
      </c>
      <c r="B746" s="4" t="s">
        <v>276</v>
      </c>
      <c r="C746" s="7">
        <v>751</v>
      </c>
      <c r="D746" s="12" t="str">
        <f t="shared" si="11"/>
        <v>*</v>
      </c>
    </row>
    <row r="747" spans="1:4" x14ac:dyDescent="0.25">
      <c r="A747" s="2">
        <v>114255</v>
      </c>
      <c r="B747" s="4" t="s">
        <v>533</v>
      </c>
      <c r="C747" s="7">
        <v>412</v>
      </c>
      <c r="D747" s="12" t="str">
        <f t="shared" si="11"/>
        <v>*</v>
      </c>
    </row>
    <row r="748" spans="1:4" x14ac:dyDescent="0.25">
      <c r="A748" s="2">
        <v>114297</v>
      </c>
      <c r="B748" s="4" t="s">
        <v>529</v>
      </c>
      <c r="C748" s="7">
        <v>55</v>
      </c>
      <c r="D748" s="12" t="str">
        <f t="shared" si="11"/>
        <v>*</v>
      </c>
    </row>
    <row r="749" spans="1:4" x14ac:dyDescent="0.25">
      <c r="A749" s="2">
        <v>114299</v>
      </c>
      <c r="B749" s="4" t="s">
        <v>530</v>
      </c>
      <c r="C749" s="7">
        <v>0</v>
      </c>
      <c r="D749" s="12" t="str">
        <f t="shared" si="11"/>
        <v>*</v>
      </c>
    </row>
    <row r="750" spans="1:4" x14ac:dyDescent="0.25">
      <c r="A750" s="2">
        <v>114430</v>
      </c>
      <c r="B750" s="4" t="s">
        <v>185</v>
      </c>
      <c r="C750" s="7">
        <v>251</v>
      </c>
      <c r="D750" s="12" t="str">
        <f t="shared" si="11"/>
        <v>*</v>
      </c>
    </row>
    <row r="751" spans="1:4" x14ac:dyDescent="0.25">
      <c r="A751" s="2">
        <v>114771</v>
      </c>
      <c r="B751" s="4" t="s">
        <v>646</v>
      </c>
      <c r="C751" s="7">
        <v>0</v>
      </c>
      <c r="D751" s="12" t="str">
        <f t="shared" si="11"/>
        <v>*</v>
      </c>
    </row>
    <row r="752" spans="1:4" x14ac:dyDescent="0.25">
      <c r="A752" s="2">
        <v>114772</v>
      </c>
      <c r="B752" s="4" t="s">
        <v>365</v>
      </c>
      <c r="C752" s="7">
        <v>2</v>
      </c>
      <c r="D752" s="12" t="str">
        <f t="shared" si="11"/>
        <v>*</v>
      </c>
    </row>
    <row r="753" spans="1:4" x14ac:dyDescent="0.25">
      <c r="A753" s="2">
        <v>114773</v>
      </c>
      <c r="B753" s="4" t="s">
        <v>644</v>
      </c>
      <c r="C753" s="7">
        <v>2</v>
      </c>
      <c r="D753" s="12" t="str">
        <f t="shared" si="11"/>
        <v>*</v>
      </c>
    </row>
    <row r="754" spans="1:4" x14ac:dyDescent="0.25">
      <c r="A754" s="2">
        <v>114822</v>
      </c>
      <c r="B754" s="4" t="s">
        <v>773</v>
      </c>
      <c r="C754" s="7">
        <v>11</v>
      </c>
      <c r="D754" s="12" t="str">
        <f t="shared" si="11"/>
        <v>*</v>
      </c>
    </row>
    <row r="755" spans="1:4" x14ac:dyDescent="0.25">
      <c r="A755" s="2">
        <v>114852</v>
      </c>
      <c r="B755" s="4" t="s">
        <v>223</v>
      </c>
      <c r="C755" s="7">
        <v>2</v>
      </c>
      <c r="D755" s="12" t="str">
        <f t="shared" si="11"/>
        <v>*</v>
      </c>
    </row>
    <row r="756" spans="1:4" x14ac:dyDescent="0.25">
      <c r="A756" s="2">
        <v>114853</v>
      </c>
      <c r="B756" s="4" t="s">
        <v>224</v>
      </c>
      <c r="C756" s="7">
        <v>16</v>
      </c>
      <c r="D756" s="12" t="str">
        <f t="shared" si="11"/>
        <v>*</v>
      </c>
    </row>
    <row r="757" spans="1:4" x14ac:dyDescent="0.25">
      <c r="A757" s="2">
        <v>114923</v>
      </c>
      <c r="B757" s="4" t="s">
        <v>870</v>
      </c>
      <c r="C757" s="7">
        <v>1630</v>
      </c>
      <c r="D757" s="12" t="str">
        <f t="shared" si="11"/>
        <v>*</v>
      </c>
    </row>
    <row r="758" spans="1:4" x14ac:dyDescent="0.25">
      <c r="A758" s="2">
        <v>114928</v>
      </c>
      <c r="B758" s="4" t="s">
        <v>627</v>
      </c>
      <c r="C758" s="7">
        <v>200</v>
      </c>
      <c r="D758" s="12" t="str">
        <f t="shared" si="11"/>
        <v>*</v>
      </c>
    </row>
    <row r="759" spans="1:4" x14ac:dyDescent="0.25">
      <c r="A759" s="2">
        <v>114976</v>
      </c>
      <c r="B759" s="4" t="s">
        <v>131</v>
      </c>
      <c r="C759" s="7">
        <v>40</v>
      </c>
      <c r="D759" s="12" t="str">
        <f t="shared" si="11"/>
        <v>*</v>
      </c>
    </row>
    <row r="760" spans="1:4" x14ac:dyDescent="0.25">
      <c r="A760" s="2">
        <v>115060</v>
      </c>
      <c r="B760" s="4" t="s">
        <v>899</v>
      </c>
      <c r="C760" s="7">
        <v>10</v>
      </c>
      <c r="D760" s="12" t="str">
        <f t="shared" si="11"/>
        <v>*</v>
      </c>
    </row>
    <row r="761" spans="1:4" x14ac:dyDescent="0.25">
      <c r="A761" s="2">
        <v>115282</v>
      </c>
      <c r="B761" s="4" t="s">
        <v>945</v>
      </c>
      <c r="C761" s="7">
        <v>367</v>
      </c>
      <c r="D761" s="12" t="str">
        <f t="shared" si="11"/>
        <v>*</v>
      </c>
    </row>
    <row r="762" spans="1:4" x14ac:dyDescent="0.25">
      <c r="A762" s="2">
        <v>115781</v>
      </c>
      <c r="B762" s="4" t="s">
        <v>378</v>
      </c>
      <c r="C762" s="7">
        <v>26</v>
      </c>
      <c r="D762" s="12" t="str">
        <f t="shared" si="11"/>
        <v>*</v>
      </c>
    </row>
    <row r="763" spans="1:4" x14ac:dyDescent="0.25">
      <c r="A763" s="2">
        <v>115807</v>
      </c>
      <c r="B763" s="4" t="s">
        <v>878</v>
      </c>
      <c r="C763" s="7">
        <v>214</v>
      </c>
      <c r="D763" s="12" t="str">
        <f t="shared" si="11"/>
        <v>*</v>
      </c>
    </row>
    <row r="764" spans="1:4" x14ac:dyDescent="0.25">
      <c r="A764" s="2">
        <v>115840</v>
      </c>
      <c r="B764" s="4" t="s">
        <v>544</v>
      </c>
      <c r="C764" s="7">
        <v>12</v>
      </c>
      <c r="D764" s="12" t="str">
        <f t="shared" si="11"/>
        <v>*</v>
      </c>
    </row>
    <row r="765" spans="1:4" x14ac:dyDescent="0.25">
      <c r="A765" s="2">
        <v>115841</v>
      </c>
      <c r="B765" s="4" t="s">
        <v>545</v>
      </c>
      <c r="C765" s="7">
        <v>7</v>
      </c>
      <c r="D765" s="12" t="str">
        <f t="shared" si="11"/>
        <v>*</v>
      </c>
    </row>
    <row r="766" spans="1:4" x14ac:dyDescent="0.25">
      <c r="A766" s="2">
        <v>116466</v>
      </c>
      <c r="B766" s="4" t="s">
        <v>261</v>
      </c>
      <c r="C766" s="7">
        <v>4555</v>
      </c>
      <c r="D766" s="12" t="str">
        <f t="shared" si="11"/>
        <v>*</v>
      </c>
    </row>
    <row r="767" spans="1:4" x14ac:dyDescent="0.25">
      <c r="A767" s="2">
        <v>116751</v>
      </c>
      <c r="B767" s="4" t="s">
        <v>884</v>
      </c>
      <c r="C767" s="7">
        <v>188</v>
      </c>
      <c r="D767" s="12" t="str">
        <f t="shared" si="11"/>
        <v>*</v>
      </c>
    </row>
    <row r="768" spans="1:4" x14ac:dyDescent="0.25">
      <c r="A768" s="2">
        <v>116754</v>
      </c>
      <c r="B768" s="4" t="s">
        <v>885</v>
      </c>
      <c r="C768" s="7">
        <v>0</v>
      </c>
      <c r="D768" s="12" t="str">
        <f t="shared" si="11"/>
        <v>*</v>
      </c>
    </row>
    <row r="769" spans="1:4" x14ac:dyDescent="0.25">
      <c r="A769" s="2">
        <v>116874</v>
      </c>
      <c r="B769" s="4" t="s">
        <v>142</v>
      </c>
      <c r="C769" s="7">
        <v>1088</v>
      </c>
      <c r="D769" s="12" t="str">
        <f t="shared" si="11"/>
        <v>*</v>
      </c>
    </row>
    <row r="770" spans="1:4" x14ac:dyDescent="0.25">
      <c r="A770" s="2">
        <v>117734</v>
      </c>
      <c r="B770" s="4" t="s">
        <v>647</v>
      </c>
      <c r="C770" s="7">
        <v>8</v>
      </c>
      <c r="D770" s="12" t="str">
        <f t="shared" si="11"/>
        <v>*</v>
      </c>
    </row>
    <row r="771" spans="1:4" x14ac:dyDescent="0.25">
      <c r="A771" s="2">
        <v>118243</v>
      </c>
      <c r="B771" s="4" t="s">
        <v>1000</v>
      </c>
      <c r="C771" s="7">
        <v>0</v>
      </c>
      <c r="D771" s="12" t="str">
        <f t="shared" si="11"/>
        <v>*</v>
      </c>
    </row>
    <row r="772" spans="1:4" x14ac:dyDescent="0.25">
      <c r="A772" s="2">
        <v>118244</v>
      </c>
      <c r="B772" s="4" t="s">
        <v>1001</v>
      </c>
      <c r="C772" s="7">
        <v>2</v>
      </c>
      <c r="D772" s="12" t="str">
        <f t="shared" ref="D772:D835" si="12">IF($D$3="FIM","*","")</f>
        <v>*</v>
      </c>
    </row>
    <row r="773" spans="1:4" x14ac:dyDescent="0.25">
      <c r="A773" s="2">
        <v>118245</v>
      </c>
      <c r="B773" s="4" t="s">
        <v>1002</v>
      </c>
      <c r="C773" s="7">
        <v>0</v>
      </c>
      <c r="D773" s="12" t="str">
        <f t="shared" si="12"/>
        <v>*</v>
      </c>
    </row>
    <row r="774" spans="1:4" x14ac:dyDescent="0.25">
      <c r="A774" s="2">
        <v>118246</v>
      </c>
      <c r="B774" s="4" t="s">
        <v>1003</v>
      </c>
      <c r="C774" s="7">
        <v>1</v>
      </c>
      <c r="D774" s="12" t="str">
        <f t="shared" si="12"/>
        <v>*</v>
      </c>
    </row>
    <row r="775" spans="1:4" x14ac:dyDescent="0.25">
      <c r="A775" s="2">
        <v>118427</v>
      </c>
      <c r="B775" s="4" t="s">
        <v>394</v>
      </c>
      <c r="C775" s="7">
        <v>2654</v>
      </c>
      <c r="D775" s="12" t="str">
        <f t="shared" si="12"/>
        <v>*</v>
      </c>
    </row>
    <row r="776" spans="1:4" x14ac:dyDescent="0.25">
      <c r="A776" s="2">
        <v>118515</v>
      </c>
      <c r="B776" s="4" t="s">
        <v>247</v>
      </c>
      <c r="C776" s="7">
        <v>44</v>
      </c>
      <c r="D776" s="12" t="str">
        <f t="shared" si="12"/>
        <v>*</v>
      </c>
    </row>
    <row r="777" spans="1:4" x14ac:dyDescent="0.25">
      <c r="A777" s="2">
        <v>118577</v>
      </c>
      <c r="B777" s="4" t="s">
        <v>248</v>
      </c>
      <c r="C777" s="7">
        <v>278</v>
      </c>
      <c r="D777" s="12" t="str">
        <f t="shared" si="12"/>
        <v>*</v>
      </c>
    </row>
    <row r="778" spans="1:4" x14ac:dyDescent="0.25">
      <c r="A778" s="2">
        <v>118660</v>
      </c>
      <c r="B778" s="4" t="s">
        <v>482</v>
      </c>
      <c r="C778" s="7">
        <v>1239</v>
      </c>
      <c r="D778" s="12" t="str">
        <f t="shared" si="12"/>
        <v>*</v>
      </c>
    </row>
    <row r="779" spans="1:4" x14ac:dyDescent="0.25">
      <c r="A779" s="2">
        <v>118864</v>
      </c>
      <c r="B779" s="4" t="s">
        <v>1278</v>
      </c>
      <c r="C779" s="7">
        <v>360</v>
      </c>
      <c r="D779" s="12" t="str">
        <f t="shared" si="12"/>
        <v>*</v>
      </c>
    </row>
    <row r="780" spans="1:4" x14ac:dyDescent="0.25">
      <c r="A780" s="2">
        <v>118865</v>
      </c>
      <c r="B780" s="4" t="s">
        <v>150</v>
      </c>
      <c r="C780" s="7">
        <v>960</v>
      </c>
      <c r="D780" s="12" t="str">
        <f t="shared" si="12"/>
        <v>*</v>
      </c>
    </row>
    <row r="781" spans="1:4" x14ac:dyDescent="0.25">
      <c r="A781" s="2">
        <v>119008</v>
      </c>
      <c r="B781" s="4" t="s">
        <v>696</v>
      </c>
      <c r="C781" s="7">
        <v>0</v>
      </c>
      <c r="D781" s="12" t="str">
        <f t="shared" si="12"/>
        <v>*</v>
      </c>
    </row>
    <row r="782" spans="1:4" x14ac:dyDescent="0.25">
      <c r="A782" s="2">
        <v>119087</v>
      </c>
      <c r="B782" s="4" t="s">
        <v>718</v>
      </c>
      <c r="C782" s="7">
        <v>7</v>
      </c>
      <c r="D782" s="12" t="str">
        <f t="shared" si="12"/>
        <v>*</v>
      </c>
    </row>
    <row r="783" spans="1:4" x14ac:dyDescent="0.25">
      <c r="A783" s="2">
        <v>119180</v>
      </c>
      <c r="B783" s="4" t="s">
        <v>143</v>
      </c>
      <c r="C783" s="7">
        <v>5</v>
      </c>
      <c r="D783" s="12" t="str">
        <f t="shared" si="12"/>
        <v>*</v>
      </c>
    </row>
    <row r="784" spans="1:4" x14ac:dyDescent="0.25">
      <c r="A784" s="2">
        <v>119181</v>
      </c>
      <c r="B784" s="4" t="s">
        <v>678</v>
      </c>
      <c r="C784" s="7">
        <v>326</v>
      </c>
      <c r="D784" s="12" t="str">
        <f t="shared" si="12"/>
        <v>*</v>
      </c>
    </row>
    <row r="785" spans="1:4" x14ac:dyDescent="0.25">
      <c r="A785" s="2">
        <v>119182</v>
      </c>
      <c r="B785" s="4" t="s">
        <v>144</v>
      </c>
      <c r="C785" s="7">
        <v>50</v>
      </c>
      <c r="D785" s="12" t="str">
        <f t="shared" si="12"/>
        <v>*</v>
      </c>
    </row>
    <row r="786" spans="1:4" x14ac:dyDescent="0.25">
      <c r="A786" s="2">
        <v>119318</v>
      </c>
      <c r="B786" s="4" t="s">
        <v>403</v>
      </c>
      <c r="C786" s="7">
        <v>75</v>
      </c>
      <c r="D786" s="12" t="str">
        <f t="shared" si="12"/>
        <v>*</v>
      </c>
    </row>
    <row r="787" spans="1:4" x14ac:dyDescent="0.25">
      <c r="A787" s="2">
        <v>119407</v>
      </c>
      <c r="B787" s="4" t="s">
        <v>941</v>
      </c>
      <c r="C787" s="7">
        <v>3006</v>
      </c>
      <c r="D787" s="12" t="str">
        <f t="shared" si="12"/>
        <v>*</v>
      </c>
    </row>
    <row r="788" spans="1:4" x14ac:dyDescent="0.25">
      <c r="A788" s="2">
        <v>119514</v>
      </c>
      <c r="B788" s="4" t="s">
        <v>548</v>
      </c>
      <c r="C788" s="7">
        <v>110</v>
      </c>
      <c r="D788" s="12" t="str">
        <f t="shared" si="12"/>
        <v>*</v>
      </c>
    </row>
    <row r="789" spans="1:4" x14ac:dyDescent="0.25">
      <c r="A789" s="2">
        <v>119554</v>
      </c>
      <c r="B789" s="4" t="s">
        <v>953</v>
      </c>
      <c r="C789" s="7">
        <v>94</v>
      </c>
      <c r="D789" s="12" t="str">
        <f t="shared" si="12"/>
        <v>*</v>
      </c>
    </row>
    <row r="790" spans="1:4" x14ac:dyDescent="0.25">
      <c r="A790" s="2">
        <v>119595</v>
      </c>
      <c r="B790" s="4" t="s">
        <v>187</v>
      </c>
      <c r="C790" s="7">
        <v>1175</v>
      </c>
      <c r="D790" s="12" t="str">
        <f t="shared" si="12"/>
        <v>*</v>
      </c>
    </row>
    <row r="791" spans="1:4" x14ac:dyDescent="0.25">
      <c r="A791" s="2">
        <v>119621</v>
      </c>
      <c r="B791" s="4" t="s">
        <v>954</v>
      </c>
      <c r="C791" s="7">
        <v>720</v>
      </c>
      <c r="D791" s="12" t="str">
        <f t="shared" si="12"/>
        <v>*</v>
      </c>
    </row>
    <row r="792" spans="1:4" x14ac:dyDescent="0.25">
      <c r="A792" s="2">
        <v>119627</v>
      </c>
      <c r="B792" s="4" t="s">
        <v>119</v>
      </c>
      <c r="C792" s="7">
        <v>525</v>
      </c>
      <c r="D792" s="12" t="str">
        <f t="shared" si="12"/>
        <v>*</v>
      </c>
    </row>
    <row r="793" spans="1:4" x14ac:dyDescent="0.25">
      <c r="A793" s="2">
        <v>119628</v>
      </c>
      <c r="B793" s="4" t="s">
        <v>132</v>
      </c>
      <c r="C793" s="7">
        <v>518</v>
      </c>
      <c r="D793" s="12" t="str">
        <f t="shared" si="12"/>
        <v>*</v>
      </c>
    </row>
    <row r="794" spans="1:4" x14ac:dyDescent="0.25">
      <c r="A794" s="2">
        <v>119810</v>
      </c>
      <c r="B794" s="4" t="s">
        <v>370</v>
      </c>
      <c r="C794" s="7">
        <v>121</v>
      </c>
      <c r="D794" s="12" t="str">
        <f t="shared" si="12"/>
        <v>*</v>
      </c>
    </row>
    <row r="795" spans="1:4" x14ac:dyDescent="0.25">
      <c r="A795" s="2">
        <v>119811</v>
      </c>
      <c r="B795" s="4" t="s">
        <v>371</v>
      </c>
      <c r="C795" s="7">
        <v>464</v>
      </c>
      <c r="D795" s="12" t="str">
        <f t="shared" si="12"/>
        <v>*</v>
      </c>
    </row>
    <row r="796" spans="1:4" x14ac:dyDescent="0.25">
      <c r="A796" s="2">
        <v>120477</v>
      </c>
      <c r="B796" s="4" t="s">
        <v>377</v>
      </c>
      <c r="C796" s="7">
        <v>80</v>
      </c>
      <c r="D796" s="12" t="str">
        <f t="shared" si="12"/>
        <v>*</v>
      </c>
    </row>
    <row r="797" spans="1:4" x14ac:dyDescent="0.25">
      <c r="A797" s="2">
        <v>120615</v>
      </c>
      <c r="B797" s="4" t="s">
        <v>979</v>
      </c>
      <c r="C797" s="7">
        <v>50</v>
      </c>
      <c r="D797" s="12" t="str">
        <f t="shared" si="12"/>
        <v>*</v>
      </c>
    </row>
    <row r="798" spans="1:4" x14ac:dyDescent="0.25">
      <c r="A798" s="2">
        <v>120995</v>
      </c>
      <c r="B798" s="4" t="s">
        <v>657</v>
      </c>
      <c r="C798" s="7">
        <v>45</v>
      </c>
      <c r="D798" s="12" t="str">
        <f t="shared" si="12"/>
        <v>*</v>
      </c>
    </row>
    <row r="799" spans="1:4" x14ac:dyDescent="0.25">
      <c r="A799" s="2">
        <v>121054</v>
      </c>
      <c r="B799" s="4" t="s">
        <v>730</v>
      </c>
      <c r="C799" s="7">
        <v>130</v>
      </c>
      <c r="D799" s="12" t="str">
        <f t="shared" si="12"/>
        <v>*</v>
      </c>
    </row>
    <row r="800" spans="1:4" x14ac:dyDescent="0.25">
      <c r="A800" s="2">
        <v>121086</v>
      </c>
      <c r="B800" s="4" t="s">
        <v>955</v>
      </c>
      <c r="C800" s="7">
        <v>7</v>
      </c>
      <c r="D800" s="12" t="str">
        <f t="shared" si="12"/>
        <v>*</v>
      </c>
    </row>
    <row r="801" spans="1:4" x14ac:dyDescent="0.25">
      <c r="A801" s="2">
        <v>121126</v>
      </c>
      <c r="B801" s="4" t="s">
        <v>816</v>
      </c>
      <c r="C801" s="7">
        <v>24196</v>
      </c>
      <c r="D801" s="12" t="str">
        <f t="shared" si="12"/>
        <v>*</v>
      </c>
    </row>
    <row r="802" spans="1:4" x14ac:dyDescent="0.25">
      <c r="A802" s="2">
        <v>121214</v>
      </c>
      <c r="B802" s="4" t="s">
        <v>171</v>
      </c>
      <c r="C802" s="7">
        <v>95</v>
      </c>
      <c r="D802" s="12" t="str">
        <f t="shared" si="12"/>
        <v>*</v>
      </c>
    </row>
    <row r="803" spans="1:4" x14ac:dyDescent="0.25">
      <c r="A803" s="2">
        <v>121292</v>
      </c>
      <c r="B803" s="4" t="s">
        <v>367</v>
      </c>
      <c r="C803" s="7">
        <v>64</v>
      </c>
      <c r="D803" s="12" t="str">
        <f t="shared" si="12"/>
        <v>*</v>
      </c>
    </row>
    <row r="804" spans="1:4" x14ac:dyDescent="0.25">
      <c r="A804" s="2">
        <v>122304</v>
      </c>
      <c r="B804" s="4" t="s">
        <v>169</v>
      </c>
      <c r="C804" s="7">
        <v>717</v>
      </c>
      <c r="D804" s="12" t="str">
        <f t="shared" si="12"/>
        <v>*</v>
      </c>
    </row>
    <row r="805" spans="1:4" x14ac:dyDescent="0.25">
      <c r="A805" s="2">
        <v>122305</v>
      </c>
      <c r="B805" s="4" t="s">
        <v>992</v>
      </c>
      <c r="C805" s="7">
        <v>673</v>
      </c>
      <c r="D805" s="12" t="str">
        <f t="shared" si="12"/>
        <v>*</v>
      </c>
    </row>
    <row r="806" spans="1:4" x14ac:dyDescent="0.25">
      <c r="A806" s="2">
        <v>122818</v>
      </c>
      <c r="B806" s="4" t="s">
        <v>534</v>
      </c>
      <c r="C806" s="7">
        <v>325</v>
      </c>
      <c r="D806" s="12" t="str">
        <f t="shared" si="12"/>
        <v>*</v>
      </c>
    </row>
    <row r="807" spans="1:4" x14ac:dyDescent="0.25">
      <c r="A807" s="2">
        <v>123131</v>
      </c>
      <c r="B807" s="4" t="s">
        <v>886</v>
      </c>
      <c r="C807" s="7">
        <v>30</v>
      </c>
      <c r="D807" s="12" t="str">
        <f t="shared" si="12"/>
        <v>*</v>
      </c>
    </row>
    <row r="808" spans="1:4" x14ac:dyDescent="0.25">
      <c r="A808" s="2">
        <v>123132</v>
      </c>
      <c r="B808" s="4" t="s">
        <v>887</v>
      </c>
      <c r="C808" s="7">
        <v>102</v>
      </c>
      <c r="D808" s="12" t="str">
        <f t="shared" si="12"/>
        <v>*</v>
      </c>
    </row>
    <row r="809" spans="1:4" x14ac:dyDescent="0.25">
      <c r="A809" s="2">
        <v>123133</v>
      </c>
      <c r="B809" s="4" t="s">
        <v>888</v>
      </c>
      <c r="C809" s="7">
        <v>59</v>
      </c>
      <c r="D809" s="12" t="str">
        <f t="shared" si="12"/>
        <v>*</v>
      </c>
    </row>
    <row r="810" spans="1:4" x14ac:dyDescent="0.25">
      <c r="A810" s="2">
        <v>123146</v>
      </c>
      <c r="B810" s="4" t="s">
        <v>501</v>
      </c>
      <c r="C810" s="7">
        <v>2399</v>
      </c>
      <c r="D810" s="12" t="str">
        <f t="shared" si="12"/>
        <v>*</v>
      </c>
    </row>
    <row r="811" spans="1:4" x14ac:dyDescent="0.25">
      <c r="A811" s="2">
        <v>123350</v>
      </c>
      <c r="B811" s="4" t="s">
        <v>852</v>
      </c>
      <c r="C811" s="7">
        <v>0</v>
      </c>
      <c r="D811" s="12" t="str">
        <f t="shared" si="12"/>
        <v>*</v>
      </c>
    </row>
    <row r="812" spans="1:4" x14ac:dyDescent="0.25">
      <c r="A812" s="2">
        <v>123370</v>
      </c>
      <c r="B812" s="4" t="s">
        <v>628</v>
      </c>
      <c r="C812" s="7">
        <v>0</v>
      </c>
      <c r="D812" s="12" t="str">
        <f t="shared" si="12"/>
        <v>*</v>
      </c>
    </row>
    <row r="813" spans="1:4" x14ac:dyDescent="0.25">
      <c r="A813" s="2">
        <v>123371</v>
      </c>
      <c r="B813" s="4" t="s">
        <v>133</v>
      </c>
      <c r="C813" s="7">
        <v>420</v>
      </c>
      <c r="D813" s="12" t="str">
        <f t="shared" si="12"/>
        <v>*</v>
      </c>
    </row>
    <row r="814" spans="1:4" x14ac:dyDescent="0.25">
      <c r="A814" s="2">
        <v>123372</v>
      </c>
      <c r="B814" s="4" t="s">
        <v>114</v>
      </c>
      <c r="C814" s="7">
        <v>168</v>
      </c>
      <c r="D814" s="12" t="str">
        <f t="shared" si="12"/>
        <v>*</v>
      </c>
    </row>
    <row r="815" spans="1:4" x14ac:dyDescent="0.25">
      <c r="A815" s="2">
        <v>123373</v>
      </c>
      <c r="B815" s="4" t="s">
        <v>134</v>
      </c>
      <c r="C815" s="7">
        <v>767</v>
      </c>
      <c r="D815" s="12" t="str">
        <f t="shared" si="12"/>
        <v>*</v>
      </c>
    </row>
    <row r="816" spans="1:4" x14ac:dyDescent="0.25">
      <c r="A816" s="2">
        <v>123618</v>
      </c>
      <c r="B816" s="4" t="s">
        <v>889</v>
      </c>
      <c r="C816" s="7">
        <v>0</v>
      </c>
      <c r="D816" s="12" t="str">
        <f t="shared" si="12"/>
        <v>*</v>
      </c>
    </row>
    <row r="817" spans="1:4" x14ac:dyDescent="0.25">
      <c r="A817" s="2">
        <v>123710</v>
      </c>
      <c r="B817" s="4" t="s">
        <v>731</v>
      </c>
      <c r="C817" s="7">
        <v>52</v>
      </c>
      <c r="D817" s="12" t="str">
        <f t="shared" si="12"/>
        <v>*</v>
      </c>
    </row>
    <row r="818" spans="1:4" x14ac:dyDescent="0.25">
      <c r="A818" s="2">
        <v>124241</v>
      </c>
      <c r="B818" s="4" t="s">
        <v>307</v>
      </c>
      <c r="C818" s="7">
        <v>112</v>
      </c>
      <c r="D818" s="12" t="str">
        <f t="shared" si="12"/>
        <v>*</v>
      </c>
    </row>
    <row r="819" spans="1:4" x14ac:dyDescent="0.25">
      <c r="A819" s="2">
        <v>124261</v>
      </c>
      <c r="B819" s="4" t="s">
        <v>76</v>
      </c>
      <c r="C819" s="7">
        <v>9213</v>
      </c>
      <c r="D819" s="12" t="str">
        <f t="shared" si="12"/>
        <v>*</v>
      </c>
    </row>
    <row r="820" spans="1:4" x14ac:dyDescent="0.25">
      <c r="A820" s="2">
        <v>124335</v>
      </c>
      <c r="B820" s="4" t="s">
        <v>692</v>
      </c>
      <c r="C820" s="7">
        <v>95</v>
      </c>
      <c r="D820" s="12" t="str">
        <f t="shared" si="12"/>
        <v>*</v>
      </c>
    </row>
    <row r="821" spans="1:4" x14ac:dyDescent="0.25">
      <c r="A821" s="2">
        <v>124963</v>
      </c>
      <c r="B821" s="4" t="s">
        <v>826</v>
      </c>
      <c r="C821" s="7">
        <v>39</v>
      </c>
      <c r="D821" s="12" t="str">
        <f t="shared" si="12"/>
        <v>*</v>
      </c>
    </row>
    <row r="822" spans="1:4" x14ac:dyDescent="0.25">
      <c r="A822" s="2">
        <v>124980</v>
      </c>
      <c r="B822" s="4" t="s">
        <v>115</v>
      </c>
      <c r="C822" s="7">
        <v>300</v>
      </c>
      <c r="D822" s="12" t="str">
        <f t="shared" si="12"/>
        <v>*</v>
      </c>
    </row>
    <row r="823" spans="1:4" x14ac:dyDescent="0.25">
      <c r="A823" s="2">
        <v>125173</v>
      </c>
      <c r="B823" s="4" t="s">
        <v>301</v>
      </c>
      <c r="C823" s="7">
        <v>85</v>
      </c>
      <c r="D823" s="12" t="str">
        <f t="shared" si="12"/>
        <v>*</v>
      </c>
    </row>
    <row r="824" spans="1:4" x14ac:dyDescent="0.25">
      <c r="A824" s="2">
        <v>125201</v>
      </c>
      <c r="B824" s="4" t="s">
        <v>827</v>
      </c>
      <c r="C824" s="7">
        <v>68</v>
      </c>
      <c r="D824" s="12" t="str">
        <f t="shared" si="12"/>
        <v>*</v>
      </c>
    </row>
    <row r="825" spans="1:4" x14ac:dyDescent="0.25">
      <c r="A825" s="2">
        <v>125260</v>
      </c>
      <c r="B825" s="4" t="s">
        <v>535</v>
      </c>
      <c r="C825" s="7">
        <v>574</v>
      </c>
      <c r="D825" s="12" t="str">
        <f t="shared" si="12"/>
        <v>*</v>
      </c>
    </row>
    <row r="826" spans="1:4" x14ac:dyDescent="0.25">
      <c r="A826" s="2">
        <v>125262</v>
      </c>
      <c r="B826" s="4" t="s">
        <v>536</v>
      </c>
      <c r="C826" s="7">
        <v>402</v>
      </c>
      <c r="D826" s="12" t="str">
        <f t="shared" si="12"/>
        <v>*</v>
      </c>
    </row>
    <row r="827" spans="1:4" x14ac:dyDescent="0.25">
      <c r="A827" s="2">
        <v>125269</v>
      </c>
      <c r="B827" s="4" t="s">
        <v>208</v>
      </c>
      <c r="C827" s="7">
        <v>550</v>
      </c>
      <c r="D827" s="12" t="str">
        <f t="shared" si="12"/>
        <v>*</v>
      </c>
    </row>
    <row r="828" spans="1:4" x14ac:dyDescent="0.25">
      <c r="A828" s="2">
        <v>125641</v>
      </c>
      <c r="B828" s="4" t="s">
        <v>206</v>
      </c>
      <c r="C828" s="7">
        <v>79501</v>
      </c>
      <c r="D828" s="12" t="str">
        <f t="shared" si="12"/>
        <v>*</v>
      </c>
    </row>
    <row r="829" spans="1:4" x14ac:dyDescent="0.25">
      <c r="A829" s="2">
        <v>126044</v>
      </c>
      <c r="B829" s="4" t="s">
        <v>879</v>
      </c>
      <c r="C829" s="7">
        <v>71</v>
      </c>
      <c r="D829" s="12" t="str">
        <f t="shared" si="12"/>
        <v>*</v>
      </c>
    </row>
    <row r="830" spans="1:4" x14ac:dyDescent="0.25">
      <c r="A830" s="2">
        <v>126059</v>
      </c>
      <c r="B830" s="4" t="s">
        <v>871</v>
      </c>
      <c r="C830" s="7">
        <v>517</v>
      </c>
      <c r="D830" s="12" t="str">
        <f t="shared" si="12"/>
        <v>*</v>
      </c>
    </row>
    <row r="831" spans="1:4" x14ac:dyDescent="0.25">
      <c r="A831" s="2">
        <v>126060</v>
      </c>
      <c r="B831" s="4" t="s">
        <v>872</v>
      </c>
      <c r="C831" s="7">
        <v>44</v>
      </c>
      <c r="D831" s="12" t="str">
        <f t="shared" si="12"/>
        <v>*</v>
      </c>
    </row>
    <row r="832" spans="1:4" x14ac:dyDescent="0.25">
      <c r="A832" s="2">
        <v>126076</v>
      </c>
      <c r="B832" s="4" t="s">
        <v>376</v>
      </c>
      <c r="C832" s="7">
        <v>282</v>
      </c>
      <c r="D832" s="12" t="str">
        <f t="shared" si="12"/>
        <v>*</v>
      </c>
    </row>
    <row r="833" spans="1:4" x14ac:dyDescent="0.25">
      <c r="A833" s="2">
        <v>126345</v>
      </c>
      <c r="B833" s="4" t="s">
        <v>996</v>
      </c>
      <c r="C833" s="7">
        <v>12</v>
      </c>
      <c r="D833" s="12" t="str">
        <f t="shared" si="12"/>
        <v>*</v>
      </c>
    </row>
    <row r="834" spans="1:4" x14ac:dyDescent="0.25">
      <c r="A834" s="2">
        <v>126837</v>
      </c>
      <c r="B834" s="4" t="s">
        <v>972</v>
      </c>
      <c r="C834" s="7">
        <v>1700</v>
      </c>
      <c r="D834" s="12" t="str">
        <f t="shared" si="12"/>
        <v>*</v>
      </c>
    </row>
    <row r="835" spans="1:4" x14ac:dyDescent="0.25">
      <c r="A835" s="2">
        <v>126838</v>
      </c>
      <c r="B835" s="4" t="s">
        <v>822</v>
      </c>
      <c r="C835" s="7">
        <v>80</v>
      </c>
      <c r="D835" s="12" t="str">
        <f t="shared" si="12"/>
        <v>*</v>
      </c>
    </row>
    <row r="836" spans="1:4" x14ac:dyDescent="0.25">
      <c r="A836" s="2">
        <v>127106</v>
      </c>
      <c r="B836" s="4" t="s">
        <v>814</v>
      </c>
      <c r="C836" s="7">
        <v>0</v>
      </c>
      <c r="D836" s="12" t="str">
        <f t="shared" ref="D836:D899" si="13">IF($D$3="FIM","*","")</f>
        <v>*</v>
      </c>
    </row>
    <row r="837" spans="1:4" x14ac:dyDescent="0.25">
      <c r="A837" s="2">
        <v>127107</v>
      </c>
      <c r="B837" s="4" t="s">
        <v>815</v>
      </c>
      <c r="C837" s="7">
        <v>0</v>
      </c>
      <c r="D837" s="12" t="str">
        <f t="shared" si="13"/>
        <v>*</v>
      </c>
    </row>
    <row r="838" spans="1:4" x14ac:dyDescent="0.25">
      <c r="A838" s="2">
        <v>127331</v>
      </c>
      <c r="B838" s="4" t="s">
        <v>381</v>
      </c>
      <c r="C838" s="7">
        <v>4577</v>
      </c>
      <c r="D838" s="12" t="str">
        <f t="shared" si="13"/>
        <v>*</v>
      </c>
    </row>
    <row r="839" spans="1:4" x14ac:dyDescent="0.25">
      <c r="A839" s="2">
        <v>127384</v>
      </c>
      <c r="B839" s="4" t="s">
        <v>553</v>
      </c>
      <c r="C839" s="7">
        <v>82</v>
      </c>
      <c r="D839" s="12" t="str">
        <f t="shared" si="13"/>
        <v>*</v>
      </c>
    </row>
    <row r="840" spans="1:4" x14ac:dyDescent="0.25">
      <c r="A840" s="2">
        <v>127664</v>
      </c>
      <c r="B840" s="4" t="s">
        <v>272</v>
      </c>
      <c r="C840" s="7">
        <v>832</v>
      </c>
      <c r="D840" s="12" t="str">
        <f t="shared" si="13"/>
        <v>*</v>
      </c>
    </row>
    <row r="841" spans="1:4" x14ac:dyDescent="0.25">
      <c r="A841" s="2">
        <v>127963</v>
      </c>
      <c r="B841" s="4" t="s">
        <v>669</v>
      </c>
      <c r="C841" s="7">
        <v>0</v>
      </c>
      <c r="D841" s="12" t="str">
        <f t="shared" si="13"/>
        <v>*</v>
      </c>
    </row>
    <row r="842" spans="1:4" x14ac:dyDescent="0.25">
      <c r="A842" s="2">
        <v>128229</v>
      </c>
      <c r="B842" s="4" t="s">
        <v>774</v>
      </c>
      <c r="C842" s="7">
        <v>7</v>
      </c>
      <c r="D842" s="12" t="str">
        <f t="shared" si="13"/>
        <v>*</v>
      </c>
    </row>
    <row r="843" spans="1:4" x14ac:dyDescent="0.25">
      <c r="A843" s="2">
        <v>128287</v>
      </c>
      <c r="B843" s="4" t="s">
        <v>14</v>
      </c>
      <c r="C843" s="7">
        <v>516</v>
      </c>
      <c r="D843" s="12" t="str">
        <f t="shared" si="13"/>
        <v>*</v>
      </c>
    </row>
    <row r="844" spans="1:4" x14ac:dyDescent="0.25">
      <c r="A844" s="2">
        <v>128288</v>
      </c>
      <c r="B844" s="4" t="s">
        <v>967</v>
      </c>
      <c r="C844" s="7">
        <v>26</v>
      </c>
      <c r="D844" s="12" t="str">
        <f t="shared" si="13"/>
        <v>*</v>
      </c>
    </row>
    <row r="845" spans="1:4" x14ac:dyDescent="0.25">
      <c r="A845" s="2">
        <v>128301</v>
      </c>
      <c r="B845" s="4" t="s">
        <v>697</v>
      </c>
      <c r="C845" s="7">
        <v>1</v>
      </c>
      <c r="D845" s="12" t="str">
        <f t="shared" si="13"/>
        <v>*</v>
      </c>
    </row>
    <row r="846" spans="1:4" x14ac:dyDescent="0.25">
      <c r="A846" s="2">
        <v>128302</v>
      </c>
      <c r="B846" s="4" t="s">
        <v>600</v>
      </c>
      <c r="C846" s="7">
        <v>2</v>
      </c>
      <c r="D846" s="12" t="str">
        <f t="shared" si="13"/>
        <v>*</v>
      </c>
    </row>
    <row r="847" spans="1:4" x14ac:dyDescent="0.25">
      <c r="A847" s="2">
        <v>128304</v>
      </c>
      <c r="B847" s="4" t="s">
        <v>681</v>
      </c>
      <c r="C847" s="7">
        <v>4</v>
      </c>
      <c r="D847" s="12" t="str">
        <f t="shared" si="13"/>
        <v>*</v>
      </c>
    </row>
    <row r="848" spans="1:4" x14ac:dyDescent="0.25">
      <c r="A848" s="2">
        <v>128305</v>
      </c>
      <c r="B848" s="4" t="s">
        <v>601</v>
      </c>
      <c r="C848" s="7">
        <v>1</v>
      </c>
      <c r="D848" s="12" t="str">
        <f t="shared" si="13"/>
        <v>*</v>
      </c>
    </row>
    <row r="849" spans="1:4" x14ac:dyDescent="0.25">
      <c r="A849" s="2">
        <v>128306</v>
      </c>
      <c r="B849" s="4" t="s">
        <v>602</v>
      </c>
      <c r="C849" s="7">
        <v>5</v>
      </c>
      <c r="D849" s="12" t="str">
        <f t="shared" si="13"/>
        <v>*</v>
      </c>
    </row>
    <row r="850" spans="1:4" x14ac:dyDescent="0.25">
      <c r="A850" s="2">
        <v>128307</v>
      </c>
      <c r="B850" s="4" t="s">
        <v>603</v>
      </c>
      <c r="C850" s="7">
        <v>3</v>
      </c>
      <c r="D850" s="12" t="str">
        <f t="shared" si="13"/>
        <v>*</v>
      </c>
    </row>
    <row r="851" spans="1:4" x14ac:dyDescent="0.25">
      <c r="A851" s="2">
        <v>128308</v>
      </c>
      <c r="B851" s="4" t="s">
        <v>700</v>
      </c>
      <c r="C851" s="7">
        <v>5</v>
      </c>
      <c r="D851" s="12" t="str">
        <f t="shared" si="13"/>
        <v>*</v>
      </c>
    </row>
    <row r="852" spans="1:4" x14ac:dyDescent="0.25">
      <c r="A852" s="2">
        <v>128309</v>
      </c>
      <c r="B852" s="4" t="s">
        <v>701</v>
      </c>
      <c r="C852" s="7">
        <v>2</v>
      </c>
      <c r="D852" s="12" t="str">
        <f t="shared" si="13"/>
        <v>*</v>
      </c>
    </row>
    <row r="853" spans="1:4" x14ac:dyDescent="0.25">
      <c r="A853" s="2">
        <v>128389</v>
      </c>
      <c r="B853" s="4" t="s">
        <v>618</v>
      </c>
      <c r="C853" s="7">
        <v>1</v>
      </c>
      <c r="D853" s="12" t="str">
        <f t="shared" si="13"/>
        <v>*</v>
      </c>
    </row>
    <row r="854" spans="1:4" x14ac:dyDescent="0.25">
      <c r="A854" s="2">
        <v>128458</v>
      </c>
      <c r="B854" s="4" t="s">
        <v>604</v>
      </c>
      <c r="C854" s="7">
        <v>0</v>
      </c>
      <c r="D854" s="12" t="str">
        <f t="shared" si="13"/>
        <v>*</v>
      </c>
    </row>
    <row r="855" spans="1:4" x14ac:dyDescent="0.25">
      <c r="A855" s="2">
        <v>128782</v>
      </c>
      <c r="B855" s="4" t="s">
        <v>923</v>
      </c>
      <c r="C855" s="7">
        <v>64</v>
      </c>
      <c r="D855" s="12" t="str">
        <f t="shared" si="13"/>
        <v>*</v>
      </c>
    </row>
    <row r="856" spans="1:4" x14ac:dyDescent="0.25">
      <c r="A856" s="2">
        <v>128815</v>
      </c>
      <c r="B856" s="4" t="s">
        <v>24</v>
      </c>
      <c r="C856" s="7">
        <v>1698</v>
      </c>
      <c r="D856" s="12" t="str">
        <f t="shared" si="13"/>
        <v>*</v>
      </c>
    </row>
    <row r="857" spans="1:4" x14ac:dyDescent="0.25">
      <c r="A857" s="2">
        <v>128816</v>
      </c>
      <c r="B857" s="4" t="s">
        <v>25</v>
      </c>
      <c r="C857" s="7">
        <v>27</v>
      </c>
      <c r="D857" s="12" t="str">
        <f t="shared" si="13"/>
        <v>*</v>
      </c>
    </row>
    <row r="858" spans="1:4" x14ac:dyDescent="0.25">
      <c r="A858" s="2">
        <v>128817</v>
      </c>
      <c r="B858" s="4" t="s">
        <v>658</v>
      </c>
      <c r="C858" s="7">
        <v>6</v>
      </c>
      <c r="D858" s="12" t="str">
        <f t="shared" si="13"/>
        <v>*</v>
      </c>
    </row>
    <row r="859" spans="1:4" x14ac:dyDescent="0.25">
      <c r="A859" s="2">
        <v>128818</v>
      </c>
      <c r="B859" s="4" t="s">
        <v>28</v>
      </c>
      <c r="C859" s="7">
        <v>1480</v>
      </c>
      <c r="D859" s="12" t="str">
        <f t="shared" si="13"/>
        <v>*</v>
      </c>
    </row>
    <row r="860" spans="1:4" x14ac:dyDescent="0.25">
      <c r="A860" s="2">
        <v>128819</v>
      </c>
      <c r="B860" s="4" t="s">
        <v>29</v>
      </c>
      <c r="C860" s="7">
        <v>47</v>
      </c>
      <c r="D860" s="12" t="str">
        <f t="shared" si="13"/>
        <v>*</v>
      </c>
    </row>
    <row r="861" spans="1:4" x14ac:dyDescent="0.25">
      <c r="A861" s="2">
        <v>129959</v>
      </c>
      <c r="B861" s="4" t="s">
        <v>116</v>
      </c>
      <c r="C861" s="7">
        <v>90</v>
      </c>
      <c r="D861" s="12" t="str">
        <f t="shared" si="13"/>
        <v>*</v>
      </c>
    </row>
    <row r="862" spans="1:4" x14ac:dyDescent="0.25">
      <c r="A862" s="2">
        <v>129960</v>
      </c>
      <c r="B862" s="4" t="s">
        <v>135</v>
      </c>
      <c r="C862" s="7">
        <v>0</v>
      </c>
      <c r="D862" s="12" t="str">
        <f t="shared" si="13"/>
        <v>*</v>
      </c>
    </row>
    <row r="863" spans="1:4" x14ac:dyDescent="0.25">
      <c r="A863" s="2">
        <v>129961</v>
      </c>
      <c r="B863" s="4" t="s">
        <v>357</v>
      </c>
      <c r="C863" s="7">
        <v>0</v>
      </c>
      <c r="D863" s="12" t="str">
        <f t="shared" si="13"/>
        <v>*</v>
      </c>
    </row>
    <row r="864" spans="1:4" x14ac:dyDescent="0.25">
      <c r="A864" s="2">
        <v>129962</v>
      </c>
      <c r="B864" s="4" t="s">
        <v>636</v>
      </c>
      <c r="C864" s="7">
        <v>0</v>
      </c>
      <c r="D864" s="12" t="str">
        <f t="shared" si="13"/>
        <v>*</v>
      </c>
    </row>
    <row r="865" spans="1:4" x14ac:dyDescent="0.25">
      <c r="A865" s="2">
        <v>129979</v>
      </c>
      <c r="B865" s="4" t="s">
        <v>775</v>
      </c>
      <c r="C865" s="7">
        <v>0</v>
      </c>
      <c r="D865" s="12" t="str">
        <f t="shared" si="13"/>
        <v>*</v>
      </c>
    </row>
    <row r="866" spans="1:4" x14ac:dyDescent="0.25">
      <c r="A866" s="2">
        <v>129991</v>
      </c>
      <c r="B866" s="4" t="s">
        <v>138</v>
      </c>
      <c r="C866" s="7">
        <v>1548</v>
      </c>
      <c r="D866" s="12" t="str">
        <f t="shared" si="13"/>
        <v>*</v>
      </c>
    </row>
    <row r="867" spans="1:4" x14ac:dyDescent="0.25">
      <c r="A867" s="2">
        <v>130024</v>
      </c>
      <c r="B867" s="4" t="s">
        <v>212</v>
      </c>
      <c r="C867" s="7">
        <v>2474</v>
      </c>
      <c r="D867" s="12" t="str">
        <f t="shared" si="13"/>
        <v>*</v>
      </c>
    </row>
    <row r="868" spans="1:4" x14ac:dyDescent="0.25">
      <c r="A868" s="2">
        <v>130157</v>
      </c>
      <c r="B868" s="4" t="s">
        <v>702</v>
      </c>
      <c r="C868" s="7">
        <v>0</v>
      </c>
      <c r="D868" s="12" t="str">
        <f t="shared" si="13"/>
        <v>*</v>
      </c>
    </row>
    <row r="869" spans="1:4" x14ac:dyDescent="0.25">
      <c r="A869" s="2">
        <v>130564</v>
      </c>
      <c r="B869" s="4" t="s">
        <v>593</v>
      </c>
      <c r="C869" s="7">
        <v>1</v>
      </c>
      <c r="D869" s="12" t="str">
        <f t="shared" si="13"/>
        <v>*</v>
      </c>
    </row>
    <row r="870" spans="1:4" x14ac:dyDescent="0.25">
      <c r="A870" s="2">
        <v>130614</v>
      </c>
      <c r="B870" s="4" t="s">
        <v>956</v>
      </c>
      <c r="C870" s="7">
        <v>420</v>
      </c>
      <c r="D870" s="12" t="str">
        <f t="shared" si="13"/>
        <v>*</v>
      </c>
    </row>
    <row r="871" spans="1:4" x14ac:dyDescent="0.25">
      <c r="A871" s="2">
        <v>130618</v>
      </c>
      <c r="B871" s="4" t="s">
        <v>946</v>
      </c>
      <c r="C871" s="7">
        <v>20</v>
      </c>
      <c r="D871" s="12" t="str">
        <f t="shared" si="13"/>
        <v>*</v>
      </c>
    </row>
    <row r="872" spans="1:4" x14ac:dyDescent="0.25">
      <c r="A872" s="2">
        <v>130624</v>
      </c>
      <c r="B872" s="4" t="s">
        <v>97</v>
      </c>
      <c r="C872" s="7">
        <v>14796</v>
      </c>
      <c r="D872" s="12" t="str">
        <f t="shared" si="13"/>
        <v>*</v>
      </c>
    </row>
    <row r="873" spans="1:4" x14ac:dyDescent="0.25">
      <c r="A873" s="2">
        <v>130632</v>
      </c>
      <c r="B873" s="4" t="s">
        <v>500</v>
      </c>
      <c r="C873" s="7">
        <v>11</v>
      </c>
      <c r="D873" s="12" t="str">
        <f t="shared" si="13"/>
        <v>*</v>
      </c>
    </row>
    <row r="874" spans="1:4" x14ac:dyDescent="0.25">
      <c r="A874" s="2">
        <v>130634</v>
      </c>
      <c r="B874" s="4" t="s">
        <v>538</v>
      </c>
      <c r="C874" s="7">
        <v>648</v>
      </c>
      <c r="D874" s="12" t="str">
        <f t="shared" si="13"/>
        <v>*</v>
      </c>
    </row>
    <row r="875" spans="1:4" x14ac:dyDescent="0.25">
      <c r="A875" s="2">
        <v>130695</v>
      </c>
      <c r="B875" s="4" t="s">
        <v>146</v>
      </c>
      <c r="C875" s="7">
        <v>8227</v>
      </c>
      <c r="D875" s="12" t="str">
        <f t="shared" si="13"/>
        <v>*</v>
      </c>
    </row>
    <row r="876" spans="1:4" x14ac:dyDescent="0.25">
      <c r="A876" s="2">
        <v>130740</v>
      </c>
      <c r="B876" s="4" t="s">
        <v>594</v>
      </c>
      <c r="C876" s="7">
        <v>22</v>
      </c>
      <c r="D876" s="12" t="str">
        <f t="shared" si="13"/>
        <v>*</v>
      </c>
    </row>
    <row r="877" spans="1:4" x14ac:dyDescent="0.25">
      <c r="A877" s="2">
        <v>131138</v>
      </c>
      <c r="B877" s="4" t="s">
        <v>867</v>
      </c>
      <c r="C877" s="7">
        <v>0</v>
      </c>
      <c r="D877" s="12" t="str">
        <f t="shared" si="13"/>
        <v>*</v>
      </c>
    </row>
    <row r="878" spans="1:4" x14ac:dyDescent="0.25">
      <c r="A878" s="2">
        <v>131221</v>
      </c>
      <c r="B878" s="4" t="s">
        <v>719</v>
      </c>
      <c r="C878" s="7">
        <v>1</v>
      </c>
      <c r="D878" s="12" t="str">
        <f t="shared" si="13"/>
        <v>*</v>
      </c>
    </row>
    <row r="879" spans="1:4" x14ac:dyDescent="0.25">
      <c r="A879" s="2">
        <v>131344</v>
      </c>
      <c r="B879" s="4" t="s">
        <v>566</v>
      </c>
      <c r="C879" s="7">
        <v>47</v>
      </c>
      <c r="D879" s="12" t="str">
        <f t="shared" si="13"/>
        <v>*</v>
      </c>
    </row>
    <row r="880" spans="1:4" x14ac:dyDescent="0.25">
      <c r="A880" s="2">
        <v>131482</v>
      </c>
      <c r="B880" s="4" t="s">
        <v>188</v>
      </c>
      <c r="C880" s="7">
        <v>193</v>
      </c>
      <c r="D880" s="12" t="str">
        <f t="shared" si="13"/>
        <v>*</v>
      </c>
    </row>
    <row r="881" spans="1:4" x14ac:dyDescent="0.25">
      <c r="A881" s="2">
        <v>131579</v>
      </c>
      <c r="B881" s="4" t="s">
        <v>595</v>
      </c>
      <c r="C881" s="7">
        <v>1</v>
      </c>
      <c r="D881" s="12" t="str">
        <f t="shared" si="13"/>
        <v>*</v>
      </c>
    </row>
    <row r="882" spans="1:4" x14ac:dyDescent="0.25">
      <c r="A882" s="2">
        <v>131917</v>
      </c>
      <c r="B882" s="4" t="s">
        <v>405</v>
      </c>
      <c r="C882" s="7">
        <v>9947</v>
      </c>
      <c r="D882" s="12" t="str">
        <f t="shared" si="13"/>
        <v>*</v>
      </c>
    </row>
    <row r="883" spans="1:4" x14ac:dyDescent="0.25">
      <c r="A883" s="2">
        <v>131926</v>
      </c>
      <c r="B883" s="4" t="s">
        <v>406</v>
      </c>
      <c r="C883" s="7">
        <v>5359</v>
      </c>
      <c r="D883" s="12" t="str">
        <f t="shared" si="13"/>
        <v>*</v>
      </c>
    </row>
    <row r="884" spans="1:4" x14ac:dyDescent="0.25">
      <c r="A884" s="2">
        <v>131927</v>
      </c>
      <c r="B884" s="4" t="s">
        <v>407</v>
      </c>
      <c r="C884" s="7">
        <v>4351</v>
      </c>
      <c r="D884" s="12" t="str">
        <f t="shared" si="13"/>
        <v>*</v>
      </c>
    </row>
    <row r="885" spans="1:4" x14ac:dyDescent="0.25">
      <c r="A885" s="2">
        <v>131930</v>
      </c>
      <c r="B885" s="4" t="s">
        <v>408</v>
      </c>
      <c r="C885" s="7">
        <v>7194</v>
      </c>
      <c r="D885" s="12" t="str">
        <f t="shared" si="13"/>
        <v>*</v>
      </c>
    </row>
    <row r="886" spans="1:4" x14ac:dyDescent="0.25">
      <c r="A886" s="2">
        <v>131931</v>
      </c>
      <c r="B886" s="4" t="s">
        <v>409</v>
      </c>
      <c r="C886" s="7">
        <v>864</v>
      </c>
      <c r="D886" s="12" t="str">
        <f t="shared" si="13"/>
        <v>*</v>
      </c>
    </row>
    <row r="887" spans="1:4" x14ac:dyDescent="0.25">
      <c r="A887" s="2">
        <v>131933</v>
      </c>
      <c r="B887" s="4" t="s">
        <v>410</v>
      </c>
      <c r="C887" s="7">
        <v>6049</v>
      </c>
      <c r="D887" s="12" t="str">
        <f t="shared" si="13"/>
        <v>*</v>
      </c>
    </row>
    <row r="888" spans="1:4" x14ac:dyDescent="0.25">
      <c r="A888" s="2">
        <v>131935</v>
      </c>
      <c r="B888" s="4" t="s">
        <v>411</v>
      </c>
      <c r="C888" s="7">
        <v>5560</v>
      </c>
      <c r="D888" s="12" t="str">
        <f t="shared" si="13"/>
        <v>*</v>
      </c>
    </row>
    <row r="889" spans="1:4" x14ac:dyDescent="0.25">
      <c r="A889" s="2">
        <v>131937</v>
      </c>
      <c r="B889" s="4" t="s">
        <v>412</v>
      </c>
      <c r="C889" s="7">
        <v>2394</v>
      </c>
      <c r="D889" s="12" t="str">
        <f t="shared" si="13"/>
        <v>*</v>
      </c>
    </row>
    <row r="890" spans="1:4" x14ac:dyDescent="0.25">
      <c r="A890" s="2">
        <v>131938</v>
      </c>
      <c r="B890" s="4" t="s">
        <v>413</v>
      </c>
      <c r="C890" s="7">
        <v>3065</v>
      </c>
      <c r="D890" s="12" t="str">
        <f t="shared" si="13"/>
        <v>*</v>
      </c>
    </row>
    <row r="891" spans="1:4" x14ac:dyDescent="0.25">
      <c r="A891" s="2">
        <v>131939</v>
      </c>
      <c r="B891" s="4" t="s">
        <v>414</v>
      </c>
      <c r="C891" s="7">
        <v>3040</v>
      </c>
      <c r="D891" s="12" t="str">
        <f t="shared" si="13"/>
        <v>*</v>
      </c>
    </row>
    <row r="892" spans="1:4" x14ac:dyDescent="0.25">
      <c r="A892" s="2">
        <v>131940</v>
      </c>
      <c r="B892" s="4" t="s">
        <v>415</v>
      </c>
      <c r="C892" s="7">
        <v>390</v>
      </c>
      <c r="D892" s="12" t="str">
        <f t="shared" si="13"/>
        <v>*</v>
      </c>
    </row>
    <row r="893" spans="1:4" x14ac:dyDescent="0.25">
      <c r="A893" s="2">
        <v>132229</v>
      </c>
      <c r="B893" s="4" t="s">
        <v>629</v>
      </c>
      <c r="C893" s="7">
        <v>0</v>
      </c>
      <c r="D893" s="12" t="str">
        <f t="shared" si="13"/>
        <v>*</v>
      </c>
    </row>
    <row r="894" spans="1:4" x14ac:dyDescent="0.25">
      <c r="A894" s="2">
        <v>132230</v>
      </c>
      <c r="B894" s="4" t="s">
        <v>136</v>
      </c>
      <c r="C894" s="7">
        <v>0</v>
      </c>
      <c r="D894" s="12" t="str">
        <f t="shared" si="13"/>
        <v>*</v>
      </c>
    </row>
    <row r="895" spans="1:4" x14ac:dyDescent="0.25">
      <c r="A895" s="2">
        <v>132231</v>
      </c>
      <c r="B895" s="4" t="s">
        <v>117</v>
      </c>
      <c r="C895" s="7">
        <v>610</v>
      </c>
      <c r="D895" s="12" t="str">
        <f t="shared" si="13"/>
        <v>*</v>
      </c>
    </row>
    <row r="896" spans="1:4" x14ac:dyDescent="0.25">
      <c r="A896" s="2">
        <v>132232</v>
      </c>
      <c r="B896" s="4" t="s">
        <v>523</v>
      </c>
      <c r="C896" s="7">
        <v>22</v>
      </c>
      <c r="D896" s="12" t="str">
        <f t="shared" si="13"/>
        <v>*</v>
      </c>
    </row>
    <row r="897" spans="1:4" x14ac:dyDescent="0.25">
      <c r="A897" s="2">
        <v>132290</v>
      </c>
      <c r="B897" s="4" t="s">
        <v>467</v>
      </c>
      <c r="C897" s="7">
        <v>4959</v>
      </c>
      <c r="D897" s="12" t="str">
        <f t="shared" si="13"/>
        <v>*</v>
      </c>
    </row>
    <row r="898" spans="1:4" x14ac:dyDescent="0.25">
      <c r="A898" s="2">
        <v>132296</v>
      </c>
      <c r="B898" s="4" t="s">
        <v>468</v>
      </c>
      <c r="C898" s="7">
        <v>11067</v>
      </c>
      <c r="D898" s="12" t="str">
        <f t="shared" si="13"/>
        <v>*</v>
      </c>
    </row>
    <row r="899" spans="1:4" x14ac:dyDescent="0.25">
      <c r="A899" s="2">
        <v>132297</v>
      </c>
      <c r="B899" s="4" t="s">
        <v>469</v>
      </c>
      <c r="C899" s="7">
        <v>21295</v>
      </c>
      <c r="D899" s="12" t="str">
        <f t="shared" si="13"/>
        <v>*</v>
      </c>
    </row>
    <row r="900" spans="1:4" x14ac:dyDescent="0.25">
      <c r="A900" s="2">
        <v>132300</v>
      </c>
      <c r="B900" s="4" t="s">
        <v>474</v>
      </c>
      <c r="C900" s="7">
        <v>7721</v>
      </c>
      <c r="D900" s="12" t="str">
        <f t="shared" ref="D900:D963" si="14">IF($D$3="FIM","*","")</f>
        <v>*</v>
      </c>
    </row>
    <row r="901" spans="1:4" x14ac:dyDescent="0.25">
      <c r="A901" s="2">
        <v>132303</v>
      </c>
      <c r="B901" s="4" t="s">
        <v>98</v>
      </c>
      <c r="C901" s="7">
        <v>15591</v>
      </c>
      <c r="D901" s="12" t="str">
        <f t="shared" si="14"/>
        <v>*</v>
      </c>
    </row>
    <row r="902" spans="1:4" x14ac:dyDescent="0.25">
      <c r="A902" s="2">
        <v>132305</v>
      </c>
      <c r="B902" s="4" t="s">
        <v>416</v>
      </c>
      <c r="C902" s="7">
        <v>2386</v>
      </c>
      <c r="D902" s="12" t="str">
        <f t="shared" si="14"/>
        <v>*</v>
      </c>
    </row>
    <row r="903" spans="1:4" x14ac:dyDescent="0.25">
      <c r="A903" s="2">
        <v>132394</v>
      </c>
      <c r="B903" s="4" t="s">
        <v>470</v>
      </c>
      <c r="C903" s="7">
        <v>5085</v>
      </c>
      <c r="D903" s="12" t="str">
        <f t="shared" si="14"/>
        <v>*</v>
      </c>
    </row>
    <row r="904" spans="1:4" x14ac:dyDescent="0.25">
      <c r="A904" s="2">
        <v>132395</v>
      </c>
      <c r="B904" s="4" t="s">
        <v>471</v>
      </c>
      <c r="C904" s="7">
        <v>5017</v>
      </c>
      <c r="D904" s="12" t="str">
        <f t="shared" si="14"/>
        <v>*</v>
      </c>
    </row>
    <row r="905" spans="1:4" x14ac:dyDescent="0.25">
      <c r="A905" s="2">
        <v>132400</v>
      </c>
      <c r="B905" s="4" t="s">
        <v>928</v>
      </c>
      <c r="C905" s="7">
        <v>2617</v>
      </c>
      <c r="D905" s="12" t="str">
        <f t="shared" si="14"/>
        <v>*</v>
      </c>
    </row>
    <row r="906" spans="1:4" x14ac:dyDescent="0.25">
      <c r="A906" s="2">
        <v>132405</v>
      </c>
      <c r="B906" s="4" t="s">
        <v>705</v>
      </c>
      <c r="C906" s="7">
        <v>397</v>
      </c>
      <c r="D906" s="12" t="str">
        <f t="shared" si="14"/>
        <v>*</v>
      </c>
    </row>
    <row r="907" spans="1:4" x14ac:dyDescent="0.25">
      <c r="A907" s="2">
        <v>132407</v>
      </c>
      <c r="B907" s="4" t="s">
        <v>706</v>
      </c>
      <c r="C907" s="7">
        <v>326</v>
      </c>
      <c r="D907" s="12" t="str">
        <f t="shared" si="14"/>
        <v>*</v>
      </c>
    </row>
    <row r="908" spans="1:4" x14ac:dyDescent="0.25">
      <c r="A908" s="2">
        <v>132465</v>
      </c>
      <c r="B908" s="4" t="s">
        <v>511</v>
      </c>
      <c r="C908" s="7">
        <v>60</v>
      </c>
      <c r="D908" s="12" t="str">
        <f t="shared" si="14"/>
        <v>*</v>
      </c>
    </row>
    <row r="909" spans="1:4" x14ac:dyDescent="0.25">
      <c r="A909" s="2">
        <v>132612</v>
      </c>
      <c r="B909" s="4" t="s">
        <v>698</v>
      </c>
      <c r="C909" s="7">
        <v>262</v>
      </c>
      <c r="D909" s="12" t="str">
        <f t="shared" si="14"/>
        <v>*</v>
      </c>
    </row>
    <row r="910" spans="1:4" x14ac:dyDescent="0.25">
      <c r="A910" s="2">
        <v>132613</v>
      </c>
      <c r="B910" s="4" t="s">
        <v>699</v>
      </c>
      <c r="C910" s="7">
        <v>673</v>
      </c>
      <c r="D910" s="12" t="str">
        <f t="shared" si="14"/>
        <v>*</v>
      </c>
    </row>
    <row r="911" spans="1:4" x14ac:dyDescent="0.25">
      <c r="A911" s="2">
        <v>132623</v>
      </c>
      <c r="B911" s="4" t="s">
        <v>556</v>
      </c>
      <c r="C911" s="7">
        <v>57</v>
      </c>
      <c r="D911" s="12" t="str">
        <f t="shared" si="14"/>
        <v>*</v>
      </c>
    </row>
    <row r="912" spans="1:4" x14ac:dyDescent="0.25">
      <c r="A912" s="2">
        <v>132624</v>
      </c>
      <c r="B912" s="4" t="s">
        <v>561</v>
      </c>
      <c r="C912" s="7">
        <v>27</v>
      </c>
      <c r="D912" s="12" t="str">
        <f t="shared" si="14"/>
        <v>*</v>
      </c>
    </row>
    <row r="913" spans="1:4" x14ac:dyDescent="0.25">
      <c r="A913" s="2">
        <v>132646</v>
      </c>
      <c r="B913" s="4" t="s">
        <v>429</v>
      </c>
      <c r="C913" s="7">
        <v>15658</v>
      </c>
      <c r="D913" s="12" t="str">
        <f t="shared" si="14"/>
        <v>*</v>
      </c>
    </row>
    <row r="914" spans="1:4" x14ac:dyDescent="0.25">
      <c r="A914" s="2">
        <v>132647</v>
      </c>
      <c r="B914" s="4" t="s">
        <v>430</v>
      </c>
      <c r="C914" s="7">
        <v>14211</v>
      </c>
      <c r="D914" s="12" t="str">
        <f t="shared" si="14"/>
        <v>*</v>
      </c>
    </row>
    <row r="915" spans="1:4" x14ac:dyDescent="0.25">
      <c r="A915" s="2">
        <v>132649</v>
      </c>
      <c r="B915" s="4" t="s">
        <v>431</v>
      </c>
      <c r="C915" s="7">
        <v>6608</v>
      </c>
      <c r="D915" s="12" t="str">
        <f t="shared" si="14"/>
        <v>*</v>
      </c>
    </row>
    <row r="916" spans="1:4" x14ac:dyDescent="0.25">
      <c r="A916" s="2">
        <v>132650</v>
      </c>
      <c r="B916" s="4" t="s">
        <v>472</v>
      </c>
      <c r="C916" s="7">
        <v>6480</v>
      </c>
      <c r="D916" s="12" t="str">
        <f t="shared" si="14"/>
        <v>*</v>
      </c>
    </row>
    <row r="917" spans="1:4" x14ac:dyDescent="0.25">
      <c r="A917" s="2">
        <v>132655</v>
      </c>
      <c r="B917" s="4" t="s">
        <v>432</v>
      </c>
      <c r="C917" s="7">
        <v>24143</v>
      </c>
      <c r="D917" s="12" t="str">
        <f t="shared" si="14"/>
        <v>*</v>
      </c>
    </row>
    <row r="918" spans="1:4" x14ac:dyDescent="0.25">
      <c r="A918" s="2">
        <v>132656</v>
      </c>
      <c r="B918" s="4" t="s">
        <v>433</v>
      </c>
      <c r="C918" s="7">
        <v>23790</v>
      </c>
      <c r="D918" s="12" t="str">
        <f t="shared" si="14"/>
        <v>*</v>
      </c>
    </row>
    <row r="919" spans="1:4" x14ac:dyDescent="0.25">
      <c r="A919" s="2">
        <v>132714</v>
      </c>
      <c r="B919" s="4" t="s">
        <v>531</v>
      </c>
      <c r="C919" s="7">
        <v>30</v>
      </c>
      <c r="D919" s="12" t="str">
        <f t="shared" si="14"/>
        <v>*</v>
      </c>
    </row>
    <row r="920" spans="1:4" x14ac:dyDescent="0.25">
      <c r="A920" s="2">
        <v>132715</v>
      </c>
      <c r="B920" s="4" t="s">
        <v>532</v>
      </c>
      <c r="C920" s="7">
        <v>15</v>
      </c>
      <c r="D920" s="12" t="str">
        <f t="shared" si="14"/>
        <v>*</v>
      </c>
    </row>
    <row r="921" spans="1:4" x14ac:dyDescent="0.25">
      <c r="A921" s="2">
        <v>132751</v>
      </c>
      <c r="B921" s="4" t="s">
        <v>685</v>
      </c>
      <c r="C921" s="7">
        <v>0</v>
      </c>
      <c r="D921" s="12" t="str">
        <f t="shared" si="14"/>
        <v>*</v>
      </c>
    </row>
    <row r="922" spans="1:4" x14ac:dyDescent="0.25">
      <c r="A922" s="2">
        <v>132769</v>
      </c>
      <c r="B922" s="4" t="s">
        <v>554</v>
      </c>
      <c r="C922" s="7">
        <v>59</v>
      </c>
      <c r="D922" s="12" t="str">
        <f t="shared" si="14"/>
        <v>*</v>
      </c>
    </row>
    <row r="923" spans="1:4" x14ac:dyDescent="0.25">
      <c r="A923" s="2">
        <v>133021</v>
      </c>
      <c r="B923" s="4" t="s">
        <v>1316</v>
      </c>
      <c r="C923" s="7">
        <v>0</v>
      </c>
      <c r="D923" s="12" t="str">
        <f t="shared" si="14"/>
        <v>*</v>
      </c>
    </row>
    <row r="924" spans="1:4" x14ac:dyDescent="0.25">
      <c r="A924" s="2">
        <v>133191</v>
      </c>
      <c r="B924" s="4" t="s">
        <v>936</v>
      </c>
      <c r="C924" s="7">
        <v>19816</v>
      </c>
      <c r="D924" s="12" t="str">
        <f t="shared" si="14"/>
        <v>*</v>
      </c>
    </row>
    <row r="925" spans="1:4" x14ac:dyDescent="0.25">
      <c r="A925" s="2">
        <v>133301</v>
      </c>
      <c r="B925" s="4" t="s">
        <v>641</v>
      </c>
      <c r="C925" s="7">
        <v>6966</v>
      </c>
      <c r="D925" s="12" t="str">
        <f t="shared" si="14"/>
        <v>*</v>
      </c>
    </row>
    <row r="926" spans="1:4" x14ac:dyDescent="0.25">
      <c r="A926" s="2">
        <v>133366</v>
      </c>
      <c r="B926" s="4" t="s">
        <v>858</v>
      </c>
      <c r="C926" s="7">
        <v>3438</v>
      </c>
      <c r="D926" s="12" t="str">
        <f t="shared" si="14"/>
        <v>*</v>
      </c>
    </row>
    <row r="927" spans="1:4" x14ac:dyDescent="0.25">
      <c r="A927" s="2">
        <v>133371</v>
      </c>
      <c r="B927" s="4" t="s">
        <v>918</v>
      </c>
      <c r="C927" s="7">
        <v>500</v>
      </c>
      <c r="D927" s="12" t="str">
        <f t="shared" si="14"/>
        <v>*</v>
      </c>
    </row>
    <row r="928" spans="1:4" x14ac:dyDescent="0.25">
      <c r="A928" s="2">
        <v>133433</v>
      </c>
      <c r="B928" s="4" t="s">
        <v>550</v>
      </c>
      <c r="C928" s="7">
        <v>1</v>
      </c>
      <c r="D928" s="12" t="str">
        <f t="shared" si="14"/>
        <v>*</v>
      </c>
    </row>
    <row r="929" spans="1:4" x14ac:dyDescent="0.25">
      <c r="A929" s="2">
        <v>133450</v>
      </c>
      <c r="B929" s="4" t="s">
        <v>451</v>
      </c>
      <c r="C929" s="7">
        <v>1213</v>
      </c>
      <c r="D929" s="12" t="str">
        <f t="shared" si="14"/>
        <v>*</v>
      </c>
    </row>
    <row r="930" spans="1:4" x14ac:dyDescent="0.25">
      <c r="A930" s="2">
        <v>133451</v>
      </c>
      <c r="B930" s="4" t="s">
        <v>452</v>
      </c>
      <c r="C930" s="7">
        <v>1486</v>
      </c>
      <c r="D930" s="12" t="str">
        <f t="shared" si="14"/>
        <v>*</v>
      </c>
    </row>
    <row r="931" spans="1:4" x14ac:dyDescent="0.25">
      <c r="A931" s="2">
        <v>133452</v>
      </c>
      <c r="B931" s="4" t="s">
        <v>77</v>
      </c>
      <c r="C931" s="7">
        <v>542</v>
      </c>
      <c r="D931" s="12" t="str">
        <f t="shared" si="14"/>
        <v>*</v>
      </c>
    </row>
    <row r="932" spans="1:4" x14ac:dyDescent="0.25">
      <c r="A932" s="2">
        <v>133778</v>
      </c>
      <c r="B932" s="4" t="s">
        <v>418</v>
      </c>
      <c r="C932" s="7">
        <v>16398</v>
      </c>
      <c r="D932" s="12" t="str">
        <f t="shared" si="14"/>
        <v>*</v>
      </c>
    </row>
    <row r="933" spans="1:4" x14ac:dyDescent="0.25">
      <c r="A933" s="2">
        <v>133779</v>
      </c>
      <c r="B933" s="4" t="s">
        <v>453</v>
      </c>
      <c r="C933" s="7">
        <v>6237</v>
      </c>
      <c r="D933" s="12" t="str">
        <f t="shared" si="14"/>
        <v>*</v>
      </c>
    </row>
    <row r="934" spans="1:4" x14ac:dyDescent="0.25">
      <c r="A934" s="2">
        <v>133781</v>
      </c>
      <c r="B934" s="4" t="s">
        <v>454</v>
      </c>
      <c r="C934" s="7">
        <v>18603</v>
      </c>
      <c r="D934" s="12" t="str">
        <f t="shared" si="14"/>
        <v>*</v>
      </c>
    </row>
    <row r="935" spans="1:4" x14ac:dyDescent="0.25">
      <c r="A935" s="2">
        <v>133782</v>
      </c>
      <c r="B935" s="4" t="s">
        <v>455</v>
      </c>
      <c r="C935" s="7">
        <v>2</v>
      </c>
      <c r="D935" s="12" t="str">
        <f t="shared" si="14"/>
        <v>*</v>
      </c>
    </row>
    <row r="936" spans="1:4" x14ac:dyDescent="0.25">
      <c r="A936" s="2">
        <v>133783</v>
      </c>
      <c r="B936" s="4" t="s">
        <v>456</v>
      </c>
      <c r="C936" s="7">
        <v>5721</v>
      </c>
      <c r="D936" s="12" t="str">
        <f t="shared" si="14"/>
        <v>*</v>
      </c>
    </row>
    <row r="937" spans="1:4" x14ac:dyDescent="0.25">
      <c r="A937" s="2">
        <v>133788</v>
      </c>
      <c r="B937" s="4" t="s">
        <v>475</v>
      </c>
      <c r="C937" s="7">
        <v>382</v>
      </c>
      <c r="D937" s="12" t="str">
        <f t="shared" si="14"/>
        <v>*</v>
      </c>
    </row>
    <row r="938" spans="1:4" x14ac:dyDescent="0.25">
      <c r="A938" s="2">
        <v>133790</v>
      </c>
      <c r="B938" s="4" t="s">
        <v>476</v>
      </c>
      <c r="C938" s="7">
        <v>405</v>
      </c>
      <c r="D938" s="12" t="str">
        <f t="shared" si="14"/>
        <v>*</v>
      </c>
    </row>
    <row r="939" spans="1:4" x14ac:dyDescent="0.25">
      <c r="A939" s="2">
        <v>133791</v>
      </c>
      <c r="B939" s="4" t="s">
        <v>477</v>
      </c>
      <c r="C939" s="7">
        <v>576</v>
      </c>
      <c r="D939" s="12" t="str">
        <f t="shared" si="14"/>
        <v>*</v>
      </c>
    </row>
    <row r="940" spans="1:4" x14ac:dyDescent="0.25">
      <c r="A940" s="2">
        <v>133793</v>
      </c>
      <c r="B940" s="4" t="s">
        <v>419</v>
      </c>
      <c r="C940" s="7">
        <v>4097</v>
      </c>
      <c r="D940" s="12" t="str">
        <f t="shared" si="14"/>
        <v>*</v>
      </c>
    </row>
    <row r="941" spans="1:4" x14ac:dyDescent="0.25">
      <c r="A941" s="2">
        <v>133812</v>
      </c>
      <c r="B941" s="4" t="s">
        <v>374</v>
      </c>
      <c r="C941" s="7">
        <v>170</v>
      </c>
      <c r="D941" s="12" t="str">
        <f t="shared" si="14"/>
        <v>*</v>
      </c>
    </row>
    <row r="942" spans="1:4" x14ac:dyDescent="0.25">
      <c r="A942" s="2">
        <v>133813</v>
      </c>
      <c r="B942" s="4" t="s">
        <v>694</v>
      </c>
      <c r="C942" s="7">
        <v>23</v>
      </c>
      <c r="D942" s="12" t="str">
        <f t="shared" si="14"/>
        <v>*</v>
      </c>
    </row>
    <row r="943" spans="1:4" x14ac:dyDescent="0.25">
      <c r="A943" s="2">
        <v>133819</v>
      </c>
      <c r="B943" s="4" t="s">
        <v>311</v>
      </c>
      <c r="C943" s="7">
        <v>257</v>
      </c>
      <c r="D943" s="12" t="str">
        <f t="shared" si="14"/>
        <v>*</v>
      </c>
    </row>
    <row r="944" spans="1:4" x14ac:dyDescent="0.25">
      <c r="A944" s="2">
        <v>133843</v>
      </c>
      <c r="B944" s="4" t="s">
        <v>78</v>
      </c>
      <c r="C944" s="7">
        <v>14903</v>
      </c>
      <c r="D944" s="12" t="str">
        <f t="shared" si="14"/>
        <v>*</v>
      </c>
    </row>
    <row r="945" spans="1:4" x14ac:dyDescent="0.25">
      <c r="A945" s="2">
        <v>133844</v>
      </c>
      <c r="B945" s="4" t="s">
        <v>94</v>
      </c>
      <c r="C945" s="7">
        <v>14802</v>
      </c>
      <c r="D945" s="12" t="str">
        <f t="shared" si="14"/>
        <v>*</v>
      </c>
    </row>
    <row r="946" spans="1:4" x14ac:dyDescent="0.25">
      <c r="A946" s="2">
        <v>133845</v>
      </c>
      <c r="B946" s="4" t="s">
        <v>79</v>
      </c>
      <c r="C946" s="7">
        <v>14327</v>
      </c>
      <c r="D946" s="12" t="str">
        <f t="shared" si="14"/>
        <v>*</v>
      </c>
    </row>
    <row r="947" spans="1:4" x14ac:dyDescent="0.25">
      <c r="A947" s="2">
        <v>133846</v>
      </c>
      <c r="B947" s="4" t="s">
        <v>80</v>
      </c>
      <c r="C947" s="7">
        <v>13534</v>
      </c>
      <c r="D947" s="12" t="str">
        <f t="shared" si="14"/>
        <v>*</v>
      </c>
    </row>
    <row r="948" spans="1:4" x14ac:dyDescent="0.25">
      <c r="A948" s="2">
        <v>133847</v>
      </c>
      <c r="B948" s="4" t="s">
        <v>81</v>
      </c>
      <c r="C948" s="7">
        <v>14726</v>
      </c>
      <c r="D948" s="12" t="str">
        <f t="shared" si="14"/>
        <v>*</v>
      </c>
    </row>
    <row r="949" spans="1:4" x14ac:dyDescent="0.25">
      <c r="A949" s="2">
        <v>133848</v>
      </c>
      <c r="B949" s="4" t="s">
        <v>82</v>
      </c>
      <c r="C949" s="7">
        <v>13776</v>
      </c>
      <c r="D949" s="12" t="str">
        <f t="shared" si="14"/>
        <v>*</v>
      </c>
    </row>
    <row r="950" spans="1:4" x14ac:dyDescent="0.25">
      <c r="A950" s="2">
        <v>133849</v>
      </c>
      <c r="B950" s="4" t="s">
        <v>95</v>
      </c>
      <c r="C950" s="7">
        <v>14529</v>
      </c>
      <c r="D950" s="12" t="str">
        <f t="shared" si="14"/>
        <v>*</v>
      </c>
    </row>
    <row r="951" spans="1:4" x14ac:dyDescent="0.25">
      <c r="A951" s="2">
        <v>133850</v>
      </c>
      <c r="B951" s="4" t="s">
        <v>83</v>
      </c>
      <c r="C951" s="7">
        <v>14596</v>
      </c>
      <c r="D951" s="12" t="str">
        <f t="shared" si="14"/>
        <v>*</v>
      </c>
    </row>
    <row r="952" spans="1:4" x14ac:dyDescent="0.25">
      <c r="A952" s="2">
        <v>133851</v>
      </c>
      <c r="B952" s="4" t="s">
        <v>68</v>
      </c>
      <c r="C952" s="7">
        <v>765</v>
      </c>
      <c r="D952" s="12" t="str">
        <f t="shared" si="14"/>
        <v>*</v>
      </c>
    </row>
    <row r="953" spans="1:4" x14ac:dyDescent="0.25">
      <c r="A953" s="2">
        <v>133950</v>
      </c>
      <c r="B953" s="4" t="s">
        <v>457</v>
      </c>
      <c r="C953" s="7">
        <v>12275</v>
      </c>
      <c r="D953" s="12" t="str">
        <f t="shared" si="14"/>
        <v>*</v>
      </c>
    </row>
    <row r="954" spans="1:4" x14ac:dyDescent="0.25">
      <c r="A954" s="2">
        <v>133953</v>
      </c>
      <c r="B954" s="4" t="s">
        <v>420</v>
      </c>
      <c r="C954" s="7">
        <v>16127</v>
      </c>
      <c r="D954" s="12" t="str">
        <f t="shared" si="14"/>
        <v>*</v>
      </c>
    </row>
    <row r="955" spans="1:4" x14ac:dyDescent="0.25">
      <c r="A955" s="2">
        <v>133954</v>
      </c>
      <c r="B955" s="4" t="s">
        <v>478</v>
      </c>
      <c r="C955" s="7">
        <v>13857</v>
      </c>
      <c r="D955" s="12" t="str">
        <f t="shared" si="14"/>
        <v>*</v>
      </c>
    </row>
    <row r="956" spans="1:4" x14ac:dyDescent="0.25">
      <c r="A956" s="2">
        <v>133955</v>
      </c>
      <c r="B956" s="4" t="s">
        <v>421</v>
      </c>
      <c r="C956" s="7">
        <v>9510</v>
      </c>
      <c r="D956" s="12" t="str">
        <f t="shared" si="14"/>
        <v>*</v>
      </c>
    </row>
    <row r="957" spans="1:4" x14ac:dyDescent="0.25">
      <c r="A957" s="2">
        <v>133956</v>
      </c>
      <c r="B957" s="4" t="s">
        <v>434</v>
      </c>
      <c r="C957" s="7">
        <v>14199</v>
      </c>
      <c r="D957" s="12" t="str">
        <f t="shared" si="14"/>
        <v>*</v>
      </c>
    </row>
    <row r="958" spans="1:4" x14ac:dyDescent="0.25">
      <c r="A958" s="2">
        <v>133957</v>
      </c>
      <c r="B958" s="4" t="s">
        <v>435</v>
      </c>
      <c r="C958" s="7">
        <v>3329</v>
      </c>
      <c r="D958" s="12" t="str">
        <f t="shared" si="14"/>
        <v>*</v>
      </c>
    </row>
    <row r="959" spans="1:4" x14ac:dyDescent="0.25">
      <c r="A959" s="2">
        <v>134045</v>
      </c>
      <c r="B959" s="4" t="s">
        <v>330</v>
      </c>
      <c r="C959" s="7">
        <v>49</v>
      </c>
      <c r="D959" s="12" t="str">
        <f t="shared" si="14"/>
        <v>*</v>
      </c>
    </row>
    <row r="960" spans="1:4" x14ac:dyDescent="0.25">
      <c r="A960" s="2">
        <v>134246</v>
      </c>
      <c r="B960" s="4" t="s">
        <v>389</v>
      </c>
      <c r="C960" s="7">
        <v>185</v>
      </c>
      <c r="D960" s="12" t="str">
        <f t="shared" si="14"/>
        <v>*</v>
      </c>
    </row>
    <row r="961" spans="1:4" x14ac:dyDescent="0.25">
      <c r="A961" s="2">
        <v>134247</v>
      </c>
      <c r="B961" s="4" t="s">
        <v>273</v>
      </c>
      <c r="C961" s="7">
        <v>115</v>
      </c>
      <c r="D961" s="12" t="str">
        <f t="shared" si="14"/>
        <v>*</v>
      </c>
    </row>
    <row r="962" spans="1:4" x14ac:dyDescent="0.25">
      <c r="A962" s="2">
        <v>134373</v>
      </c>
      <c r="B962" s="4" t="s">
        <v>207</v>
      </c>
      <c r="C962" s="7">
        <v>26288</v>
      </c>
      <c r="D962" s="12" t="str">
        <f t="shared" si="14"/>
        <v>*</v>
      </c>
    </row>
    <row r="963" spans="1:4" x14ac:dyDescent="0.25">
      <c r="A963" s="2">
        <v>134542</v>
      </c>
      <c r="B963" s="4" t="s">
        <v>244</v>
      </c>
      <c r="C963" s="7">
        <v>0</v>
      </c>
      <c r="D963" s="12" t="str">
        <f t="shared" si="14"/>
        <v>*</v>
      </c>
    </row>
    <row r="964" spans="1:4" x14ac:dyDescent="0.25">
      <c r="A964" s="2">
        <v>134543</v>
      </c>
      <c r="B964" s="4" t="s">
        <v>245</v>
      </c>
      <c r="C964" s="7">
        <v>32</v>
      </c>
      <c r="D964" s="12" t="str">
        <f t="shared" ref="D964:D1012" si="15">IF($D$3="FIM","*","")</f>
        <v>*</v>
      </c>
    </row>
    <row r="965" spans="1:4" x14ac:dyDescent="0.25">
      <c r="A965" s="2">
        <v>134544</v>
      </c>
      <c r="B965" s="4" t="s">
        <v>246</v>
      </c>
      <c r="C965" s="7">
        <v>496</v>
      </c>
      <c r="D965" s="12" t="str">
        <f t="shared" si="15"/>
        <v>*</v>
      </c>
    </row>
    <row r="966" spans="1:4" x14ac:dyDescent="0.25">
      <c r="A966" s="2">
        <v>134545</v>
      </c>
      <c r="B966" s="4" t="s">
        <v>240</v>
      </c>
      <c r="C966" s="7">
        <v>49</v>
      </c>
      <c r="D966" s="12" t="str">
        <f t="shared" si="15"/>
        <v>*</v>
      </c>
    </row>
    <row r="967" spans="1:4" x14ac:dyDescent="0.25">
      <c r="A967" s="2">
        <v>134546</v>
      </c>
      <c r="B967" s="4" t="s">
        <v>241</v>
      </c>
      <c r="C967" s="7">
        <v>300</v>
      </c>
      <c r="D967" s="12" t="str">
        <f t="shared" si="15"/>
        <v>*</v>
      </c>
    </row>
    <row r="968" spans="1:4" x14ac:dyDescent="0.25">
      <c r="A968" s="2">
        <v>134547</v>
      </c>
      <c r="B968" s="4" t="s">
        <v>242</v>
      </c>
      <c r="C968" s="7">
        <v>130</v>
      </c>
      <c r="D968" s="12" t="str">
        <f t="shared" si="15"/>
        <v>*</v>
      </c>
    </row>
    <row r="969" spans="1:4" x14ac:dyDescent="0.25">
      <c r="A969" s="2">
        <v>134548</v>
      </c>
      <c r="B969" s="4" t="s">
        <v>243</v>
      </c>
      <c r="C969" s="7">
        <v>515</v>
      </c>
      <c r="D969" s="12" t="str">
        <f t="shared" si="15"/>
        <v>*</v>
      </c>
    </row>
    <row r="970" spans="1:4" x14ac:dyDescent="0.25">
      <c r="A970" s="2">
        <v>134556</v>
      </c>
      <c r="B970" s="4" t="s">
        <v>392</v>
      </c>
      <c r="C970" s="7">
        <v>0</v>
      </c>
      <c r="D970" s="12" t="str">
        <f t="shared" si="15"/>
        <v>*</v>
      </c>
    </row>
    <row r="971" spans="1:4" x14ac:dyDescent="0.25">
      <c r="A971" s="2">
        <v>134558</v>
      </c>
      <c r="B971" s="4" t="s">
        <v>901</v>
      </c>
      <c r="C971" s="7">
        <v>0</v>
      </c>
      <c r="D971" s="12" t="str">
        <f t="shared" si="15"/>
        <v>*</v>
      </c>
    </row>
    <row r="972" spans="1:4" x14ac:dyDescent="0.25">
      <c r="A972" s="2">
        <v>134559</v>
      </c>
      <c r="B972" s="4" t="s">
        <v>902</v>
      </c>
      <c r="C972" s="7">
        <v>0</v>
      </c>
      <c r="D972" s="12" t="str">
        <f t="shared" si="15"/>
        <v>*</v>
      </c>
    </row>
    <row r="973" spans="1:4" x14ac:dyDescent="0.25">
      <c r="A973" s="2">
        <v>134560</v>
      </c>
      <c r="B973" s="4" t="s">
        <v>905</v>
      </c>
      <c r="C973" s="7">
        <v>120</v>
      </c>
      <c r="D973" s="12" t="str">
        <f t="shared" si="15"/>
        <v>*</v>
      </c>
    </row>
    <row r="974" spans="1:4" x14ac:dyDescent="0.25">
      <c r="A974" s="2">
        <v>134561</v>
      </c>
      <c r="B974" s="4" t="s">
        <v>828</v>
      </c>
      <c r="C974" s="7">
        <v>0</v>
      </c>
      <c r="D974" s="12" t="str">
        <f t="shared" si="15"/>
        <v>*</v>
      </c>
    </row>
    <row r="975" spans="1:4" x14ac:dyDescent="0.25">
      <c r="A975" s="2">
        <v>134562</v>
      </c>
      <c r="B975" s="4" t="s">
        <v>829</v>
      </c>
      <c r="C975" s="7">
        <v>0</v>
      </c>
      <c r="D975" s="12" t="str">
        <f t="shared" si="15"/>
        <v>*</v>
      </c>
    </row>
    <row r="976" spans="1:4" x14ac:dyDescent="0.25">
      <c r="A976" s="2">
        <v>134563</v>
      </c>
      <c r="B976" s="4" t="s">
        <v>830</v>
      </c>
      <c r="C976" s="7">
        <v>0</v>
      </c>
      <c r="D976" s="12" t="str">
        <f t="shared" si="15"/>
        <v>*</v>
      </c>
    </row>
    <row r="977" spans="1:4" x14ac:dyDescent="0.25">
      <c r="A977" s="2">
        <v>134564</v>
      </c>
      <c r="B977" s="4" t="s">
        <v>831</v>
      </c>
      <c r="C977" s="7">
        <v>0</v>
      </c>
      <c r="D977" s="12" t="str">
        <f t="shared" si="15"/>
        <v>*</v>
      </c>
    </row>
    <row r="978" spans="1:4" x14ac:dyDescent="0.25">
      <c r="A978" s="2">
        <v>134565</v>
      </c>
      <c r="B978" s="4" t="s">
        <v>832</v>
      </c>
      <c r="C978" s="7">
        <v>1</v>
      </c>
      <c r="D978" s="12" t="str">
        <f t="shared" si="15"/>
        <v>*</v>
      </c>
    </row>
    <row r="979" spans="1:4" x14ac:dyDescent="0.25">
      <c r="A979" s="2">
        <v>134566</v>
      </c>
      <c r="B979" s="4" t="s">
        <v>873</v>
      </c>
      <c r="C979" s="7">
        <v>120</v>
      </c>
      <c r="D979" s="12" t="str">
        <f t="shared" si="15"/>
        <v>*</v>
      </c>
    </row>
    <row r="980" spans="1:4" x14ac:dyDescent="0.25">
      <c r="A980" s="2">
        <v>134567</v>
      </c>
      <c r="B980" s="4" t="s">
        <v>859</v>
      </c>
      <c r="C980" s="7">
        <v>40</v>
      </c>
      <c r="D980" s="12" t="str">
        <f t="shared" si="15"/>
        <v>*</v>
      </c>
    </row>
    <row r="981" spans="1:4" x14ac:dyDescent="0.25">
      <c r="A981" s="2">
        <v>134568</v>
      </c>
      <c r="B981" s="4" t="s">
        <v>860</v>
      </c>
      <c r="C981" s="7">
        <v>0</v>
      </c>
      <c r="D981" s="12" t="str">
        <f t="shared" si="15"/>
        <v>*</v>
      </c>
    </row>
    <row r="982" spans="1:4" x14ac:dyDescent="0.25">
      <c r="A982" s="2">
        <v>134569</v>
      </c>
      <c r="B982" s="4" t="s">
        <v>973</v>
      </c>
      <c r="C982" s="7">
        <v>0</v>
      </c>
      <c r="D982" s="12" t="str">
        <f t="shared" si="15"/>
        <v>*</v>
      </c>
    </row>
    <row r="983" spans="1:4" x14ac:dyDescent="0.25">
      <c r="A983" s="2">
        <v>134581</v>
      </c>
      <c r="B983" s="4" t="s">
        <v>315</v>
      </c>
      <c r="C983" s="7">
        <v>7</v>
      </c>
      <c r="D983" s="12" t="str">
        <f t="shared" si="15"/>
        <v>*</v>
      </c>
    </row>
    <row r="984" spans="1:4" x14ac:dyDescent="0.25">
      <c r="A984" s="2">
        <v>134582</v>
      </c>
      <c r="B984" s="4" t="s">
        <v>316</v>
      </c>
      <c r="C984" s="7">
        <v>70</v>
      </c>
      <c r="D984" s="12" t="str">
        <f t="shared" si="15"/>
        <v>*</v>
      </c>
    </row>
    <row r="985" spans="1:4" x14ac:dyDescent="0.25">
      <c r="A985" s="2">
        <v>135224</v>
      </c>
      <c r="B985" s="4" t="s">
        <v>229</v>
      </c>
      <c r="C985" s="7">
        <v>33</v>
      </c>
      <c r="D985" s="12" t="str">
        <f t="shared" si="15"/>
        <v>*</v>
      </c>
    </row>
    <row r="986" spans="1:4" x14ac:dyDescent="0.25">
      <c r="A986" s="2">
        <v>135225</v>
      </c>
      <c r="B986" s="4" t="s">
        <v>237</v>
      </c>
      <c r="C986" s="7">
        <v>6</v>
      </c>
      <c r="D986" s="12" t="str">
        <f t="shared" si="15"/>
        <v>*</v>
      </c>
    </row>
    <row r="987" spans="1:4" x14ac:dyDescent="0.25">
      <c r="A987" s="2">
        <v>135226</v>
      </c>
      <c r="B987" s="4" t="s">
        <v>236</v>
      </c>
      <c r="C987" s="7">
        <v>13</v>
      </c>
      <c r="D987" s="12" t="str">
        <f t="shared" si="15"/>
        <v>*</v>
      </c>
    </row>
    <row r="988" spans="1:4" x14ac:dyDescent="0.25">
      <c r="A988" s="2">
        <v>135227</v>
      </c>
      <c r="B988" s="4" t="s">
        <v>238</v>
      </c>
      <c r="C988" s="7">
        <v>215</v>
      </c>
      <c r="D988" s="12" t="str">
        <f t="shared" si="15"/>
        <v>*</v>
      </c>
    </row>
    <row r="989" spans="1:4" x14ac:dyDescent="0.25">
      <c r="A989" s="2">
        <v>135238</v>
      </c>
      <c r="B989" s="4" t="s">
        <v>230</v>
      </c>
      <c r="C989" s="7">
        <v>572</v>
      </c>
      <c r="D989" s="12" t="str">
        <f t="shared" si="15"/>
        <v>*</v>
      </c>
    </row>
    <row r="990" spans="1:4" x14ac:dyDescent="0.25">
      <c r="A990" s="2">
        <v>135239</v>
      </c>
      <c r="B990" s="4" t="s">
        <v>231</v>
      </c>
      <c r="C990" s="7">
        <v>312</v>
      </c>
      <c r="D990" s="12" t="str">
        <f t="shared" si="15"/>
        <v>*</v>
      </c>
    </row>
    <row r="991" spans="1:4" x14ac:dyDescent="0.25">
      <c r="A991" s="2">
        <v>135297</v>
      </c>
      <c r="B991" s="4" t="s">
        <v>422</v>
      </c>
      <c r="C991" s="7">
        <v>2475</v>
      </c>
      <c r="D991" s="12" t="str">
        <f t="shared" si="15"/>
        <v>*</v>
      </c>
    </row>
    <row r="992" spans="1:4" x14ac:dyDescent="0.25">
      <c r="A992" s="2">
        <v>135299</v>
      </c>
      <c r="B992" s="4" t="s">
        <v>302</v>
      </c>
      <c r="C992" s="7">
        <v>4</v>
      </c>
      <c r="D992" s="12" t="str">
        <f t="shared" si="15"/>
        <v>*</v>
      </c>
    </row>
    <row r="993" spans="1:4" x14ac:dyDescent="0.25">
      <c r="A993" s="2">
        <v>135300</v>
      </c>
      <c r="B993" s="4" t="s">
        <v>294</v>
      </c>
      <c r="C993" s="7">
        <v>10</v>
      </c>
      <c r="D993" s="12" t="str">
        <f t="shared" si="15"/>
        <v>*</v>
      </c>
    </row>
    <row r="994" spans="1:4" x14ac:dyDescent="0.25">
      <c r="A994" s="2">
        <v>135301</v>
      </c>
      <c r="B994" s="4" t="s">
        <v>303</v>
      </c>
      <c r="C994" s="7">
        <v>88</v>
      </c>
      <c r="D994" s="12" t="str">
        <f t="shared" si="15"/>
        <v>*</v>
      </c>
    </row>
    <row r="995" spans="1:4" x14ac:dyDescent="0.25">
      <c r="A995" s="2">
        <v>135302</v>
      </c>
      <c r="B995" s="4" t="s">
        <v>304</v>
      </c>
      <c r="C995" s="7">
        <v>113</v>
      </c>
      <c r="D995" s="12" t="str">
        <f t="shared" si="15"/>
        <v>*</v>
      </c>
    </row>
    <row r="996" spans="1:4" x14ac:dyDescent="0.25">
      <c r="A996" s="2">
        <v>135303</v>
      </c>
      <c r="B996" s="4" t="s">
        <v>490</v>
      </c>
      <c r="C996" s="7">
        <v>30</v>
      </c>
      <c r="D996" s="12" t="str">
        <f t="shared" si="15"/>
        <v>*</v>
      </c>
    </row>
    <row r="997" spans="1:4" x14ac:dyDescent="0.25">
      <c r="A997" s="2">
        <v>135304</v>
      </c>
      <c r="B997" s="4" t="s">
        <v>295</v>
      </c>
      <c r="C997" s="7">
        <v>26</v>
      </c>
      <c r="D997" s="12" t="str">
        <f t="shared" si="15"/>
        <v>*</v>
      </c>
    </row>
    <row r="998" spans="1:4" x14ac:dyDescent="0.25">
      <c r="A998" s="2">
        <v>135414</v>
      </c>
      <c r="B998" s="4" t="s">
        <v>786</v>
      </c>
      <c r="C998" s="7">
        <v>9</v>
      </c>
      <c r="D998" s="12" t="str">
        <f t="shared" si="15"/>
        <v>*</v>
      </c>
    </row>
    <row r="999" spans="1:4" x14ac:dyDescent="0.25">
      <c r="A999" s="2">
        <v>135699</v>
      </c>
      <c r="B999" s="4" t="s">
        <v>417</v>
      </c>
      <c r="C999" s="7">
        <v>1</v>
      </c>
      <c r="D999" s="12" t="str">
        <f t="shared" si="15"/>
        <v>*</v>
      </c>
    </row>
    <row r="1000" spans="1:4" x14ac:dyDescent="0.25">
      <c r="A1000" s="2">
        <v>135700</v>
      </c>
      <c r="B1000" s="4" t="s">
        <v>423</v>
      </c>
      <c r="C1000" s="7">
        <v>16442</v>
      </c>
      <c r="D1000" s="12" t="str">
        <f t="shared" si="15"/>
        <v>*</v>
      </c>
    </row>
    <row r="1001" spans="1:4" x14ac:dyDescent="0.25">
      <c r="A1001" s="2">
        <v>135701</v>
      </c>
      <c r="B1001" s="4" t="s">
        <v>1317</v>
      </c>
      <c r="C1001" s="7">
        <v>0</v>
      </c>
      <c r="D1001" s="12" t="str">
        <f t="shared" si="15"/>
        <v>*</v>
      </c>
    </row>
    <row r="1002" spans="1:4" x14ac:dyDescent="0.25">
      <c r="A1002" s="2">
        <v>135704</v>
      </c>
      <c r="B1002" s="4" t="s">
        <v>1318</v>
      </c>
      <c r="C1002" s="7">
        <v>0</v>
      </c>
      <c r="D1002" s="12" t="str">
        <f t="shared" si="15"/>
        <v>*</v>
      </c>
    </row>
    <row r="1003" spans="1:4" x14ac:dyDescent="0.25">
      <c r="A1003" s="2">
        <v>135734</v>
      </c>
      <c r="B1003" s="4" t="s">
        <v>1322</v>
      </c>
      <c r="C1003" s="7">
        <v>200</v>
      </c>
      <c r="D1003" s="12" t="str">
        <f t="shared" si="15"/>
        <v>*</v>
      </c>
    </row>
    <row r="1004" spans="1:4" x14ac:dyDescent="0.25">
      <c r="A1004" s="2">
        <v>136037</v>
      </c>
      <c r="B1004" s="4" t="s">
        <v>957</v>
      </c>
      <c r="C1004" s="7">
        <v>10</v>
      </c>
      <c r="D1004" s="12" t="str">
        <f t="shared" si="15"/>
        <v>*</v>
      </c>
    </row>
    <row r="1005" spans="1:4" x14ac:dyDescent="0.25">
      <c r="A1005" s="2">
        <v>136038</v>
      </c>
      <c r="B1005" s="4" t="s">
        <v>958</v>
      </c>
      <c r="C1005" s="7">
        <v>20</v>
      </c>
      <c r="D1005" s="12" t="str">
        <f t="shared" si="15"/>
        <v>*</v>
      </c>
    </row>
    <row r="1006" spans="1:4" x14ac:dyDescent="0.25">
      <c r="A1006" s="2">
        <v>136039</v>
      </c>
      <c r="B1006" s="4" t="s">
        <v>959</v>
      </c>
      <c r="C1006" s="7">
        <v>1</v>
      </c>
      <c r="D1006" s="12" t="str">
        <f t="shared" si="15"/>
        <v>*</v>
      </c>
    </row>
    <row r="1007" spans="1:4" x14ac:dyDescent="0.25">
      <c r="A1007" s="2">
        <v>136040</v>
      </c>
      <c r="B1007" s="4" t="s">
        <v>960</v>
      </c>
      <c r="C1007" s="7">
        <v>1</v>
      </c>
      <c r="D1007" s="12" t="str">
        <f t="shared" si="15"/>
        <v>*</v>
      </c>
    </row>
    <row r="1008" spans="1:4" x14ac:dyDescent="0.25">
      <c r="A1008" s="2">
        <v>136082</v>
      </c>
      <c r="B1008" s="4" t="s">
        <v>679</v>
      </c>
      <c r="C1008" s="7">
        <v>41</v>
      </c>
      <c r="D1008" s="12" t="str">
        <f t="shared" si="15"/>
        <v>*</v>
      </c>
    </row>
    <row r="1009" spans="1:4" x14ac:dyDescent="0.25">
      <c r="A1009" s="2">
        <v>136083</v>
      </c>
      <c r="B1009" s="4" t="s">
        <v>680</v>
      </c>
      <c r="C1009" s="7">
        <v>40</v>
      </c>
      <c r="D1009" s="12" t="str">
        <f t="shared" si="15"/>
        <v>*</v>
      </c>
    </row>
    <row r="1010" spans="1:4" x14ac:dyDescent="0.25">
      <c r="A1010" s="2">
        <v>136273</v>
      </c>
      <c r="B1010" s="4" t="s">
        <v>1321</v>
      </c>
      <c r="C1010" s="7">
        <v>0</v>
      </c>
      <c r="D1010" s="12" t="str">
        <f t="shared" si="15"/>
        <v>*</v>
      </c>
    </row>
    <row r="1011" spans="1:4" x14ac:dyDescent="0.25">
      <c r="A1011" s="2">
        <v>136408</v>
      </c>
      <c r="B1011" s="4" t="s">
        <v>1319</v>
      </c>
      <c r="C1011" s="7">
        <v>0</v>
      </c>
      <c r="D1011" s="12" t="str">
        <f t="shared" si="15"/>
        <v>*</v>
      </c>
    </row>
    <row r="1012" spans="1:4" x14ac:dyDescent="0.25">
      <c r="A1012" s="2">
        <v>136556</v>
      </c>
      <c r="B1012" s="4" t="s">
        <v>1320</v>
      </c>
      <c r="C1012" s="7">
        <v>0</v>
      </c>
      <c r="D1012" s="12" t="str">
        <f t="shared" si="15"/>
        <v>*</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5"/>
  <dimension ref="A1:H296"/>
  <sheetViews>
    <sheetView workbookViewId="0">
      <selection activeCell="B10" sqref="B10"/>
    </sheetView>
  </sheetViews>
  <sheetFormatPr defaultRowHeight="15" x14ac:dyDescent="0.25"/>
  <cols>
    <col min="1" max="1" width="9.5703125" style="2" bestFit="1" customWidth="1"/>
    <col min="2" max="2" width="150.7109375" style="21" customWidth="1"/>
    <col min="3" max="3" width="3.85546875" style="12" bestFit="1" customWidth="1"/>
    <col min="4" max="4" width="8.85546875" style="22" bestFit="1" customWidth="1"/>
    <col min="5" max="5" width="8.42578125" style="22" bestFit="1" customWidth="1"/>
    <col min="6" max="6" width="7.85546875" style="2" bestFit="1" customWidth="1"/>
    <col min="7" max="7" width="22.7109375" style="21" bestFit="1" customWidth="1"/>
    <col min="8" max="8" width="8.85546875" bestFit="1" customWidth="1"/>
    <col min="9" max="26" width="26.42578125" customWidth="1"/>
  </cols>
  <sheetData>
    <row r="1" spans="1:8" ht="25.5" customHeight="1" x14ac:dyDescent="0.25">
      <c r="A1" s="55" t="s">
        <v>1015</v>
      </c>
      <c r="B1" s="56"/>
      <c r="C1" s="56"/>
      <c r="D1" s="56"/>
      <c r="E1" s="56"/>
      <c r="F1" s="56"/>
      <c r="G1" s="56"/>
      <c r="H1" s="56"/>
    </row>
    <row r="2" spans="1:8" ht="20.25" customHeight="1" x14ac:dyDescent="0.25">
      <c r="A2" s="14"/>
      <c r="B2" s="15"/>
      <c r="C2" s="16"/>
      <c r="D2" s="17"/>
      <c r="E2" s="17"/>
      <c r="F2" s="14"/>
      <c r="G2" s="18"/>
    </row>
    <row r="3" spans="1:8" x14ac:dyDescent="0.25">
      <c r="A3" s="31" t="s">
        <v>0</v>
      </c>
      <c r="B3" s="32" t="s">
        <v>1</v>
      </c>
      <c r="C3" s="33" t="s">
        <v>1016</v>
      </c>
      <c r="D3" s="34" t="s">
        <v>1017</v>
      </c>
      <c r="E3" s="34" t="s">
        <v>1018</v>
      </c>
      <c r="F3" s="31" t="s">
        <v>1019</v>
      </c>
      <c r="G3" s="32" t="s">
        <v>1020</v>
      </c>
      <c r="H3" s="35" t="s">
        <v>1331</v>
      </c>
    </row>
    <row r="4" spans="1:8" x14ac:dyDescent="0.25">
      <c r="A4" s="1">
        <v>10870</v>
      </c>
      <c r="B4" s="19" t="s">
        <v>924</v>
      </c>
      <c r="C4" s="10" t="s">
        <v>1193</v>
      </c>
      <c r="D4" s="20"/>
      <c r="E4" s="20"/>
      <c r="F4" s="1"/>
      <c r="G4" s="19"/>
      <c r="H4" s="1"/>
    </row>
    <row r="5" spans="1:8" x14ac:dyDescent="0.25">
      <c r="A5" s="1">
        <v>11882</v>
      </c>
      <c r="B5" s="19" t="s">
        <v>1021</v>
      </c>
      <c r="C5" s="10" t="s">
        <v>1022</v>
      </c>
      <c r="D5" s="20">
        <v>80</v>
      </c>
      <c r="E5" s="20">
        <v>1</v>
      </c>
      <c r="F5" s="1">
        <v>200</v>
      </c>
      <c r="G5" s="19" t="s">
        <v>1023</v>
      </c>
      <c r="H5" s="1"/>
    </row>
    <row r="6" spans="1:8" x14ac:dyDescent="0.25">
      <c r="A6" s="1">
        <v>11956</v>
      </c>
      <c r="B6" s="19" t="s">
        <v>1024</v>
      </c>
      <c r="C6" s="10" t="s">
        <v>1022</v>
      </c>
      <c r="D6" s="20">
        <v>80</v>
      </c>
      <c r="E6" s="20">
        <v>1</v>
      </c>
      <c r="F6" s="1">
        <v>100</v>
      </c>
      <c r="G6" s="19" t="s">
        <v>1023</v>
      </c>
      <c r="H6" s="1"/>
    </row>
    <row r="7" spans="1:8" x14ac:dyDescent="0.25">
      <c r="A7" s="1">
        <v>11980</v>
      </c>
      <c r="B7" s="19" t="s">
        <v>437</v>
      </c>
      <c r="C7" s="10"/>
      <c r="D7" s="20"/>
      <c r="E7" s="20"/>
      <c r="F7" s="1"/>
      <c r="G7" s="19"/>
      <c r="H7" s="1"/>
    </row>
    <row r="8" spans="1:8" x14ac:dyDescent="0.25">
      <c r="A8" s="1">
        <v>12020</v>
      </c>
      <c r="B8" s="19" t="s">
        <v>1025</v>
      </c>
      <c r="C8" s="10" t="s">
        <v>1026</v>
      </c>
      <c r="D8" s="20">
        <v>80</v>
      </c>
      <c r="E8" s="20">
        <v>1</v>
      </c>
      <c r="F8" s="1">
        <v>150</v>
      </c>
      <c r="G8" s="19" t="s">
        <v>1023</v>
      </c>
      <c r="H8" s="1"/>
    </row>
    <row r="9" spans="1:8" x14ac:dyDescent="0.25">
      <c r="A9" s="1">
        <v>12657</v>
      </c>
      <c r="B9" s="19" t="s">
        <v>199</v>
      </c>
      <c r="C9" s="10" t="s">
        <v>1193</v>
      </c>
      <c r="D9" s="20">
        <v>81</v>
      </c>
      <c r="E9" s="20">
        <v>9</v>
      </c>
      <c r="F9" s="1"/>
      <c r="G9" s="19" t="s">
        <v>1028</v>
      </c>
      <c r="H9" s="1"/>
    </row>
    <row r="10" spans="1:8" x14ac:dyDescent="0.25">
      <c r="A10" s="1">
        <v>12708</v>
      </c>
      <c r="B10" s="19" t="s">
        <v>1314</v>
      </c>
      <c r="C10" s="10"/>
      <c r="D10" s="20"/>
      <c r="E10" s="20"/>
      <c r="F10" s="1"/>
      <c r="G10" s="19"/>
      <c r="H10" s="1"/>
    </row>
    <row r="11" spans="1:8" x14ac:dyDescent="0.25">
      <c r="A11" s="1">
        <v>12720</v>
      </c>
      <c r="B11" s="19" t="s">
        <v>1027</v>
      </c>
      <c r="C11" s="10" t="s">
        <v>1026</v>
      </c>
      <c r="D11" s="20">
        <v>72</v>
      </c>
      <c r="E11" s="20">
        <v>6</v>
      </c>
      <c r="F11" s="1">
        <v>31</v>
      </c>
      <c r="G11" s="19" t="s">
        <v>1028</v>
      </c>
      <c r="H11" s="1"/>
    </row>
    <row r="12" spans="1:8" x14ac:dyDescent="0.25">
      <c r="A12" s="1">
        <v>12851</v>
      </c>
      <c r="B12" s="19" t="s">
        <v>512</v>
      </c>
      <c r="C12" s="10" t="s">
        <v>1026</v>
      </c>
      <c r="D12" s="20">
        <v>51</v>
      </c>
      <c r="E12" s="20">
        <v>12</v>
      </c>
      <c r="F12" s="1"/>
      <c r="G12" s="19"/>
      <c r="H12" s="1"/>
    </row>
    <row r="13" spans="1:8" x14ac:dyDescent="0.25">
      <c r="A13" s="1">
        <v>12888</v>
      </c>
      <c r="B13" s="19" t="s">
        <v>1029</v>
      </c>
      <c r="C13" s="10" t="s">
        <v>1026</v>
      </c>
      <c r="D13" s="20">
        <v>61</v>
      </c>
      <c r="E13" s="20">
        <v>8</v>
      </c>
      <c r="F13" s="1">
        <v>55</v>
      </c>
      <c r="G13" s="19" t="s">
        <v>1030</v>
      </c>
      <c r="H13" s="1"/>
    </row>
    <row r="14" spans="1:8" x14ac:dyDescent="0.25">
      <c r="A14" s="1">
        <v>12915</v>
      </c>
      <c r="B14" s="19" t="s">
        <v>1031</v>
      </c>
      <c r="C14" s="10" t="s">
        <v>1032</v>
      </c>
      <c r="D14" s="20">
        <v>76</v>
      </c>
      <c r="E14" s="20">
        <v>5</v>
      </c>
      <c r="F14" s="1">
        <v>0</v>
      </c>
      <c r="G14" s="19" t="s">
        <v>1033</v>
      </c>
      <c r="H14" s="1"/>
    </row>
    <row r="15" spans="1:8" x14ac:dyDescent="0.25">
      <c r="A15" s="1">
        <v>12934</v>
      </c>
      <c r="B15" s="19" t="s">
        <v>1034</v>
      </c>
      <c r="C15" s="10" t="s">
        <v>1026</v>
      </c>
      <c r="D15" s="20">
        <v>70</v>
      </c>
      <c r="E15" s="20">
        <v>30</v>
      </c>
      <c r="F15" s="1">
        <v>0</v>
      </c>
      <c r="G15" s="19" t="s">
        <v>1035</v>
      </c>
      <c r="H15" s="1"/>
    </row>
    <row r="16" spans="1:8" x14ac:dyDescent="0.25">
      <c r="A16" s="1">
        <v>12937</v>
      </c>
      <c r="B16" s="19" t="s">
        <v>1036</v>
      </c>
      <c r="C16" s="10" t="s">
        <v>1026</v>
      </c>
      <c r="D16" s="20">
        <v>55</v>
      </c>
      <c r="E16" s="20">
        <v>26</v>
      </c>
      <c r="F16" s="1">
        <v>33</v>
      </c>
      <c r="G16" s="19" t="s">
        <v>1037</v>
      </c>
      <c r="H16" s="1"/>
    </row>
    <row r="17" spans="1:8" x14ac:dyDescent="0.25">
      <c r="A17" s="1">
        <v>12938</v>
      </c>
      <c r="B17" s="19" t="s">
        <v>1038</v>
      </c>
      <c r="C17" s="10" t="s">
        <v>1026</v>
      </c>
      <c r="D17" s="20">
        <v>55</v>
      </c>
      <c r="E17" s="20">
        <v>26</v>
      </c>
      <c r="F17" s="1">
        <v>88</v>
      </c>
      <c r="G17" s="19" t="s">
        <v>1037</v>
      </c>
      <c r="H17" s="1"/>
    </row>
    <row r="18" spans="1:8" x14ac:dyDescent="0.25">
      <c r="A18" s="1">
        <v>12944</v>
      </c>
      <c r="B18" s="19" t="s">
        <v>1039</v>
      </c>
      <c r="C18" s="10" t="s">
        <v>1026</v>
      </c>
      <c r="D18" s="20">
        <v>61</v>
      </c>
      <c r="E18" s="20">
        <v>8</v>
      </c>
      <c r="F18" s="1">
        <v>546</v>
      </c>
      <c r="G18" s="19" t="s">
        <v>1030</v>
      </c>
      <c r="H18" s="1"/>
    </row>
    <row r="19" spans="1:8" x14ac:dyDescent="0.25">
      <c r="A19" s="1">
        <v>12953</v>
      </c>
      <c r="B19" s="19" t="s">
        <v>1040</v>
      </c>
      <c r="C19" s="10" t="s">
        <v>1026</v>
      </c>
      <c r="D19" s="20">
        <v>61</v>
      </c>
      <c r="E19" s="20">
        <v>8</v>
      </c>
      <c r="F19" s="1">
        <v>381</v>
      </c>
      <c r="G19" s="19" t="s">
        <v>1030</v>
      </c>
      <c r="H19" s="1"/>
    </row>
    <row r="20" spans="1:8" x14ac:dyDescent="0.25">
      <c r="A20" s="1">
        <v>12961</v>
      </c>
      <c r="B20" s="19" t="s">
        <v>1041</v>
      </c>
      <c r="C20" s="10" t="s">
        <v>1026</v>
      </c>
      <c r="D20" s="20">
        <v>61</v>
      </c>
      <c r="E20" s="20">
        <v>8</v>
      </c>
      <c r="F20" s="1">
        <v>200</v>
      </c>
      <c r="G20" s="19" t="s">
        <v>1030</v>
      </c>
      <c r="H20" s="1"/>
    </row>
    <row r="21" spans="1:8" x14ac:dyDescent="0.25">
      <c r="A21" s="1">
        <v>12964</v>
      </c>
      <c r="B21" s="19" t="s">
        <v>1042</v>
      </c>
      <c r="C21" s="10" t="s">
        <v>1026</v>
      </c>
      <c r="D21" s="20">
        <v>61</v>
      </c>
      <c r="E21" s="20">
        <v>8</v>
      </c>
      <c r="F21" s="1">
        <v>116</v>
      </c>
      <c r="G21" s="19" t="s">
        <v>1030</v>
      </c>
      <c r="H21" s="1"/>
    </row>
    <row r="22" spans="1:8" x14ac:dyDescent="0.25">
      <c r="A22" s="1">
        <v>13007</v>
      </c>
      <c r="B22" s="19" t="s">
        <v>1043</v>
      </c>
      <c r="C22" s="10" t="s">
        <v>1022</v>
      </c>
      <c r="D22" s="20">
        <v>55</v>
      </c>
      <c r="E22" s="20">
        <v>32</v>
      </c>
      <c r="F22" s="1">
        <v>340</v>
      </c>
      <c r="G22" s="19" t="s">
        <v>1037</v>
      </c>
      <c r="H22" s="1"/>
    </row>
    <row r="23" spans="1:8" x14ac:dyDescent="0.25">
      <c r="A23" s="1">
        <v>13013</v>
      </c>
      <c r="B23" s="19" t="s">
        <v>1044</v>
      </c>
      <c r="C23" s="10" t="s">
        <v>1026</v>
      </c>
      <c r="D23" s="20">
        <v>55</v>
      </c>
      <c r="E23" s="20">
        <v>49</v>
      </c>
      <c r="F23" s="1">
        <v>192</v>
      </c>
      <c r="G23" s="19" t="s">
        <v>1037</v>
      </c>
      <c r="H23" s="1"/>
    </row>
    <row r="24" spans="1:8" x14ac:dyDescent="0.25">
      <c r="A24" s="1">
        <v>13019</v>
      </c>
      <c r="B24" s="19" t="s">
        <v>1332</v>
      </c>
      <c r="C24" s="10"/>
      <c r="D24" s="20"/>
      <c r="E24" s="20"/>
      <c r="F24" s="1"/>
      <c r="G24" s="19"/>
      <c r="H24" s="1"/>
    </row>
    <row r="25" spans="1:8" x14ac:dyDescent="0.25">
      <c r="A25" s="1">
        <v>13070</v>
      </c>
      <c r="B25" s="19" t="s">
        <v>1045</v>
      </c>
      <c r="C25" s="10" t="s">
        <v>1026</v>
      </c>
      <c r="D25" s="20">
        <v>61</v>
      </c>
      <c r="E25" s="20">
        <v>8</v>
      </c>
      <c r="F25" s="1">
        <v>28</v>
      </c>
      <c r="G25" s="19" t="s">
        <v>1030</v>
      </c>
      <c r="H25" s="1"/>
    </row>
    <row r="26" spans="1:8" x14ac:dyDescent="0.25">
      <c r="A26" s="1">
        <v>13076</v>
      </c>
      <c r="B26" s="19" t="s">
        <v>1046</v>
      </c>
      <c r="C26" s="10" t="s">
        <v>1047</v>
      </c>
      <c r="D26" s="20">
        <v>67</v>
      </c>
      <c r="E26" s="20">
        <v>6</v>
      </c>
      <c r="F26" s="1">
        <v>102.5</v>
      </c>
      <c r="G26" s="19" t="s">
        <v>1023</v>
      </c>
      <c r="H26" s="1"/>
    </row>
    <row r="27" spans="1:8" x14ac:dyDescent="0.25">
      <c r="A27" s="1">
        <v>13077</v>
      </c>
      <c r="B27" s="19" t="s">
        <v>1048</v>
      </c>
      <c r="C27" s="10" t="s">
        <v>1047</v>
      </c>
      <c r="D27" s="20">
        <v>67</v>
      </c>
      <c r="E27" s="20">
        <v>6</v>
      </c>
      <c r="F27" s="1">
        <v>6</v>
      </c>
      <c r="G27" s="19" t="s">
        <v>1049</v>
      </c>
      <c r="H27" s="1"/>
    </row>
    <row r="28" spans="1:8" x14ac:dyDescent="0.25">
      <c r="A28" s="1">
        <v>13078</v>
      </c>
      <c r="B28" s="19" t="s">
        <v>1050</v>
      </c>
      <c r="C28" s="10" t="s">
        <v>1026</v>
      </c>
      <c r="D28" s="20">
        <v>61</v>
      </c>
      <c r="E28" s="20">
        <v>8</v>
      </c>
      <c r="F28" s="1">
        <v>321</v>
      </c>
      <c r="G28" s="19" t="s">
        <v>1030</v>
      </c>
      <c r="H28" s="1"/>
    </row>
    <row r="29" spans="1:8" x14ac:dyDescent="0.25">
      <c r="A29" s="1">
        <v>13096</v>
      </c>
      <c r="B29" s="19" t="s">
        <v>1051</v>
      </c>
      <c r="C29" s="10" t="s">
        <v>1026</v>
      </c>
      <c r="D29" s="20">
        <v>51</v>
      </c>
      <c r="E29" s="20">
        <v>36</v>
      </c>
      <c r="F29" s="1">
        <v>19</v>
      </c>
      <c r="G29" s="19" t="s">
        <v>1023</v>
      </c>
      <c r="H29" s="1"/>
    </row>
    <row r="30" spans="1:8" x14ac:dyDescent="0.25">
      <c r="A30" s="1">
        <v>13100</v>
      </c>
      <c r="B30" s="19" t="s">
        <v>1052</v>
      </c>
      <c r="C30" s="10" t="s">
        <v>1026</v>
      </c>
      <c r="D30" s="20">
        <v>61</v>
      </c>
      <c r="E30" s="20">
        <v>8</v>
      </c>
      <c r="F30" s="1">
        <v>231</v>
      </c>
      <c r="G30" s="19" t="s">
        <v>1030</v>
      </c>
      <c r="H30" s="1"/>
    </row>
    <row r="31" spans="1:8" x14ac:dyDescent="0.25">
      <c r="A31" s="1">
        <v>13123</v>
      </c>
      <c r="B31" s="19" t="s">
        <v>1053</v>
      </c>
      <c r="C31" s="10" t="s">
        <v>1026</v>
      </c>
      <c r="D31" s="20">
        <v>61</v>
      </c>
      <c r="E31" s="20">
        <v>15</v>
      </c>
      <c r="F31" s="1">
        <v>5</v>
      </c>
      <c r="G31" s="19" t="s">
        <v>1030</v>
      </c>
      <c r="H31" s="1"/>
    </row>
    <row r="32" spans="1:8" x14ac:dyDescent="0.25">
      <c r="A32" s="1">
        <v>13125</v>
      </c>
      <c r="B32" s="19" t="s">
        <v>1054</v>
      </c>
      <c r="C32" s="10" t="s">
        <v>1026</v>
      </c>
      <c r="D32" s="20">
        <v>61</v>
      </c>
      <c r="E32" s="20">
        <v>15</v>
      </c>
      <c r="F32" s="1">
        <v>14</v>
      </c>
      <c r="G32" s="19" t="s">
        <v>1030</v>
      </c>
      <c r="H32" s="1"/>
    </row>
    <row r="33" spans="1:8" x14ac:dyDescent="0.25">
      <c r="A33" s="1">
        <v>13152</v>
      </c>
      <c r="B33" s="19" t="s">
        <v>1055</v>
      </c>
      <c r="C33" s="10" t="s">
        <v>1026</v>
      </c>
      <c r="D33" s="20">
        <v>61</v>
      </c>
      <c r="E33" s="20">
        <v>14</v>
      </c>
      <c r="F33" s="1">
        <v>18</v>
      </c>
      <c r="G33" s="19" t="s">
        <v>1030</v>
      </c>
      <c r="H33" s="1"/>
    </row>
    <row r="34" spans="1:8" x14ac:dyDescent="0.25">
      <c r="A34" s="1">
        <v>13179</v>
      </c>
      <c r="B34" s="19" t="s">
        <v>854</v>
      </c>
      <c r="C34" s="10" t="s">
        <v>1026</v>
      </c>
      <c r="D34" s="20">
        <v>67</v>
      </c>
      <c r="E34" s="20">
        <v>9</v>
      </c>
      <c r="F34" s="1"/>
      <c r="G34" s="19"/>
      <c r="H34" s="1"/>
    </row>
    <row r="35" spans="1:8" x14ac:dyDescent="0.25">
      <c r="A35" s="1">
        <v>13202</v>
      </c>
      <c r="B35" s="19" t="s">
        <v>1422</v>
      </c>
      <c r="C35" s="10"/>
      <c r="D35" s="20"/>
      <c r="E35" s="20"/>
      <c r="F35" s="1"/>
      <c r="G35" s="19"/>
      <c r="H35" s="1">
        <v>136556</v>
      </c>
    </row>
    <row r="36" spans="1:8" x14ac:dyDescent="0.25">
      <c r="A36" s="1">
        <v>14009</v>
      </c>
      <c r="B36" s="19" t="s">
        <v>1056</v>
      </c>
      <c r="C36" s="10" t="s">
        <v>1026</v>
      </c>
      <c r="D36" s="20">
        <v>55</v>
      </c>
      <c r="E36" s="20">
        <v>46</v>
      </c>
      <c r="F36" s="1">
        <v>357</v>
      </c>
      <c r="G36" s="19" t="s">
        <v>1037</v>
      </c>
      <c r="H36" s="1"/>
    </row>
    <row r="37" spans="1:8" x14ac:dyDescent="0.25">
      <c r="A37" s="1">
        <v>14010</v>
      </c>
      <c r="B37" s="19" t="s">
        <v>1057</v>
      </c>
      <c r="C37" s="10" t="s">
        <v>1026</v>
      </c>
      <c r="D37" s="20">
        <v>55</v>
      </c>
      <c r="E37" s="20">
        <v>46</v>
      </c>
      <c r="F37" s="1">
        <v>139</v>
      </c>
      <c r="G37" s="19" t="s">
        <v>1037</v>
      </c>
      <c r="H37" s="1"/>
    </row>
    <row r="38" spans="1:8" x14ac:dyDescent="0.25">
      <c r="A38" s="1">
        <v>14895</v>
      </c>
      <c r="B38" s="19" t="s">
        <v>1058</v>
      </c>
      <c r="C38" s="10" t="s">
        <v>1026</v>
      </c>
      <c r="D38" s="20">
        <v>55</v>
      </c>
      <c r="E38" s="20">
        <v>27</v>
      </c>
      <c r="F38" s="1">
        <v>200</v>
      </c>
      <c r="G38" s="19" t="s">
        <v>1037</v>
      </c>
      <c r="H38" s="1"/>
    </row>
    <row r="39" spans="1:8" x14ac:dyDescent="0.25">
      <c r="A39" s="1">
        <v>15128</v>
      </c>
      <c r="B39" s="19" t="s">
        <v>1059</v>
      </c>
      <c r="C39" s="10" t="s">
        <v>1060</v>
      </c>
      <c r="D39" s="20">
        <v>61</v>
      </c>
      <c r="E39" s="20">
        <v>2</v>
      </c>
      <c r="F39" s="1">
        <v>4</v>
      </c>
      <c r="G39" s="19" t="s">
        <v>1030</v>
      </c>
      <c r="H39" s="1"/>
    </row>
    <row r="40" spans="1:8" x14ac:dyDescent="0.25">
      <c r="A40" s="1">
        <v>15438</v>
      </c>
      <c r="B40" s="19" t="s">
        <v>1061</v>
      </c>
      <c r="C40" s="10" t="s">
        <v>1026</v>
      </c>
      <c r="D40" s="20">
        <v>51</v>
      </c>
      <c r="E40" s="20">
        <v>9</v>
      </c>
      <c r="F40" s="1">
        <v>47</v>
      </c>
      <c r="G40" s="19" t="s">
        <v>1049</v>
      </c>
      <c r="H40" s="1"/>
    </row>
    <row r="41" spans="1:8" x14ac:dyDescent="0.25">
      <c r="A41" s="1">
        <v>15530</v>
      </c>
      <c r="B41" s="19" t="s">
        <v>1062</v>
      </c>
      <c r="C41" s="10" t="s">
        <v>1063</v>
      </c>
      <c r="D41" s="20">
        <v>45</v>
      </c>
      <c r="E41" s="20">
        <v>13</v>
      </c>
      <c r="F41" s="1">
        <v>75051</v>
      </c>
      <c r="G41" s="19" t="s">
        <v>1064</v>
      </c>
      <c r="H41" s="1"/>
    </row>
    <row r="42" spans="1:8" x14ac:dyDescent="0.25">
      <c r="A42" s="1">
        <v>15804</v>
      </c>
      <c r="B42" s="19" t="s">
        <v>1065</v>
      </c>
      <c r="C42" s="10" t="s">
        <v>1026</v>
      </c>
      <c r="D42" s="20">
        <v>51</v>
      </c>
      <c r="E42" s="20">
        <v>17</v>
      </c>
      <c r="F42" s="1">
        <v>15981</v>
      </c>
      <c r="G42" s="19" t="s">
        <v>1023</v>
      </c>
      <c r="H42" s="1"/>
    </row>
    <row r="43" spans="1:8" x14ac:dyDescent="0.25">
      <c r="A43" s="1">
        <v>15900</v>
      </c>
      <c r="B43" s="19" t="s">
        <v>3</v>
      </c>
      <c r="C43" s="10" t="s">
        <v>1032</v>
      </c>
      <c r="D43" s="20"/>
      <c r="E43" s="20"/>
      <c r="F43" s="1"/>
      <c r="G43" s="19"/>
      <c r="H43" s="1">
        <v>135239</v>
      </c>
    </row>
    <row r="44" spans="1:8" x14ac:dyDescent="0.25">
      <c r="A44" s="1">
        <v>16300</v>
      </c>
      <c r="B44" s="19" t="s">
        <v>1066</v>
      </c>
      <c r="C44" s="10" t="s">
        <v>1026</v>
      </c>
      <c r="D44" s="20">
        <v>74</v>
      </c>
      <c r="E44" s="20">
        <v>9</v>
      </c>
      <c r="F44" s="1">
        <v>69</v>
      </c>
      <c r="G44" s="19" t="s">
        <v>1049</v>
      </c>
      <c r="H44" s="1"/>
    </row>
    <row r="45" spans="1:8" x14ac:dyDescent="0.25">
      <c r="A45" s="1">
        <v>16427</v>
      </c>
      <c r="B45" s="19" t="s">
        <v>1067</v>
      </c>
      <c r="C45" s="10" t="s">
        <v>1026</v>
      </c>
      <c r="D45" s="20">
        <v>52</v>
      </c>
      <c r="E45" s="20">
        <v>7</v>
      </c>
      <c r="F45" s="1">
        <v>34</v>
      </c>
      <c r="G45" s="19" t="s">
        <v>1068</v>
      </c>
      <c r="H45" s="1"/>
    </row>
    <row r="46" spans="1:8" x14ac:dyDescent="0.25">
      <c r="A46" s="1">
        <v>16532</v>
      </c>
      <c r="B46" s="19" t="s">
        <v>1069</v>
      </c>
      <c r="C46" s="10" t="s">
        <v>1026</v>
      </c>
      <c r="D46" s="20">
        <v>73</v>
      </c>
      <c r="E46" s="20">
        <v>4</v>
      </c>
      <c r="F46" s="1">
        <v>68</v>
      </c>
      <c r="G46" s="19" t="s">
        <v>1068</v>
      </c>
      <c r="H46" s="1"/>
    </row>
    <row r="47" spans="1:8" x14ac:dyDescent="0.25">
      <c r="A47" s="1">
        <v>16590</v>
      </c>
      <c r="B47" s="19" t="s">
        <v>1070</v>
      </c>
      <c r="C47" s="10" t="s">
        <v>1016</v>
      </c>
      <c r="D47" s="20">
        <v>51</v>
      </c>
      <c r="E47" s="20">
        <v>49</v>
      </c>
      <c r="F47" s="1">
        <v>4</v>
      </c>
      <c r="G47" s="19" t="s">
        <v>1023</v>
      </c>
      <c r="H47" s="1"/>
    </row>
    <row r="48" spans="1:8" x14ac:dyDescent="0.25">
      <c r="A48" s="1">
        <v>16688</v>
      </c>
      <c r="B48" s="19" t="s">
        <v>1071</v>
      </c>
      <c r="C48" s="10" t="s">
        <v>1026</v>
      </c>
      <c r="D48" s="20">
        <v>52</v>
      </c>
      <c r="E48" s="20">
        <v>7</v>
      </c>
      <c r="F48" s="1">
        <v>4</v>
      </c>
      <c r="G48" s="19" t="s">
        <v>1068</v>
      </c>
      <c r="H48" s="1"/>
    </row>
    <row r="49" spans="1:8" x14ac:dyDescent="0.25">
      <c r="A49" s="1">
        <v>16691</v>
      </c>
      <c r="B49" s="19" t="s">
        <v>1072</v>
      </c>
      <c r="C49" s="10" t="s">
        <v>1026</v>
      </c>
      <c r="D49" s="20">
        <v>52</v>
      </c>
      <c r="E49" s="20">
        <v>7</v>
      </c>
      <c r="F49" s="1">
        <v>10</v>
      </c>
      <c r="G49" s="19" t="s">
        <v>1068</v>
      </c>
      <c r="H49" s="1"/>
    </row>
    <row r="50" spans="1:8" x14ac:dyDescent="0.25">
      <c r="A50" s="1">
        <v>16692</v>
      </c>
      <c r="B50" s="19" t="s">
        <v>1073</v>
      </c>
      <c r="C50" s="10" t="s">
        <v>1026</v>
      </c>
      <c r="D50" s="20">
        <v>52</v>
      </c>
      <c r="E50" s="20">
        <v>7</v>
      </c>
      <c r="F50" s="1">
        <v>21</v>
      </c>
      <c r="G50" s="19" t="s">
        <v>1068</v>
      </c>
      <c r="H50" s="1"/>
    </row>
    <row r="51" spans="1:8" x14ac:dyDescent="0.25">
      <c r="A51" s="1">
        <v>16729</v>
      </c>
      <c r="B51" s="19" t="s">
        <v>1074</v>
      </c>
      <c r="C51" s="10" t="s">
        <v>1016</v>
      </c>
      <c r="D51" s="20">
        <v>52</v>
      </c>
      <c r="E51" s="20">
        <v>13</v>
      </c>
      <c r="F51" s="1">
        <v>2177</v>
      </c>
      <c r="G51" s="19" t="s">
        <v>1068</v>
      </c>
      <c r="H51" s="1"/>
    </row>
    <row r="52" spans="1:8" x14ac:dyDescent="0.25">
      <c r="A52" s="1">
        <v>16736</v>
      </c>
      <c r="B52" s="19" t="s">
        <v>1075</v>
      </c>
      <c r="C52" s="10" t="s">
        <v>1026</v>
      </c>
      <c r="D52" s="20">
        <v>52</v>
      </c>
      <c r="E52" s="20">
        <v>13</v>
      </c>
      <c r="F52" s="1">
        <v>18</v>
      </c>
      <c r="G52" s="19" t="s">
        <v>1068</v>
      </c>
      <c r="H52" s="1"/>
    </row>
    <row r="53" spans="1:8" x14ac:dyDescent="0.25">
      <c r="A53" s="1">
        <v>16737</v>
      </c>
      <c r="B53" s="19" t="s">
        <v>1076</v>
      </c>
      <c r="C53" s="10" t="s">
        <v>1026</v>
      </c>
      <c r="D53" s="20">
        <v>52</v>
      </c>
      <c r="E53" s="20">
        <v>13</v>
      </c>
      <c r="F53" s="1">
        <v>20</v>
      </c>
      <c r="G53" s="19" t="s">
        <v>1068</v>
      </c>
      <c r="H53" s="1"/>
    </row>
    <row r="54" spans="1:8" x14ac:dyDescent="0.25">
      <c r="A54" s="1">
        <v>16757</v>
      </c>
      <c r="B54" s="19" t="s">
        <v>1077</v>
      </c>
      <c r="C54" s="10" t="s">
        <v>1026</v>
      </c>
      <c r="D54" s="20">
        <v>52</v>
      </c>
      <c r="E54" s="20">
        <v>8</v>
      </c>
      <c r="F54" s="1">
        <v>180</v>
      </c>
      <c r="G54" s="19" t="s">
        <v>1068</v>
      </c>
      <c r="H54" s="1"/>
    </row>
    <row r="55" spans="1:8" x14ac:dyDescent="0.25">
      <c r="A55" s="1">
        <v>16763</v>
      </c>
      <c r="B55" s="19" t="s">
        <v>1078</v>
      </c>
      <c r="C55" s="10" t="s">
        <v>1026</v>
      </c>
      <c r="D55" s="20">
        <v>52</v>
      </c>
      <c r="E55" s="20">
        <v>7</v>
      </c>
      <c r="F55" s="1">
        <v>9</v>
      </c>
      <c r="G55" s="19" t="s">
        <v>1068</v>
      </c>
      <c r="H55" s="1"/>
    </row>
    <row r="56" spans="1:8" x14ac:dyDescent="0.25">
      <c r="A56" s="1">
        <v>16808</v>
      </c>
      <c r="B56" s="19" t="s">
        <v>1079</v>
      </c>
      <c r="C56" s="10" t="s">
        <v>1026</v>
      </c>
      <c r="D56" s="20">
        <v>52</v>
      </c>
      <c r="E56" s="20">
        <v>13</v>
      </c>
      <c r="F56" s="1">
        <v>1187</v>
      </c>
      <c r="G56" s="19" t="s">
        <v>1068</v>
      </c>
      <c r="H56" s="1"/>
    </row>
    <row r="57" spans="1:8" x14ac:dyDescent="0.25">
      <c r="A57" s="1">
        <v>16813</v>
      </c>
      <c r="B57" s="19" t="s">
        <v>1080</v>
      </c>
      <c r="C57" s="10" t="s">
        <v>1026</v>
      </c>
      <c r="D57" s="20">
        <v>52</v>
      </c>
      <c r="E57" s="20">
        <v>13</v>
      </c>
      <c r="F57" s="1">
        <v>758</v>
      </c>
      <c r="G57" s="19" t="s">
        <v>1068</v>
      </c>
      <c r="H57" s="1"/>
    </row>
    <row r="58" spans="1:8" x14ac:dyDescent="0.25">
      <c r="A58" s="1">
        <v>16827</v>
      </c>
      <c r="B58" s="19" t="s">
        <v>1081</v>
      </c>
      <c r="C58" s="10" t="s">
        <v>1026</v>
      </c>
      <c r="D58" s="20">
        <v>52</v>
      </c>
      <c r="E58" s="20">
        <v>13</v>
      </c>
      <c r="F58" s="1">
        <v>231</v>
      </c>
      <c r="G58" s="19" t="s">
        <v>1068</v>
      </c>
      <c r="H58" s="1"/>
    </row>
    <row r="59" spans="1:8" x14ac:dyDescent="0.25">
      <c r="A59" s="1">
        <v>16835</v>
      </c>
      <c r="B59" s="19" t="s">
        <v>1082</v>
      </c>
      <c r="C59" s="10" t="s">
        <v>1026</v>
      </c>
      <c r="D59" s="20">
        <v>52</v>
      </c>
      <c r="E59" s="20">
        <v>13</v>
      </c>
      <c r="F59" s="1">
        <v>612</v>
      </c>
      <c r="G59" s="19" t="s">
        <v>1068</v>
      </c>
      <c r="H59" s="1"/>
    </row>
    <row r="60" spans="1:8" x14ac:dyDescent="0.25">
      <c r="A60" s="1">
        <v>16846</v>
      </c>
      <c r="B60" s="19" t="s">
        <v>1083</v>
      </c>
      <c r="C60" s="10" t="s">
        <v>1026</v>
      </c>
      <c r="D60" s="20">
        <v>52</v>
      </c>
      <c r="E60" s="20">
        <v>13</v>
      </c>
      <c r="F60" s="1">
        <v>631</v>
      </c>
      <c r="G60" s="19" t="s">
        <v>1068</v>
      </c>
      <c r="H60" s="1"/>
    </row>
    <row r="61" spans="1:8" x14ac:dyDescent="0.25">
      <c r="A61" s="1">
        <v>17026</v>
      </c>
      <c r="B61" s="19" t="s">
        <v>1084</v>
      </c>
      <c r="C61" s="10" t="s">
        <v>1026</v>
      </c>
      <c r="D61" s="20">
        <v>52</v>
      </c>
      <c r="E61" s="20">
        <v>7</v>
      </c>
      <c r="F61" s="1">
        <v>10</v>
      </c>
      <c r="G61" s="19" t="s">
        <v>1068</v>
      </c>
      <c r="H61" s="1"/>
    </row>
    <row r="62" spans="1:8" x14ac:dyDescent="0.25">
      <c r="A62" s="1">
        <v>17033</v>
      </c>
      <c r="B62" s="19" t="s">
        <v>1085</v>
      </c>
      <c r="C62" s="10" t="s">
        <v>1026</v>
      </c>
      <c r="D62" s="20">
        <v>52</v>
      </c>
      <c r="E62" s="20">
        <v>13</v>
      </c>
      <c r="F62" s="1">
        <v>426</v>
      </c>
      <c r="G62" s="19" t="s">
        <v>1068</v>
      </c>
      <c r="H62" s="1"/>
    </row>
    <row r="63" spans="1:8" x14ac:dyDescent="0.25">
      <c r="A63" s="1">
        <v>17064</v>
      </c>
      <c r="B63" s="19" t="s">
        <v>1086</v>
      </c>
      <c r="C63" s="10" t="s">
        <v>1026</v>
      </c>
      <c r="D63" s="20">
        <v>52</v>
      </c>
      <c r="E63" s="20">
        <v>13</v>
      </c>
      <c r="F63" s="1">
        <v>23</v>
      </c>
      <c r="G63" s="19" t="s">
        <v>1068</v>
      </c>
      <c r="H63" s="1"/>
    </row>
    <row r="64" spans="1:8" x14ac:dyDescent="0.25">
      <c r="A64" s="1">
        <v>17105</v>
      </c>
      <c r="B64" s="19" t="s">
        <v>1087</v>
      </c>
      <c r="C64" s="10" t="s">
        <v>1026</v>
      </c>
      <c r="D64" s="20">
        <v>52</v>
      </c>
      <c r="E64" s="20">
        <v>5</v>
      </c>
      <c r="F64" s="1">
        <v>69</v>
      </c>
      <c r="G64" s="19" t="s">
        <v>1068</v>
      </c>
      <c r="H64" s="1"/>
    </row>
    <row r="65" spans="1:8" x14ac:dyDescent="0.25">
      <c r="A65" s="1">
        <v>17537</v>
      </c>
      <c r="B65" s="19" t="s">
        <v>1088</v>
      </c>
      <c r="C65" s="10" t="s">
        <v>1026</v>
      </c>
      <c r="D65" s="20">
        <v>70</v>
      </c>
      <c r="E65" s="20">
        <v>17</v>
      </c>
      <c r="F65" s="1">
        <v>0</v>
      </c>
      <c r="G65" s="19" t="s">
        <v>1035</v>
      </c>
      <c r="H65" s="1"/>
    </row>
    <row r="66" spans="1:8" x14ac:dyDescent="0.25">
      <c r="A66" s="1">
        <v>17670</v>
      </c>
      <c r="B66" s="19" t="s">
        <v>1089</v>
      </c>
      <c r="C66" s="10" t="s">
        <v>1047</v>
      </c>
      <c r="D66" s="20">
        <v>67</v>
      </c>
      <c r="E66" s="20">
        <v>6</v>
      </c>
      <c r="F66" s="1">
        <v>9</v>
      </c>
      <c r="G66" s="19" t="s">
        <v>1049</v>
      </c>
      <c r="H66" s="1"/>
    </row>
    <row r="67" spans="1:8" x14ac:dyDescent="0.25">
      <c r="A67" s="1">
        <v>18342</v>
      </c>
      <c r="B67" s="19" t="s">
        <v>1090</v>
      </c>
      <c r="C67" s="10" t="s">
        <v>1047</v>
      </c>
      <c r="D67" s="20">
        <v>67</v>
      </c>
      <c r="E67" s="20">
        <v>6</v>
      </c>
      <c r="F67" s="1">
        <v>25</v>
      </c>
      <c r="G67" s="19" t="s">
        <v>1049</v>
      </c>
      <c r="H67" s="1"/>
    </row>
    <row r="68" spans="1:8" x14ac:dyDescent="0.25">
      <c r="A68" s="1">
        <v>18351</v>
      </c>
      <c r="B68" s="19" t="s">
        <v>1091</v>
      </c>
      <c r="C68" s="10" t="s">
        <v>1047</v>
      </c>
      <c r="D68" s="20">
        <v>67</v>
      </c>
      <c r="E68" s="20">
        <v>6</v>
      </c>
      <c r="F68" s="1">
        <v>11</v>
      </c>
      <c r="G68" s="19" t="s">
        <v>1049</v>
      </c>
      <c r="H68" s="1"/>
    </row>
    <row r="69" spans="1:8" x14ac:dyDescent="0.25">
      <c r="A69" s="1">
        <v>19872</v>
      </c>
      <c r="B69" s="19" t="s">
        <v>1092</v>
      </c>
      <c r="C69" s="10" t="s">
        <v>1026</v>
      </c>
      <c r="D69" s="20">
        <v>70</v>
      </c>
      <c r="E69" s="20">
        <v>31</v>
      </c>
      <c r="F69" s="1">
        <v>12</v>
      </c>
      <c r="G69" s="19" t="s">
        <v>1035</v>
      </c>
      <c r="H69" s="1"/>
    </row>
    <row r="70" spans="1:8" x14ac:dyDescent="0.25">
      <c r="A70" s="1">
        <v>19881</v>
      </c>
      <c r="B70" s="19" t="s">
        <v>1093</v>
      </c>
      <c r="C70" s="10" t="s">
        <v>1026</v>
      </c>
      <c r="D70" s="20">
        <v>70</v>
      </c>
      <c r="E70" s="20">
        <v>31</v>
      </c>
      <c r="F70" s="1">
        <v>30</v>
      </c>
      <c r="G70" s="19" t="s">
        <v>1035</v>
      </c>
      <c r="H70" s="1"/>
    </row>
    <row r="71" spans="1:8" x14ac:dyDescent="0.25">
      <c r="A71" s="1">
        <v>19884</v>
      </c>
      <c r="B71" s="19" t="s">
        <v>1094</v>
      </c>
      <c r="C71" s="10" t="s">
        <v>1026</v>
      </c>
      <c r="D71" s="20">
        <v>70</v>
      </c>
      <c r="E71" s="20">
        <v>31</v>
      </c>
      <c r="F71" s="1">
        <v>104</v>
      </c>
      <c r="G71" s="19" t="s">
        <v>1035</v>
      </c>
      <c r="H71" s="1"/>
    </row>
    <row r="72" spans="1:8" x14ac:dyDescent="0.25">
      <c r="A72" s="1">
        <v>20169</v>
      </c>
      <c r="B72" s="19" t="s">
        <v>1095</v>
      </c>
      <c r="C72" s="10" t="s">
        <v>1026</v>
      </c>
      <c r="D72" s="20">
        <v>52</v>
      </c>
      <c r="E72" s="20">
        <v>6</v>
      </c>
      <c r="F72" s="1">
        <v>117</v>
      </c>
      <c r="G72" s="19" t="s">
        <v>1068</v>
      </c>
      <c r="H72" s="1"/>
    </row>
    <row r="73" spans="1:8" x14ac:dyDescent="0.25">
      <c r="A73" s="1">
        <v>20431</v>
      </c>
      <c r="B73" s="19" t="s">
        <v>1096</v>
      </c>
      <c r="C73" s="10" t="s">
        <v>1026</v>
      </c>
      <c r="D73" s="20">
        <v>70</v>
      </c>
      <c r="E73" s="20">
        <v>15</v>
      </c>
      <c r="F73" s="1">
        <v>10</v>
      </c>
      <c r="G73" s="19" t="s">
        <v>1035</v>
      </c>
      <c r="H73" s="1"/>
    </row>
    <row r="74" spans="1:8" x14ac:dyDescent="0.25">
      <c r="A74" s="1">
        <v>20539</v>
      </c>
      <c r="B74" s="19" t="s">
        <v>1097</v>
      </c>
      <c r="C74" s="10" t="s">
        <v>1047</v>
      </c>
      <c r="D74" s="20">
        <v>67</v>
      </c>
      <c r="E74" s="20">
        <v>6</v>
      </c>
      <c r="F74" s="1">
        <v>1</v>
      </c>
      <c r="G74" s="19" t="s">
        <v>1049</v>
      </c>
      <c r="H74" s="1"/>
    </row>
    <row r="75" spans="1:8" x14ac:dyDescent="0.25">
      <c r="A75" s="1">
        <v>20540</v>
      </c>
      <c r="B75" s="19" t="s">
        <v>1098</v>
      </c>
      <c r="C75" s="10" t="s">
        <v>1047</v>
      </c>
      <c r="D75" s="20">
        <v>67</v>
      </c>
      <c r="E75" s="20">
        <v>6</v>
      </c>
      <c r="F75" s="1">
        <v>28</v>
      </c>
      <c r="G75" s="19" t="s">
        <v>1049</v>
      </c>
      <c r="H75" s="1"/>
    </row>
    <row r="76" spans="1:8" x14ac:dyDescent="0.25">
      <c r="A76" s="1">
        <v>20585</v>
      </c>
      <c r="B76" s="19" t="s">
        <v>1099</v>
      </c>
      <c r="C76" s="10" t="s">
        <v>1026</v>
      </c>
      <c r="D76" s="20">
        <v>67</v>
      </c>
      <c r="E76" s="20">
        <v>7</v>
      </c>
      <c r="F76" s="1">
        <v>630</v>
      </c>
      <c r="G76" s="19" t="s">
        <v>1049</v>
      </c>
      <c r="H76" s="1"/>
    </row>
    <row r="77" spans="1:8" x14ac:dyDescent="0.25">
      <c r="A77" s="1">
        <v>23424</v>
      </c>
      <c r="B77" s="19" t="s">
        <v>1100</v>
      </c>
      <c r="C77" s="10" t="s">
        <v>1101</v>
      </c>
      <c r="D77" s="20">
        <v>57</v>
      </c>
      <c r="E77" s="20">
        <v>19</v>
      </c>
      <c r="F77" s="1">
        <v>56</v>
      </c>
      <c r="G77" s="19" t="s">
        <v>1064</v>
      </c>
      <c r="H77" s="1"/>
    </row>
    <row r="78" spans="1:8" x14ac:dyDescent="0.25">
      <c r="A78" s="1">
        <v>23992</v>
      </c>
      <c r="B78" s="19" t="s">
        <v>1102</v>
      </c>
      <c r="C78" s="10" t="s">
        <v>1103</v>
      </c>
      <c r="D78" s="20">
        <v>57</v>
      </c>
      <c r="E78" s="20">
        <v>2</v>
      </c>
      <c r="F78" s="1">
        <v>2220</v>
      </c>
      <c r="G78" s="19" t="s">
        <v>1064</v>
      </c>
      <c r="H78" s="1"/>
    </row>
    <row r="79" spans="1:8" x14ac:dyDescent="0.25">
      <c r="A79" s="1">
        <v>24031</v>
      </c>
      <c r="B79" s="19" t="s">
        <v>1104</v>
      </c>
      <c r="C79" s="10" t="s">
        <v>1026</v>
      </c>
      <c r="D79" s="20">
        <v>70</v>
      </c>
      <c r="E79" s="20">
        <v>24</v>
      </c>
      <c r="F79" s="1">
        <v>0</v>
      </c>
      <c r="G79" s="19" t="s">
        <v>1035</v>
      </c>
      <c r="H79" s="1"/>
    </row>
    <row r="80" spans="1:8" x14ac:dyDescent="0.25">
      <c r="A80" s="1">
        <v>24542</v>
      </c>
      <c r="B80" s="19" t="s">
        <v>1105</v>
      </c>
      <c r="C80" s="10" t="s">
        <v>1026</v>
      </c>
      <c r="D80" s="20">
        <v>52</v>
      </c>
      <c r="E80" s="20">
        <v>13</v>
      </c>
      <c r="F80" s="1">
        <v>19</v>
      </c>
      <c r="G80" s="19" t="s">
        <v>1068</v>
      </c>
      <c r="H80" s="1"/>
    </row>
    <row r="81" spans="1:8" x14ac:dyDescent="0.25">
      <c r="A81" s="1">
        <v>24890</v>
      </c>
      <c r="B81" s="19" t="s">
        <v>1106</v>
      </c>
      <c r="C81" s="10" t="s">
        <v>1047</v>
      </c>
      <c r="D81" s="20">
        <v>67</v>
      </c>
      <c r="E81" s="20">
        <v>6</v>
      </c>
      <c r="F81" s="1">
        <v>118</v>
      </c>
      <c r="G81" s="19" t="s">
        <v>1049</v>
      </c>
      <c r="H81" s="1"/>
    </row>
    <row r="82" spans="1:8" x14ac:dyDescent="0.25">
      <c r="A82" s="1">
        <v>25489</v>
      </c>
      <c r="B82" s="19" t="s">
        <v>1107</v>
      </c>
      <c r="C82" s="10" t="s">
        <v>1047</v>
      </c>
      <c r="D82" s="20">
        <v>67</v>
      </c>
      <c r="E82" s="20">
        <v>6</v>
      </c>
      <c r="F82" s="1">
        <v>6</v>
      </c>
      <c r="G82" s="19" t="s">
        <v>1049</v>
      </c>
      <c r="H82" s="1"/>
    </row>
    <row r="83" spans="1:8" x14ac:dyDescent="0.25">
      <c r="A83" s="1">
        <v>25519</v>
      </c>
      <c r="B83" s="19" t="s">
        <v>1108</v>
      </c>
      <c r="C83" s="10" t="s">
        <v>1026</v>
      </c>
      <c r="D83" s="20">
        <v>52</v>
      </c>
      <c r="E83" s="20">
        <v>13</v>
      </c>
      <c r="F83" s="1">
        <v>27</v>
      </c>
      <c r="G83" s="19" t="s">
        <v>1068</v>
      </c>
      <c r="H83" s="1"/>
    </row>
    <row r="84" spans="1:8" x14ac:dyDescent="0.25">
      <c r="A84" s="1">
        <v>25536</v>
      </c>
      <c r="B84" s="19" t="s">
        <v>1109</v>
      </c>
      <c r="C84" s="10" t="s">
        <v>1026</v>
      </c>
      <c r="D84" s="20">
        <v>55</v>
      </c>
      <c r="E84" s="20">
        <v>46</v>
      </c>
      <c r="F84" s="1">
        <v>438</v>
      </c>
      <c r="G84" s="19" t="s">
        <v>1037</v>
      </c>
      <c r="H84" s="1"/>
    </row>
    <row r="85" spans="1:8" x14ac:dyDescent="0.25">
      <c r="A85" s="1">
        <v>26503</v>
      </c>
      <c r="B85" s="19" t="s">
        <v>974</v>
      </c>
      <c r="C85" s="10"/>
      <c r="D85" s="20">
        <v>78</v>
      </c>
      <c r="E85" s="20">
        <v>6</v>
      </c>
      <c r="F85" s="1"/>
      <c r="G85" s="19"/>
      <c r="H85" s="1"/>
    </row>
    <row r="86" spans="1:8" x14ac:dyDescent="0.25">
      <c r="A86" s="1">
        <v>26508</v>
      </c>
      <c r="B86" s="19" t="s">
        <v>975</v>
      </c>
      <c r="C86" s="10"/>
      <c r="D86" s="20">
        <v>78</v>
      </c>
      <c r="E86" s="20">
        <v>6</v>
      </c>
      <c r="F86" s="1"/>
      <c r="G86" s="19"/>
      <c r="H86" s="1"/>
    </row>
    <row r="87" spans="1:8" x14ac:dyDescent="0.25">
      <c r="A87" s="1">
        <v>28040</v>
      </c>
      <c r="B87" s="19" t="s">
        <v>1110</v>
      </c>
      <c r="C87" s="10" t="s">
        <v>1047</v>
      </c>
      <c r="D87" s="20">
        <v>67</v>
      </c>
      <c r="E87" s="20">
        <v>6</v>
      </c>
      <c r="F87" s="1">
        <v>12</v>
      </c>
      <c r="G87" s="19" t="s">
        <v>1049</v>
      </c>
      <c r="H87" s="1"/>
    </row>
    <row r="88" spans="1:8" x14ac:dyDescent="0.25">
      <c r="A88" s="1">
        <v>28781</v>
      </c>
      <c r="B88" s="19" t="s">
        <v>1111</v>
      </c>
      <c r="C88" s="10" t="s">
        <v>1026</v>
      </c>
      <c r="D88" s="20">
        <v>55</v>
      </c>
      <c r="E88" s="20">
        <v>46</v>
      </c>
      <c r="F88" s="1">
        <v>839</v>
      </c>
      <c r="G88" s="19" t="s">
        <v>1037</v>
      </c>
      <c r="H88" s="1"/>
    </row>
    <row r="89" spans="1:8" x14ac:dyDescent="0.25">
      <c r="A89" s="1">
        <v>28782</v>
      </c>
      <c r="B89" s="19" t="s">
        <v>1112</v>
      </c>
      <c r="C89" s="10" t="s">
        <v>1026</v>
      </c>
      <c r="D89" s="20">
        <v>55</v>
      </c>
      <c r="E89" s="20">
        <v>46</v>
      </c>
      <c r="F89" s="1">
        <v>142</v>
      </c>
      <c r="G89" s="19" t="s">
        <v>1037</v>
      </c>
      <c r="H89" s="1"/>
    </row>
    <row r="90" spans="1:8" x14ac:dyDescent="0.25">
      <c r="A90" s="1">
        <v>29288</v>
      </c>
      <c r="B90" s="19" t="s">
        <v>988</v>
      </c>
      <c r="C90" s="10"/>
      <c r="D90" s="20"/>
      <c r="E90" s="20"/>
      <c r="F90" s="1"/>
      <c r="G90" s="19"/>
      <c r="H90" s="1"/>
    </row>
    <row r="91" spans="1:8" x14ac:dyDescent="0.25">
      <c r="A91" s="1">
        <v>29294</v>
      </c>
      <c r="B91" s="19" t="s">
        <v>1113</v>
      </c>
      <c r="C91" s="10" t="s">
        <v>1026</v>
      </c>
      <c r="D91" s="20">
        <v>67</v>
      </c>
      <c r="E91" s="20">
        <v>9</v>
      </c>
      <c r="F91" s="1">
        <v>71</v>
      </c>
      <c r="G91" s="19" t="s">
        <v>1049</v>
      </c>
      <c r="H91" s="1"/>
    </row>
    <row r="92" spans="1:8" x14ac:dyDescent="0.25">
      <c r="A92" s="1">
        <v>29524</v>
      </c>
      <c r="B92" s="19" t="s">
        <v>1114</v>
      </c>
      <c r="C92" s="10" t="s">
        <v>1032</v>
      </c>
      <c r="D92" s="20">
        <v>76</v>
      </c>
      <c r="E92" s="20">
        <v>9</v>
      </c>
      <c r="F92" s="1">
        <v>318</v>
      </c>
      <c r="G92" s="19" t="s">
        <v>1033</v>
      </c>
      <c r="H92" s="1"/>
    </row>
    <row r="93" spans="1:8" x14ac:dyDescent="0.25">
      <c r="A93" s="1">
        <v>29526</v>
      </c>
      <c r="B93" s="19" t="s">
        <v>1115</v>
      </c>
      <c r="C93" s="10" t="s">
        <v>1032</v>
      </c>
      <c r="D93" s="20">
        <v>76</v>
      </c>
      <c r="E93" s="20">
        <v>9</v>
      </c>
      <c r="F93" s="1">
        <v>512</v>
      </c>
      <c r="G93" s="19" t="s">
        <v>1033</v>
      </c>
      <c r="H93" s="1"/>
    </row>
    <row r="94" spans="1:8" x14ac:dyDescent="0.25">
      <c r="A94" s="1">
        <v>29537</v>
      </c>
      <c r="B94" s="19" t="s">
        <v>1116</v>
      </c>
      <c r="C94" s="10" t="s">
        <v>1026</v>
      </c>
      <c r="D94" s="20">
        <v>61</v>
      </c>
      <c r="E94" s="20">
        <v>8</v>
      </c>
      <c r="F94" s="1">
        <v>237</v>
      </c>
      <c r="G94" s="19" t="s">
        <v>1030</v>
      </c>
      <c r="H94" s="1"/>
    </row>
    <row r="95" spans="1:8" x14ac:dyDescent="0.25">
      <c r="A95" s="1">
        <v>29829</v>
      </c>
      <c r="B95" s="19" t="s">
        <v>1117</v>
      </c>
      <c r="C95" s="10" t="s">
        <v>1026</v>
      </c>
      <c r="D95" s="20">
        <v>61</v>
      </c>
      <c r="E95" s="20">
        <v>15</v>
      </c>
      <c r="F95" s="1">
        <v>4</v>
      </c>
      <c r="G95" s="19" t="s">
        <v>1030</v>
      </c>
      <c r="H95" s="1"/>
    </row>
    <row r="96" spans="1:8" x14ac:dyDescent="0.25">
      <c r="A96" s="1">
        <v>29936</v>
      </c>
      <c r="B96" s="19" t="s">
        <v>1118</v>
      </c>
      <c r="C96" s="10" t="s">
        <v>1026</v>
      </c>
      <c r="D96" s="20">
        <v>76</v>
      </c>
      <c r="E96" s="20">
        <v>11</v>
      </c>
      <c r="F96" s="1">
        <v>14</v>
      </c>
      <c r="G96" s="19" t="s">
        <v>1033</v>
      </c>
      <c r="H96" s="1"/>
    </row>
    <row r="97" spans="1:8" x14ac:dyDescent="0.25">
      <c r="A97" s="1">
        <v>29960</v>
      </c>
      <c r="B97" s="19" t="s">
        <v>1119</v>
      </c>
      <c r="C97" s="10" t="s">
        <v>1063</v>
      </c>
      <c r="D97" s="20">
        <v>57</v>
      </c>
      <c r="E97" s="20">
        <v>15</v>
      </c>
      <c r="F97" s="1">
        <v>2745</v>
      </c>
      <c r="G97" s="19" t="s">
        <v>1064</v>
      </c>
      <c r="H97" s="1"/>
    </row>
    <row r="98" spans="1:8" x14ac:dyDescent="0.25">
      <c r="A98" s="1">
        <v>31427</v>
      </c>
      <c r="B98" s="19" t="s">
        <v>1120</v>
      </c>
      <c r="C98" s="10" t="s">
        <v>1026</v>
      </c>
      <c r="D98" s="20">
        <v>52</v>
      </c>
      <c r="E98" s="20">
        <v>7</v>
      </c>
      <c r="F98" s="1">
        <v>26</v>
      </c>
      <c r="G98" s="19" t="s">
        <v>1068</v>
      </c>
      <c r="H98" s="1"/>
    </row>
    <row r="99" spans="1:8" x14ac:dyDescent="0.25">
      <c r="A99" s="1">
        <v>31428</v>
      </c>
      <c r="B99" s="19" t="s">
        <v>1121</v>
      </c>
      <c r="C99" s="10" t="s">
        <v>1026</v>
      </c>
      <c r="D99" s="20">
        <v>52</v>
      </c>
      <c r="E99" s="20">
        <v>7</v>
      </c>
      <c r="F99" s="1">
        <v>22</v>
      </c>
      <c r="G99" s="19" t="s">
        <v>1068</v>
      </c>
      <c r="H99" s="1"/>
    </row>
    <row r="100" spans="1:8" x14ac:dyDescent="0.25">
      <c r="A100" s="1">
        <v>32648</v>
      </c>
      <c r="B100" s="19" t="s">
        <v>1123</v>
      </c>
      <c r="C100" s="10" t="s">
        <v>1103</v>
      </c>
      <c r="D100" s="20">
        <v>67</v>
      </c>
      <c r="E100" s="20">
        <v>14</v>
      </c>
      <c r="F100" s="1">
        <v>3</v>
      </c>
      <c r="G100" s="19" t="s">
        <v>1023</v>
      </c>
      <c r="H100" s="1"/>
    </row>
    <row r="101" spans="1:8" x14ac:dyDescent="0.25">
      <c r="A101" s="1">
        <v>32752</v>
      </c>
      <c r="B101" s="19" t="s">
        <v>1124</v>
      </c>
      <c r="C101" s="10" t="s">
        <v>1047</v>
      </c>
      <c r="D101" s="20">
        <v>67</v>
      </c>
      <c r="E101" s="20">
        <v>6</v>
      </c>
      <c r="F101" s="1">
        <v>5</v>
      </c>
      <c r="G101" s="19" t="s">
        <v>1049</v>
      </c>
      <c r="H101" s="1"/>
    </row>
    <row r="102" spans="1:8" x14ac:dyDescent="0.25">
      <c r="A102" s="1">
        <v>32759</v>
      </c>
      <c r="B102" s="19" t="s">
        <v>1125</v>
      </c>
      <c r="C102" s="10" t="s">
        <v>1047</v>
      </c>
      <c r="D102" s="20">
        <v>67</v>
      </c>
      <c r="E102" s="20">
        <v>6</v>
      </c>
      <c r="F102" s="1">
        <v>35</v>
      </c>
      <c r="G102" s="19" t="s">
        <v>1049</v>
      </c>
      <c r="H102" s="1"/>
    </row>
    <row r="103" spans="1:8" x14ac:dyDescent="0.25">
      <c r="A103" s="1">
        <v>32761</v>
      </c>
      <c r="B103" s="19" t="s">
        <v>1126</v>
      </c>
      <c r="C103" s="10" t="s">
        <v>1047</v>
      </c>
      <c r="D103" s="20">
        <v>67</v>
      </c>
      <c r="E103" s="20">
        <v>6</v>
      </c>
      <c r="F103" s="1">
        <v>3</v>
      </c>
      <c r="G103" s="19" t="s">
        <v>1049</v>
      </c>
      <c r="H103" s="1"/>
    </row>
    <row r="104" spans="1:8" x14ac:dyDescent="0.25">
      <c r="A104" s="1">
        <v>34405</v>
      </c>
      <c r="B104" s="19" t="s">
        <v>1127</v>
      </c>
      <c r="C104" s="10" t="s">
        <v>1026</v>
      </c>
      <c r="D104" s="20">
        <v>84</v>
      </c>
      <c r="E104" s="20">
        <v>1</v>
      </c>
      <c r="F104" s="1">
        <v>5</v>
      </c>
      <c r="G104" s="19" t="s">
        <v>1128</v>
      </c>
      <c r="H104" s="1"/>
    </row>
    <row r="105" spans="1:8" x14ac:dyDescent="0.25">
      <c r="A105" s="1">
        <v>35359</v>
      </c>
      <c r="B105" s="19" t="s">
        <v>1423</v>
      </c>
      <c r="C105" s="10" t="s">
        <v>1190</v>
      </c>
      <c r="D105" s="20">
        <v>54</v>
      </c>
      <c r="E105" s="20">
        <v>4</v>
      </c>
      <c r="F105" s="1"/>
      <c r="G105" s="19" t="s">
        <v>1424</v>
      </c>
      <c r="H105" s="1">
        <v>93346</v>
      </c>
    </row>
    <row r="106" spans="1:8" x14ac:dyDescent="0.25">
      <c r="A106" s="1">
        <v>36033</v>
      </c>
      <c r="B106" s="19" t="s">
        <v>1129</v>
      </c>
      <c r="C106" s="10" t="s">
        <v>1022</v>
      </c>
      <c r="D106" s="20">
        <v>55</v>
      </c>
      <c r="E106" s="20">
        <v>19</v>
      </c>
      <c r="F106" s="1">
        <v>178</v>
      </c>
      <c r="G106" s="19" t="s">
        <v>1037</v>
      </c>
      <c r="H106" s="1"/>
    </row>
    <row r="107" spans="1:8" x14ac:dyDescent="0.25">
      <c r="A107" s="1">
        <v>36107</v>
      </c>
      <c r="B107" s="19" t="s">
        <v>1130</v>
      </c>
      <c r="C107" s="10" t="s">
        <v>1026</v>
      </c>
      <c r="D107" s="20">
        <v>74</v>
      </c>
      <c r="E107" s="20">
        <v>9</v>
      </c>
      <c r="F107" s="1">
        <v>230</v>
      </c>
      <c r="G107" s="19" t="s">
        <v>1049</v>
      </c>
      <c r="H107" s="1"/>
    </row>
    <row r="108" spans="1:8" x14ac:dyDescent="0.25">
      <c r="A108" s="1">
        <v>37847</v>
      </c>
      <c r="B108" s="19" t="s">
        <v>989</v>
      </c>
      <c r="C108" s="10"/>
      <c r="D108" s="20"/>
      <c r="E108" s="20"/>
      <c r="F108" s="1"/>
      <c r="G108" s="19"/>
      <c r="H108" s="1"/>
    </row>
    <row r="109" spans="1:8" x14ac:dyDescent="0.25">
      <c r="A109" s="1">
        <v>38079</v>
      </c>
      <c r="B109" s="19" t="s">
        <v>1131</v>
      </c>
      <c r="C109" s="10" t="s">
        <v>1026</v>
      </c>
      <c r="D109" s="20">
        <v>55</v>
      </c>
      <c r="E109" s="20">
        <v>46</v>
      </c>
      <c r="F109" s="1">
        <v>33</v>
      </c>
      <c r="G109" s="19" t="s">
        <v>1037</v>
      </c>
      <c r="H109" s="1"/>
    </row>
    <row r="110" spans="1:8" x14ac:dyDescent="0.25">
      <c r="A110" s="1">
        <v>39982</v>
      </c>
      <c r="B110" s="19" t="s">
        <v>1132</v>
      </c>
      <c r="C110" s="10" t="s">
        <v>1026</v>
      </c>
      <c r="D110" s="20">
        <v>84</v>
      </c>
      <c r="E110" s="20">
        <v>1</v>
      </c>
      <c r="F110" s="1">
        <v>6</v>
      </c>
      <c r="G110" s="19" t="s">
        <v>1128</v>
      </c>
      <c r="H110" s="1"/>
    </row>
    <row r="111" spans="1:8" x14ac:dyDescent="0.25">
      <c r="A111" s="1">
        <v>40688</v>
      </c>
      <c r="B111" s="19" t="s">
        <v>1133</v>
      </c>
      <c r="C111" s="10" t="s">
        <v>1026</v>
      </c>
      <c r="D111" s="20">
        <v>67</v>
      </c>
      <c r="E111" s="20">
        <v>18</v>
      </c>
      <c r="F111" s="1">
        <v>745</v>
      </c>
      <c r="G111" s="19" t="s">
        <v>1049</v>
      </c>
      <c r="H111" s="1"/>
    </row>
    <row r="112" spans="1:8" x14ac:dyDescent="0.25">
      <c r="A112" s="1">
        <v>40689</v>
      </c>
      <c r="B112" s="19" t="s">
        <v>1134</v>
      </c>
      <c r="C112" s="10" t="s">
        <v>1026</v>
      </c>
      <c r="D112" s="20">
        <v>67</v>
      </c>
      <c r="E112" s="20">
        <v>18</v>
      </c>
      <c r="F112" s="1">
        <v>83</v>
      </c>
      <c r="G112" s="19" t="s">
        <v>1049</v>
      </c>
      <c r="H112" s="1"/>
    </row>
    <row r="113" spans="1:8" x14ac:dyDescent="0.25">
      <c r="A113" s="1">
        <v>43648</v>
      </c>
      <c r="B113" s="19" t="s">
        <v>1135</v>
      </c>
      <c r="C113" s="10" t="s">
        <v>1026</v>
      </c>
      <c r="D113" s="20">
        <v>55</v>
      </c>
      <c r="E113" s="20">
        <v>32</v>
      </c>
      <c r="F113" s="1">
        <v>546</v>
      </c>
      <c r="G113" s="19" t="s">
        <v>1049</v>
      </c>
      <c r="H113" s="1"/>
    </row>
    <row r="114" spans="1:8" x14ac:dyDescent="0.25">
      <c r="A114" s="1">
        <v>43794</v>
      </c>
      <c r="B114" s="19" t="s">
        <v>1136</v>
      </c>
      <c r="C114" s="10" t="s">
        <v>1026</v>
      </c>
      <c r="D114" s="20">
        <v>74</v>
      </c>
      <c r="E114" s="20">
        <v>8</v>
      </c>
      <c r="F114" s="1">
        <v>173</v>
      </c>
      <c r="G114" s="19" t="s">
        <v>1049</v>
      </c>
      <c r="H114" s="1"/>
    </row>
    <row r="115" spans="1:8" x14ac:dyDescent="0.25">
      <c r="A115" s="1">
        <v>45067</v>
      </c>
      <c r="B115" s="19" t="s">
        <v>1137</v>
      </c>
      <c r="C115" s="10" t="s">
        <v>1022</v>
      </c>
      <c r="D115" s="20">
        <v>55</v>
      </c>
      <c r="E115" s="20">
        <v>19</v>
      </c>
      <c r="F115" s="1">
        <v>200</v>
      </c>
      <c r="G115" s="19" t="s">
        <v>1037</v>
      </c>
      <c r="H115" s="1"/>
    </row>
    <row r="116" spans="1:8" x14ac:dyDescent="0.25">
      <c r="A116" s="1">
        <v>45111</v>
      </c>
      <c r="B116" s="19" t="s">
        <v>1138</v>
      </c>
      <c r="C116" s="10" t="s">
        <v>1026</v>
      </c>
      <c r="D116" s="20">
        <v>84</v>
      </c>
      <c r="E116" s="20">
        <v>1</v>
      </c>
      <c r="F116" s="1">
        <v>5</v>
      </c>
      <c r="G116" s="19" t="s">
        <v>1128</v>
      </c>
      <c r="H116" s="1"/>
    </row>
    <row r="117" spans="1:8" x14ac:dyDescent="0.25">
      <c r="A117" s="1">
        <v>45195</v>
      </c>
      <c r="B117" s="19" t="s">
        <v>1139</v>
      </c>
      <c r="C117" s="10" t="s">
        <v>1016</v>
      </c>
      <c r="D117" s="20">
        <v>51</v>
      </c>
      <c r="E117" s="20">
        <v>11</v>
      </c>
      <c r="F117" s="1">
        <v>985</v>
      </c>
      <c r="G117" s="19" t="s">
        <v>1049</v>
      </c>
      <c r="H117" s="1"/>
    </row>
    <row r="118" spans="1:8" x14ac:dyDescent="0.25">
      <c r="A118" s="1">
        <v>45607</v>
      </c>
      <c r="B118" s="19" t="s">
        <v>1140</v>
      </c>
      <c r="C118" s="10" t="s">
        <v>1026</v>
      </c>
      <c r="D118" s="20">
        <v>61</v>
      </c>
      <c r="E118" s="20">
        <v>8</v>
      </c>
      <c r="F118" s="1">
        <v>543</v>
      </c>
      <c r="G118" s="19" t="s">
        <v>1030</v>
      </c>
      <c r="H118" s="1"/>
    </row>
    <row r="119" spans="1:8" x14ac:dyDescent="0.25">
      <c r="A119" s="1">
        <v>45651</v>
      </c>
      <c r="B119" s="19" t="s">
        <v>1141</v>
      </c>
      <c r="C119" s="10" t="s">
        <v>1026</v>
      </c>
      <c r="D119" s="20">
        <v>67</v>
      </c>
      <c r="E119" s="20">
        <v>1</v>
      </c>
      <c r="F119" s="1">
        <v>1070</v>
      </c>
      <c r="G119" s="19" t="s">
        <v>1023</v>
      </c>
      <c r="H119" s="1"/>
    </row>
    <row r="120" spans="1:8" x14ac:dyDescent="0.25">
      <c r="A120" s="1">
        <v>48178</v>
      </c>
      <c r="B120" s="19" t="s">
        <v>1142</v>
      </c>
      <c r="C120" s="10" t="s">
        <v>1026</v>
      </c>
      <c r="D120" s="20">
        <v>74</v>
      </c>
      <c r="E120" s="20">
        <v>8</v>
      </c>
      <c r="F120" s="1">
        <v>18</v>
      </c>
      <c r="G120" s="19" t="s">
        <v>1049</v>
      </c>
      <c r="H120" s="1"/>
    </row>
    <row r="121" spans="1:8" x14ac:dyDescent="0.25">
      <c r="A121" s="1">
        <v>48714</v>
      </c>
      <c r="B121" s="19" t="s">
        <v>1143</v>
      </c>
      <c r="C121" s="10" t="s">
        <v>1026</v>
      </c>
      <c r="D121" s="20">
        <v>83</v>
      </c>
      <c r="E121" s="20">
        <v>10</v>
      </c>
      <c r="F121" s="1">
        <v>105</v>
      </c>
      <c r="G121" s="19" t="s">
        <v>1049</v>
      </c>
      <c r="H121" s="1"/>
    </row>
    <row r="122" spans="1:8" x14ac:dyDescent="0.25">
      <c r="A122" s="1">
        <v>49099</v>
      </c>
      <c r="B122" s="19" t="s">
        <v>1144</v>
      </c>
      <c r="C122" s="10" t="s">
        <v>1047</v>
      </c>
      <c r="D122" s="20">
        <v>67</v>
      </c>
      <c r="E122" s="20">
        <v>6</v>
      </c>
      <c r="F122" s="1">
        <v>101</v>
      </c>
      <c r="G122" s="19" t="s">
        <v>1049</v>
      </c>
      <c r="H122" s="1"/>
    </row>
    <row r="123" spans="1:8" x14ac:dyDescent="0.25">
      <c r="A123" s="1">
        <v>49184</v>
      </c>
      <c r="B123" s="19" t="s">
        <v>1145</v>
      </c>
      <c r="C123" s="10" t="s">
        <v>1026</v>
      </c>
      <c r="D123" s="20">
        <v>52</v>
      </c>
      <c r="E123" s="20">
        <v>8</v>
      </c>
      <c r="F123" s="1">
        <v>14</v>
      </c>
      <c r="G123" s="19" t="s">
        <v>1068</v>
      </c>
      <c r="H123" s="1"/>
    </row>
    <row r="124" spans="1:8" x14ac:dyDescent="0.25">
      <c r="A124" s="1">
        <v>49188</v>
      </c>
      <c r="B124" s="19" t="s">
        <v>1146</v>
      </c>
      <c r="C124" s="10" t="s">
        <v>1026</v>
      </c>
      <c r="D124" s="20">
        <v>52</v>
      </c>
      <c r="E124" s="20">
        <v>7</v>
      </c>
      <c r="F124" s="1">
        <v>17</v>
      </c>
      <c r="G124" s="19" t="s">
        <v>1068</v>
      </c>
      <c r="H124" s="1"/>
    </row>
    <row r="125" spans="1:8" x14ac:dyDescent="0.25">
      <c r="A125" s="1">
        <v>49864</v>
      </c>
      <c r="B125" s="19" t="s">
        <v>1147</v>
      </c>
      <c r="C125" s="10" t="s">
        <v>1026</v>
      </c>
      <c r="D125" s="20">
        <v>73</v>
      </c>
      <c r="E125" s="20">
        <v>4</v>
      </c>
      <c r="F125" s="1">
        <v>21</v>
      </c>
      <c r="G125" s="19" t="s">
        <v>1068</v>
      </c>
      <c r="H125" s="1"/>
    </row>
    <row r="126" spans="1:8" x14ac:dyDescent="0.25">
      <c r="A126" s="1">
        <v>49866</v>
      </c>
      <c r="B126" s="19" t="s">
        <v>1148</v>
      </c>
      <c r="C126" s="10" t="s">
        <v>1026</v>
      </c>
      <c r="D126" s="20">
        <v>55</v>
      </c>
      <c r="E126" s="20">
        <v>57</v>
      </c>
      <c r="F126" s="1">
        <v>184</v>
      </c>
      <c r="G126" s="19" t="s">
        <v>1037</v>
      </c>
      <c r="H126" s="1"/>
    </row>
    <row r="127" spans="1:8" x14ac:dyDescent="0.25">
      <c r="A127" s="1">
        <v>49867</v>
      </c>
      <c r="B127" s="19" t="s">
        <v>1149</v>
      </c>
      <c r="C127" s="10" t="s">
        <v>1026</v>
      </c>
      <c r="D127" s="20">
        <v>55</v>
      </c>
      <c r="E127" s="20">
        <v>55</v>
      </c>
      <c r="F127" s="1">
        <v>392</v>
      </c>
      <c r="G127" s="19" t="s">
        <v>1037</v>
      </c>
      <c r="H127" s="1"/>
    </row>
    <row r="128" spans="1:8" x14ac:dyDescent="0.25">
      <c r="A128" s="1">
        <v>49984</v>
      </c>
      <c r="B128" s="19" t="s">
        <v>1150</v>
      </c>
      <c r="C128" s="10" t="s">
        <v>1026</v>
      </c>
      <c r="D128" s="20">
        <v>52</v>
      </c>
      <c r="E128" s="20">
        <v>7</v>
      </c>
      <c r="F128" s="1">
        <v>14</v>
      </c>
      <c r="G128" s="19" t="s">
        <v>1068</v>
      </c>
      <c r="H128" s="1"/>
    </row>
    <row r="129" spans="1:8" x14ac:dyDescent="0.25">
      <c r="A129" s="1">
        <v>49988</v>
      </c>
      <c r="B129" s="19" t="s">
        <v>1150</v>
      </c>
      <c r="C129" s="10" t="s">
        <v>1026</v>
      </c>
      <c r="D129" s="20">
        <v>52</v>
      </c>
      <c r="E129" s="20">
        <v>7</v>
      </c>
      <c r="F129" s="1">
        <v>36</v>
      </c>
      <c r="G129" s="19" t="s">
        <v>1068</v>
      </c>
      <c r="H129" s="1"/>
    </row>
    <row r="130" spans="1:8" x14ac:dyDescent="0.25">
      <c r="A130" s="1">
        <v>50294</v>
      </c>
      <c r="B130" s="19" t="s">
        <v>1151</v>
      </c>
      <c r="C130" s="10" t="s">
        <v>1026</v>
      </c>
      <c r="D130" s="20">
        <v>61</v>
      </c>
      <c r="E130" s="20">
        <v>8</v>
      </c>
      <c r="F130" s="1">
        <v>151</v>
      </c>
      <c r="G130" s="19" t="s">
        <v>1030</v>
      </c>
      <c r="H130" s="1"/>
    </row>
    <row r="131" spans="1:8" x14ac:dyDescent="0.25">
      <c r="A131" s="1">
        <v>50476</v>
      </c>
      <c r="B131" s="19" t="s">
        <v>1152</v>
      </c>
      <c r="C131" s="10" t="s">
        <v>1026</v>
      </c>
      <c r="D131" s="20">
        <v>51</v>
      </c>
      <c r="E131" s="20">
        <v>17</v>
      </c>
      <c r="F131" s="1">
        <v>718</v>
      </c>
      <c r="G131" s="19" t="s">
        <v>1023</v>
      </c>
      <c r="H131" s="1"/>
    </row>
    <row r="132" spans="1:8" x14ac:dyDescent="0.25">
      <c r="A132" s="1">
        <v>51223</v>
      </c>
      <c r="B132" s="19" t="s">
        <v>1154</v>
      </c>
      <c r="C132" s="10" t="s">
        <v>1026</v>
      </c>
      <c r="D132" s="20">
        <v>55</v>
      </c>
      <c r="E132" s="20">
        <v>49</v>
      </c>
      <c r="F132" s="1">
        <v>126</v>
      </c>
      <c r="G132" s="19" t="s">
        <v>1037</v>
      </c>
      <c r="H132" s="1"/>
    </row>
    <row r="133" spans="1:8" x14ac:dyDescent="0.25">
      <c r="A133" s="1">
        <v>51337</v>
      </c>
      <c r="B133" s="19" t="s">
        <v>1155</v>
      </c>
      <c r="C133" s="10" t="s">
        <v>1026</v>
      </c>
      <c r="D133" s="20">
        <v>74</v>
      </c>
      <c r="E133" s="20">
        <v>10</v>
      </c>
      <c r="F133" s="1">
        <v>2</v>
      </c>
      <c r="G133" s="19" t="s">
        <v>1023</v>
      </c>
      <c r="H133" s="1"/>
    </row>
    <row r="134" spans="1:8" x14ac:dyDescent="0.25">
      <c r="A134" s="1">
        <v>52995</v>
      </c>
      <c r="B134" s="19" t="s">
        <v>1156</v>
      </c>
      <c r="C134" s="10" t="s">
        <v>1026</v>
      </c>
      <c r="D134" s="20">
        <v>61</v>
      </c>
      <c r="E134" s="20">
        <v>8</v>
      </c>
      <c r="F134" s="1">
        <v>58</v>
      </c>
      <c r="G134" s="19" t="s">
        <v>1030</v>
      </c>
      <c r="H134" s="1"/>
    </row>
    <row r="135" spans="1:8" x14ac:dyDescent="0.25">
      <c r="A135" s="1">
        <v>53016</v>
      </c>
      <c r="B135" s="19" t="s">
        <v>1157</v>
      </c>
      <c r="C135" s="10" t="s">
        <v>1158</v>
      </c>
      <c r="D135" s="20">
        <v>74</v>
      </c>
      <c r="E135" s="20">
        <v>10</v>
      </c>
      <c r="F135" s="1">
        <v>10</v>
      </c>
      <c r="G135" s="19" t="s">
        <v>1023</v>
      </c>
      <c r="H135" s="1"/>
    </row>
    <row r="136" spans="1:8" x14ac:dyDescent="0.25">
      <c r="A136" s="1">
        <v>53810</v>
      </c>
      <c r="B136" s="19" t="s">
        <v>1159</v>
      </c>
      <c r="C136" s="10" t="s">
        <v>1047</v>
      </c>
      <c r="D136" s="20">
        <v>67</v>
      </c>
      <c r="E136" s="20">
        <v>6</v>
      </c>
      <c r="F136" s="1">
        <v>12</v>
      </c>
      <c r="G136" s="19" t="s">
        <v>1049</v>
      </c>
      <c r="H136" s="1"/>
    </row>
    <row r="137" spans="1:8" x14ac:dyDescent="0.25">
      <c r="A137" s="1">
        <v>53928</v>
      </c>
      <c r="B137" s="19" t="s">
        <v>1160</v>
      </c>
      <c r="C137" s="10" t="s">
        <v>1026</v>
      </c>
      <c r="D137" s="20">
        <v>51</v>
      </c>
      <c r="E137" s="20">
        <v>30</v>
      </c>
      <c r="F137" s="1">
        <v>15</v>
      </c>
      <c r="G137" s="19" t="s">
        <v>1023</v>
      </c>
      <c r="H137" s="1"/>
    </row>
    <row r="138" spans="1:8" x14ac:dyDescent="0.25">
      <c r="A138" s="1">
        <v>54969</v>
      </c>
      <c r="B138" s="19" t="s">
        <v>1161</v>
      </c>
      <c r="C138" s="10" t="s">
        <v>1026</v>
      </c>
      <c r="D138" s="20">
        <v>61</v>
      </c>
      <c r="E138" s="20">
        <v>8</v>
      </c>
      <c r="F138" s="1">
        <v>162</v>
      </c>
      <c r="G138" s="19" t="s">
        <v>1030</v>
      </c>
      <c r="H138" s="1"/>
    </row>
    <row r="139" spans="1:8" x14ac:dyDescent="0.25">
      <c r="A139" s="1">
        <v>57895</v>
      </c>
      <c r="B139" s="19" t="s">
        <v>1162</v>
      </c>
      <c r="C139" s="10" t="s">
        <v>1026</v>
      </c>
      <c r="D139" s="20">
        <v>51</v>
      </c>
      <c r="E139" s="20">
        <v>11</v>
      </c>
      <c r="F139" s="1">
        <v>338</v>
      </c>
      <c r="G139" s="19" t="s">
        <v>1049</v>
      </c>
      <c r="H139" s="1"/>
    </row>
    <row r="140" spans="1:8" x14ac:dyDescent="0.25">
      <c r="A140" s="1">
        <v>60108</v>
      </c>
      <c r="B140" s="19" t="s">
        <v>1163</v>
      </c>
      <c r="C140" s="10" t="s">
        <v>1016</v>
      </c>
      <c r="D140" s="20">
        <v>52</v>
      </c>
      <c r="E140" s="20">
        <v>13</v>
      </c>
      <c r="F140" s="1">
        <v>176</v>
      </c>
      <c r="G140" s="19" t="s">
        <v>1068</v>
      </c>
      <c r="H140" s="1"/>
    </row>
    <row r="141" spans="1:8" x14ac:dyDescent="0.25">
      <c r="A141" s="1">
        <v>60110</v>
      </c>
      <c r="B141" s="19" t="s">
        <v>1164</v>
      </c>
      <c r="C141" s="10" t="s">
        <v>1016</v>
      </c>
      <c r="D141" s="20">
        <v>52</v>
      </c>
      <c r="E141" s="20">
        <v>10</v>
      </c>
      <c r="F141" s="1">
        <v>35</v>
      </c>
      <c r="G141" s="19" t="s">
        <v>1068</v>
      </c>
      <c r="H141" s="1"/>
    </row>
    <row r="142" spans="1:8" x14ac:dyDescent="0.25">
      <c r="A142" s="1">
        <v>60854</v>
      </c>
      <c r="B142" s="19" t="s">
        <v>1165</v>
      </c>
      <c r="C142" s="10" t="s">
        <v>1026</v>
      </c>
      <c r="D142" s="20">
        <v>55</v>
      </c>
      <c r="E142" s="20">
        <v>32</v>
      </c>
      <c r="F142" s="1">
        <v>36</v>
      </c>
      <c r="G142" s="19" t="s">
        <v>1037</v>
      </c>
      <c r="H142" s="1"/>
    </row>
    <row r="143" spans="1:8" x14ac:dyDescent="0.25">
      <c r="A143" s="1">
        <v>61167</v>
      </c>
      <c r="B143" s="19" t="s">
        <v>1166</v>
      </c>
      <c r="C143" s="10" t="s">
        <v>1032</v>
      </c>
      <c r="D143" s="20">
        <v>76</v>
      </c>
      <c r="E143" s="20">
        <v>3</v>
      </c>
      <c r="F143" s="1">
        <v>51</v>
      </c>
      <c r="G143" s="19" t="s">
        <v>1033</v>
      </c>
      <c r="H143" s="1"/>
    </row>
    <row r="144" spans="1:8" x14ac:dyDescent="0.25">
      <c r="A144" s="1">
        <v>62365</v>
      </c>
      <c r="B144" s="19" t="s">
        <v>1167</v>
      </c>
      <c r="C144" s="10" t="s">
        <v>1026</v>
      </c>
      <c r="D144" s="20">
        <v>52</v>
      </c>
      <c r="E144" s="20">
        <v>8</v>
      </c>
      <c r="F144" s="1">
        <v>90</v>
      </c>
      <c r="G144" s="19" t="s">
        <v>1068</v>
      </c>
      <c r="H144" s="1"/>
    </row>
    <row r="145" spans="1:8" x14ac:dyDescent="0.25">
      <c r="A145" s="1">
        <v>62625</v>
      </c>
      <c r="B145" s="19" t="s">
        <v>693</v>
      </c>
      <c r="C145" s="10"/>
      <c r="D145" s="20"/>
      <c r="E145" s="20"/>
      <c r="F145" s="1"/>
      <c r="G145" s="19"/>
      <c r="H145" s="1"/>
    </row>
    <row r="146" spans="1:8" x14ac:dyDescent="0.25">
      <c r="A146" s="1">
        <v>63383</v>
      </c>
      <c r="B146" s="19" t="s">
        <v>1168</v>
      </c>
      <c r="C146" s="10" t="s">
        <v>1016</v>
      </c>
      <c r="D146" s="20">
        <v>52</v>
      </c>
      <c r="E146" s="20">
        <v>9</v>
      </c>
      <c r="F146" s="1">
        <v>3000</v>
      </c>
      <c r="G146" s="19" t="s">
        <v>1068</v>
      </c>
      <c r="H146" s="1"/>
    </row>
    <row r="147" spans="1:8" x14ac:dyDescent="0.25">
      <c r="A147" s="1">
        <v>63384</v>
      </c>
      <c r="B147" s="19" t="s">
        <v>1169</v>
      </c>
      <c r="C147" s="10" t="s">
        <v>1026</v>
      </c>
      <c r="D147" s="20">
        <v>52</v>
      </c>
      <c r="E147" s="20">
        <v>5</v>
      </c>
      <c r="F147" s="1">
        <v>2200</v>
      </c>
      <c r="G147" s="19" t="s">
        <v>1068</v>
      </c>
      <c r="H147" s="1"/>
    </row>
    <row r="148" spans="1:8" x14ac:dyDescent="0.25">
      <c r="A148" s="1">
        <v>64460</v>
      </c>
      <c r="B148" s="19" t="s">
        <v>1170</v>
      </c>
      <c r="C148" s="10" t="s">
        <v>1026</v>
      </c>
      <c r="D148" s="20">
        <v>67</v>
      </c>
      <c r="E148" s="20">
        <v>4</v>
      </c>
      <c r="F148" s="1">
        <v>4736</v>
      </c>
      <c r="G148" s="19" t="s">
        <v>1049</v>
      </c>
      <c r="H148" s="1"/>
    </row>
    <row r="149" spans="1:8" x14ac:dyDescent="0.25">
      <c r="A149" s="1">
        <v>64461</v>
      </c>
      <c r="B149" s="19" t="s">
        <v>1171</v>
      </c>
      <c r="C149" s="10" t="s">
        <v>1026</v>
      </c>
      <c r="D149" s="20">
        <v>67</v>
      </c>
      <c r="E149" s="20">
        <v>4</v>
      </c>
      <c r="F149" s="1">
        <v>1626</v>
      </c>
      <c r="G149" s="19" t="s">
        <v>1049</v>
      </c>
      <c r="H149" s="1"/>
    </row>
    <row r="150" spans="1:8" x14ac:dyDescent="0.25">
      <c r="A150" s="1">
        <v>64462</v>
      </c>
      <c r="B150" s="19" t="s">
        <v>1172</v>
      </c>
      <c r="C150" s="10" t="s">
        <v>1026</v>
      </c>
      <c r="D150" s="20">
        <v>67</v>
      </c>
      <c r="E150" s="20">
        <v>4</v>
      </c>
      <c r="F150" s="1">
        <v>1608</v>
      </c>
      <c r="G150" s="19" t="s">
        <v>1049</v>
      </c>
      <c r="H150" s="1"/>
    </row>
    <row r="151" spans="1:8" x14ac:dyDescent="0.25">
      <c r="A151" s="1">
        <v>64463</v>
      </c>
      <c r="B151" s="19" t="s">
        <v>1173</v>
      </c>
      <c r="C151" s="10" t="s">
        <v>1026</v>
      </c>
      <c r="D151" s="20">
        <v>67</v>
      </c>
      <c r="E151" s="20">
        <v>4</v>
      </c>
      <c r="F151" s="1">
        <v>756</v>
      </c>
      <c r="G151" s="19" t="s">
        <v>1049</v>
      </c>
      <c r="H151" s="1"/>
    </row>
    <row r="152" spans="1:8" x14ac:dyDescent="0.25">
      <c r="A152" s="1">
        <v>64606</v>
      </c>
      <c r="B152" s="19" t="s">
        <v>1174</v>
      </c>
      <c r="C152" s="10" t="s">
        <v>1060</v>
      </c>
      <c r="D152" s="20">
        <v>69</v>
      </c>
      <c r="E152" s="20">
        <v>8</v>
      </c>
      <c r="F152" s="1">
        <v>67</v>
      </c>
      <c r="G152" s="19" t="s">
        <v>1023</v>
      </c>
      <c r="H152" s="1"/>
    </row>
    <row r="153" spans="1:8" x14ac:dyDescent="0.25">
      <c r="A153" s="1">
        <v>64608</v>
      </c>
      <c r="B153" s="19" t="s">
        <v>1175</v>
      </c>
      <c r="C153" s="10" t="s">
        <v>1060</v>
      </c>
      <c r="D153" s="20">
        <v>69</v>
      </c>
      <c r="E153" s="20">
        <v>3</v>
      </c>
      <c r="F153" s="1">
        <v>50</v>
      </c>
      <c r="G153" s="19" t="s">
        <v>1176</v>
      </c>
      <c r="H153" s="1"/>
    </row>
    <row r="154" spans="1:8" x14ac:dyDescent="0.25">
      <c r="A154" s="1">
        <v>64631</v>
      </c>
      <c r="B154" s="19" t="s">
        <v>1177</v>
      </c>
      <c r="C154" s="10" t="s">
        <v>1026</v>
      </c>
      <c r="D154" s="20">
        <v>83</v>
      </c>
      <c r="E154" s="20">
        <v>5</v>
      </c>
      <c r="F154" s="1">
        <v>1530</v>
      </c>
      <c r="G154" s="19" t="s">
        <v>1049</v>
      </c>
      <c r="H154" s="1"/>
    </row>
    <row r="155" spans="1:8" x14ac:dyDescent="0.25">
      <c r="A155" s="1">
        <v>64633</v>
      </c>
      <c r="B155" s="19" t="s">
        <v>1178</v>
      </c>
      <c r="C155" s="10" t="s">
        <v>1026</v>
      </c>
      <c r="D155" s="20">
        <v>83</v>
      </c>
      <c r="E155" s="20">
        <v>10</v>
      </c>
      <c r="F155" s="1">
        <v>86</v>
      </c>
      <c r="G155" s="19" t="s">
        <v>1049</v>
      </c>
      <c r="H155" s="1"/>
    </row>
    <row r="156" spans="1:8" x14ac:dyDescent="0.25">
      <c r="A156" s="1">
        <v>64646</v>
      </c>
      <c r="B156" s="19" t="s">
        <v>1179</v>
      </c>
      <c r="C156" s="10" t="s">
        <v>1026</v>
      </c>
      <c r="D156" s="20">
        <v>78</v>
      </c>
      <c r="E156" s="20">
        <v>2</v>
      </c>
      <c r="F156" s="1">
        <v>800</v>
      </c>
      <c r="G156" s="19" t="s">
        <v>1049</v>
      </c>
      <c r="H156" s="1"/>
    </row>
    <row r="157" spans="1:8" x14ac:dyDescent="0.25">
      <c r="A157" s="1">
        <v>64818</v>
      </c>
      <c r="B157" s="19" t="s">
        <v>1180</v>
      </c>
      <c r="C157" s="10" t="s">
        <v>1026</v>
      </c>
      <c r="D157" s="20">
        <v>61</v>
      </c>
      <c r="E157" s="20">
        <v>11</v>
      </c>
      <c r="F157" s="1">
        <v>47</v>
      </c>
      <c r="G157" s="19" t="s">
        <v>1030</v>
      </c>
      <c r="H157" s="1"/>
    </row>
    <row r="158" spans="1:8" x14ac:dyDescent="0.25">
      <c r="A158" s="1">
        <v>64820</v>
      </c>
      <c r="B158" s="19" t="s">
        <v>1181</v>
      </c>
      <c r="C158" s="10" t="s">
        <v>1026</v>
      </c>
      <c r="D158" s="20">
        <v>51</v>
      </c>
      <c r="E158" s="20">
        <v>17</v>
      </c>
      <c r="F158" s="1">
        <v>742</v>
      </c>
      <c r="G158" s="19" t="s">
        <v>1023</v>
      </c>
      <c r="H158" s="1"/>
    </row>
    <row r="159" spans="1:8" x14ac:dyDescent="0.25">
      <c r="A159" s="1">
        <v>65609</v>
      </c>
      <c r="B159" s="19" t="s">
        <v>1182</v>
      </c>
      <c r="C159" s="10" t="s">
        <v>1026</v>
      </c>
      <c r="D159" s="20">
        <v>51</v>
      </c>
      <c r="E159" s="20">
        <v>17</v>
      </c>
      <c r="F159" s="1">
        <v>5</v>
      </c>
      <c r="G159" s="19" t="s">
        <v>1023</v>
      </c>
      <c r="H159" s="1"/>
    </row>
    <row r="160" spans="1:8" x14ac:dyDescent="0.25">
      <c r="A160" s="1">
        <v>65610</v>
      </c>
      <c r="B160" s="19" t="s">
        <v>1183</v>
      </c>
      <c r="C160" s="10" t="s">
        <v>1026</v>
      </c>
      <c r="D160" s="20">
        <v>51</v>
      </c>
      <c r="E160" s="20">
        <v>17</v>
      </c>
      <c r="F160" s="1">
        <v>17</v>
      </c>
      <c r="G160" s="19" t="s">
        <v>1023</v>
      </c>
      <c r="H160" s="1"/>
    </row>
    <row r="161" spans="1:8" x14ac:dyDescent="0.25">
      <c r="A161" s="1">
        <v>67375</v>
      </c>
      <c r="B161" s="19" t="s">
        <v>1184</v>
      </c>
      <c r="C161" s="10" t="s">
        <v>1026</v>
      </c>
      <c r="D161" s="20">
        <v>51</v>
      </c>
      <c r="E161" s="20">
        <v>17</v>
      </c>
      <c r="F161" s="1">
        <v>147</v>
      </c>
      <c r="G161" s="19" t="s">
        <v>1023</v>
      </c>
      <c r="H161" s="1"/>
    </row>
    <row r="162" spans="1:8" x14ac:dyDescent="0.25">
      <c r="A162" s="1">
        <v>67376</v>
      </c>
      <c r="B162" s="19" t="s">
        <v>1185</v>
      </c>
      <c r="C162" s="10" t="s">
        <v>1026</v>
      </c>
      <c r="D162" s="20">
        <v>51</v>
      </c>
      <c r="E162" s="20">
        <v>17</v>
      </c>
      <c r="F162" s="1">
        <v>136</v>
      </c>
      <c r="G162" s="19" t="s">
        <v>1023</v>
      </c>
      <c r="H162" s="1"/>
    </row>
    <row r="163" spans="1:8" x14ac:dyDescent="0.25">
      <c r="A163" s="1">
        <v>67862</v>
      </c>
      <c r="B163" s="19" t="s">
        <v>1186</v>
      </c>
      <c r="C163" s="10" t="s">
        <v>1026</v>
      </c>
      <c r="D163" s="20">
        <v>78</v>
      </c>
      <c r="E163" s="20">
        <v>6</v>
      </c>
      <c r="F163" s="1">
        <v>36</v>
      </c>
      <c r="G163" s="19" t="s">
        <v>1049</v>
      </c>
      <c r="H163" s="1"/>
    </row>
    <row r="164" spans="1:8" x14ac:dyDescent="0.25">
      <c r="A164" s="1">
        <v>67892</v>
      </c>
      <c r="B164" s="19" t="s">
        <v>1187</v>
      </c>
      <c r="C164" s="10" t="s">
        <v>1026</v>
      </c>
      <c r="D164" s="20">
        <v>69</v>
      </c>
      <c r="E164" s="20">
        <v>5</v>
      </c>
      <c r="F164" s="1">
        <v>139</v>
      </c>
      <c r="G164" s="19" t="s">
        <v>1176</v>
      </c>
      <c r="H164" s="1"/>
    </row>
    <row r="165" spans="1:8" x14ac:dyDescent="0.25">
      <c r="A165" s="1">
        <v>73020</v>
      </c>
      <c r="B165" s="19" t="s">
        <v>1188</v>
      </c>
      <c r="C165" s="10" t="s">
        <v>1026</v>
      </c>
      <c r="D165" s="20">
        <v>76</v>
      </c>
      <c r="E165" s="20">
        <v>11</v>
      </c>
      <c r="F165" s="1">
        <v>7</v>
      </c>
      <c r="G165" s="19" t="s">
        <v>1033</v>
      </c>
      <c r="H165" s="1"/>
    </row>
    <row r="166" spans="1:8" x14ac:dyDescent="0.25">
      <c r="A166" s="1">
        <v>74491</v>
      </c>
      <c r="B166" s="19" t="s">
        <v>1189</v>
      </c>
      <c r="C166" s="10" t="s">
        <v>1190</v>
      </c>
      <c r="D166" s="20">
        <v>78</v>
      </c>
      <c r="E166" s="20">
        <v>2</v>
      </c>
      <c r="F166" s="1">
        <v>171</v>
      </c>
      <c r="G166" s="19" t="s">
        <v>1049</v>
      </c>
      <c r="H166" s="1"/>
    </row>
    <row r="167" spans="1:8" x14ac:dyDescent="0.25">
      <c r="A167" s="1">
        <v>74492</v>
      </c>
      <c r="B167" s="19" t="s">
        <v>1191</v>
      </c>
      <c r="C167" s="10" t="s">
        <v>1190</v>
      </c>
      <c r="D167" s="20">
        <v>78</v>
      </c>
      <c r="E167" s="20">
        <v>2</v>
      </c>
      <c r="F167" s="1">
        <v>10</v>
      </c>
      <c r="G167" s="19" t="s">
        <v>1049</v>
      </c>
      <c r="H167" s="1"/>
    </row>
    <row r="168" spans="1:8" x14ac:dyDescent="0.25">
      <c r="A168" s="1">
        <v>75027</v>
      </c>
      <c r="B168" s="19" t="s">
        <v>1192</v>
      </c>
      <c r="C168" s="10" t="s">
        <v>1193</v>
      </c>
      <c r="D168" s="20">
        <v>65</v>
      </c>
      <c r="E168" s="20">
        <v>26</v>
      </c>
      <c r="F168" s="1">
        <v>1</v>
      </c>
      <c r="G168" s="19"/>
      <c r="H168" s="1"/>
    </row>
    <row r="169" spans="1:8" x14ac:dyDescent="0.25">
      <c r="A169" s="1">
        <v>77553</v>
      </c>
      <c r="B169" s="19" t="s">
        <v>1194</v>
      </c>
      <c r="C169" s="10" t="s">
        <v>1026</v>
      </c>
      <c r="D169" s="20">
        <v>74</v>
      </c>
      <c r="E169" s="20">
        <v>3</v>
      </c>
      <c r="F169" s="1">
        <v>0</v>
      </c>
      <c r="G169" s="19" t="s">
        <v>1023</v>
      </c>
      <c r="H169" s="1"/>
    </row>
    <row r="170" spans="1:8" x14ac:dyDescent="0.25">
      <c r="A170" s="1">
        <v>77555</v>
      </c>
      <c r="B170" s="19" t="s">
        <v>1195</v>
      </c>
      <c r="C170" s="10" t="s">
        <v>1026</v>
      </c>
      <c r="D170" s="20">
        <v>74</v>
      </c>
      <c r="E170" s="20">
        <v>3</v>
      </c>
      <c r="F170" s="1">
        <v>6</v>
      </c>
      <c r="G170" s="19" t="s">
        <v>1023</v>
      </c>
      <c r="H170" s="1"/>
    </row>
    <row r="171" spans="1:8" x14ac:dyDescent="0.25">
      <c r="A171" s="1">
        <v>78027</v>
      </c>
      <c r="B171" s="19" t="s">
        <v>1196</v>
      </c>
      <c r="C171" s="10" t="s">
        <v>1026</v>
      </c>
      <c r="D171" s="20">
        <v>52</v>
      </c>
      <c r="E171" s="20">
        <v>13</v>
      </c>
      <c r="F171" s="1">
        <v>44</v>
      </c>
      <c r="G171" s="19" t="s">
        <v>1068</v>
      </c>
      <c r="H171" s="1"/>
    </row>
    <row r="172" spans="1:8" x14ac:dyDescent="0.25">
      <c r="A172" s="1">
        <v>78043</v>
      </c>
      <c r="B172" s="19" t="s">
        <v>1197</v>
      </c>
      <c r="C172" s="10" t="s">
        <v>1026</v>
      </c>
      <c r="D172" s="20">
        <v>45</v>
      </c>
      <c r="E172" s="20">
        <v>12</v>
      </c>
      <c r="F172" s="1">
        <v>6</v>
      </c>
      <c r="G172" s="19" t="s">
        <v>1023</v>
      </c>
      <c r="H172" s="1"/>
    </row>
    <row r="173" spans="1:8" x14ac:dyDescent="0.25">
      <c r="A173" s="1">
        <v>78304</v>
      </c>
      <c r="B173" s="19" t="s">
        <v>1198</v>
      </c>
      <c r="C173" s="10" t="s">
        <v>1026</v>
      </c>
      <c r="D173" s="20">
        <v>51</v>
      </c>
      <c r="E173" s="20">
        <v>36</v>
      </c>
      <c r="F173" s="1">
        <v>100</v>
      </c>
      <c r="G173" s="19" t="s">
        <v>1023</v>
      </c>
      <c r="H173" s="1"/>
    </row>
    <row r="174" spans="1:8" x14ac:dyDescent="0.25">
      <c r="A174" s="1">
        <v>79118</v>
      </c>
      <c r="B174" s="19" t="s">
        <v>1199</v>
      </c>
      <c r="C174" s="10" t="s">
        <v>1026</v>
      </c>
      <c r="D174" s="20">
        <v>52</v>
      </c>
      <c r="E174" s="20">
        <v>13</v>
      </c>
      <c r="F174" s="1">
        <v>0</v>
      </c>
      <c r="G174" s="19" t="s">
        <v>1068</v>
      </c>
      <c r="H174" s="1"/>
    </row>
    <row r="175" spans="1:8" x14ac:dyDescent="0.25">
      <c r="A175" s="1">
        <v>80297</v>
      </c>
      <c r="B175" s="19" t="s">
        <v>1200</v>
      </c>
      <c r="C175" s="10" t="s">
        <v>1026</v>
      </c>
      <c r="D175" s="20">
        <v>51</v>
      </c>
      <c r="E175" s="20">
        <v>30</v>
      </c>
      <c r="F175" s="1">
        <v>24</v>
      </c>
      <c r="G175" s="19" t="s">
        <v>1023</v>
      </c>
      <c r="H175" s="1"/>
    </row>
    <row r="176" spans="1:8" x14ac:dyDescent="0.25">
      <c r="A176" s="1">
        <v>80349</v>
      </c>
      <c r="B176" s="19" t="s">
        <v>1201</v>
      </c>
      <c r="C176" s="10" t="s">
        <v>1026</v>
      </c>
      <c r="D176" s="20">
        <v>84</v>
      </c>
      <c r="E176" s="20">
        <v>1</v>
      </c>
      <c r="F176" s="1">
        <v>3</v>
      </c>
      <c r="G176" s="19" t="s">
        <v>1128</v>
      </c>
      <c r="H176" s="1"/>
    </row>
    <row r="177" spans="1:8" x14ac:dyDescent="0.25">
      <c r="A177" s="1">
        <v>80388</v>
      </c>
      <c r="B177" s="19" t="s">
        <v>1202</v>
      </c>
      <c r="C177" s="10" t="s">
        <v>1190</v>
      </c>
      <c r="D177" s="20">
        <v>78</v>
      </c>
      <c r="E177" s="20">
        <v>2</v>
      </c>
      <c r="F177" s="1">
        <v>20</v>
      </c>
      <c r="G177" s="19" t="s">
        <v>1049</v>
      </c>
      <c r="H177" s="1"/>
    </row>
    <row r="178" spans="1:8" x14ac:dyDescent="0.25">
      <c r="A178" s="1">
        <v>80391</v>
      </c>
      <c r="B178" s="19" t="s">
        <v>1203</v>
      </c>
      <c r="C178" s="10" t="s">
        <v>1026</v>
      </c>
      <c r="D178" s="20">
        <v>61</v>
      </c>
      <c r="E178" s="20">
        <v>11</v>
      </c>
      <c r="F178" s="1">
        <v>26</v>
      </c>
      <c r="G178" s="19" t="s">
        <v>1030</v>
      </c>
      <c r="H178" s="1"/>
    </row>
    <row r="179" spans="1:8" x14ac:dyDescent="0.25">
      <c r="A179" s="1">
        <v>80575</v>
      </c>
      <c r="B179" s="19" t="s">
        <v>1204</v>
      </c>
      <c r="C179" s="10" t="s">
        <v>1026</v>
      </c>
      <c r="D179" s="20">
        <v>52</v>
      </c>
      <c r="E179" s="20">
        <v>10</v>
      </c>
      <c r="F179" s="1">
        <v>32</v>
      </c>
      <c r="G179" s="19" t="s">
        <v>1068</v>
      </c>
      <c r="H179" s="1"/>
    </row>
    <row r="180" spans="1:8" x14ac:dyDescent="0.25">
      <c r="A180" s="1">
        <v>80749</v>
      </c>
      <c r="B180" s="19" t="s">
        <v>1205</v>
      </c>
      <c r="C180" s="10" t="s">
        <v>1026</v>
      </c>
      <c r="D180" s="20">
        <v>55</v>
      </c>
      <c r="E180" s="20">
        <v>37</v>
      </c>
      <c r="F180" s="1">
        <v>47</v>
      </c>
      <c r="G180" s="19" t="s">
        <v>1037</v>
      </c>
      <c r="H180" s="1"/>
    </row>
    <row r="181" spans="1:8" x14ac:dyDescent="0.25">
      <c r="A181" s="1">
        <v>81509</v>
      </c>
      <c r="B181" s="19" t="s">
        <v>1206</v>
      </c>
      <c r="C181" s="10" t="s">
        <v>1207</v>
      </c>
      <c r="D181" s="20">
        <v>51</v>
      </c>
      <c r="E181" s="20">
        <v>21</v>
      </c>
      <c r="F181" s="1">
        <v>828.1</v>
      </c>
      <c r="G181" s="19" t="s">
        <v>1023</v>
      </c>
      <c r="H181" s="1"/>
    </row>
    <row r="182" spans="1:8" x14ac:dyDescent="0.25">
      <c r="A182" s="1">
        <v>82829</v>
      </c>
      <c r="B182" s="19" t="s">
        <v>1208</v>
      </c>
      <c r="C182" s="10" t="s">
        <v>1026</v>
      </c>
      <c r="D182" s="20">
        <v>52</v>
      </c>
      <c r="E182" s="20">
        <v>13</v>
      </c>
      <c r="F182" s="1">
        <v>29</v>
      </c>
      <c r="G182" s="19" t="s">
        <v>1068</v>
      </c>
      <c r="H182" s="1"/>
    </row>
    <row r="183" spans="1:8" x14ac:dyDescent="0.25">
      <c r="A183" s="1">
        <v>83788</v>
      </c>
      <c r="B183" s="19" t="s">
        <v>1209</v>
      </c>
      <c r="C183" s="10" t="s">
        <v>1026</v>
      </c>
      <c r="D183" s="20">
        <v>55</v>
      </c>
      <c r="E183" s="20">
        <v>32</v>
      </c>
      <c r="F183" s="1">
        <v>19</v>
      </c>
      <c r="G183" s="19" t="s">
        <v>1037</v>
      </c>
      <c r="H183" s="1"/>
    </row>
    <row r="184" spans="1:8" x14ac:dyDescent="0.25">
      <c r="A184" s="1">
        <v>86891</v>
      </c>
      <c r="B184" s="19" t="s">
        <v>1210</v>
      </c>
      <c r="C184" s="10" t="s">
        <v>1026</v>
      </c>
      <c r="D184" s="20">
        <v>78</v>
      </c>
      <c r="E184" s="20">
        <v>2</v>
      </c>
      <c r="F184" s="1">
        <v>18000</v>
      </c>
      <c r="G184" s="19" t="s">
        <v>1049</v>
      </c>
      <c r="H184" s="1"/>
    </row>
    <row r="185" spans="1:8" x14ac:dyDescent="0.25">
      <c r="A185" s="1">
        <v>87157</v>
      </c>
      <c r="B185" s="19" t="s">
        <v>1211</v>
      </c>
      <c r="C185" s="10" t="s">
        <v>1207</v>
      </c>
      <c r="D185" s="20">
        <v>51</v>
      </c>
      <c r="E185" s="20">
        <v>19</v>
      </c>
      <c r="F185" s="1">
        <v>2076.14</v>
      </c>
      <c r="G185" s="19" t="s">
        <v>1023</v>
      </c>
      <c r="H185" s="1"/>
    </row>
    <row r="186" spans="1:8" x14ac:dyDescent="0.25">
      <c r="A186" s="1">
        <v>87160</v>
      </c>
      <c r="B186" s="19" t="s">
        <v>1212</v>
      </c>
      <c r="C186" s="10" t="s">
        <v>1207</v>
      </c>
      <c r="D186" s="20">
        <v>51</v>
      </c>
      <c r="E186" s="20">
        <v>19</v>
      </c>
      <c r="F186" s="1">
        <v>117.08</v>
      </c>
      <c r="G186" s="19" t="s">
        <v>1023</v>
      </c>
      <c r="H186" s="1"/>
    </row>
    <row r="187" spans="1:8" x14ac:dyDescent="0.25">
      <c r="A187" s="1">
        <v>88083</v>
      </c>
      <c r="B187" s="19" t="s">
        <v>1213</v>
      </c>
      <c r="C187" s="10" t="s">
        <v>1026</v>
      </c>
      <c r="D187" s="20">
        <v>84</v>
      </c>
      <c r="E187" s="20">
        <v>1</v>
      </c>
      <c r="F187" s="1">
        <v>2</v>
      </c>
      <c r="G187" s="19" t="s">
        <v>1128</v>
      </c>
      <c r="H187" s="1"/>
    </row>
    <row r="188" spans="1:8" x14ac:dyDescent="0.25">
      <c r="A188" s="1">
        <v>88084</v>
      </c>
      <c r="B188" s="19" t="s">
        <v>1214</v>
      </c>
      <c r="C188" s="10" t="s">
        <v>1026</v>
      </c>
      <c r="D188" s="20">
        <v>84</v>
      </c>
      <c r="E188" s="20">
        <v>2</v>
      </c>
      <c r="F188" s="1">
        <v>4</v>
      </c>
      <c r="G188" s="19" t="s">
        <v>1128</v>
      </c>
      <c r="H188" s="1"/>
    </row>
    <row r="189" spans="1:8" x14ac:dyDescent="0.25">
      <c r="A189" s="1">
        <v>88741</v>
      </c>
      <c r="B189" s="19" t="s">
        <v>1215</v>
      </c>
      <c r="C189" s="10" t="s">
        <v>1026</v>
      </c>
      <c r="D189" s="20">
        <v>55</v>
      </c>
      <c r="E189" s="20">
        <v>26</v>
      </c>
      <c r="F189" s="1">
        <v>27</v>
      </c>
      <c r="G189" s="19" t="s">
        <v>1037</v>
      </c>
      <c r="H189" s="1"/>
    </row>
    <row r="190" spans="1:8" x14ac:dyDescent="0.25">
      <c r="A190" s="1">
        <v>88742</v>
      </c>
      <c r="B190" s="19" t="s">
        <v>1216</v>
      </c>
      <c r="C190" s="10" t="s">
        <v>1026</v>
      </c>
      <c r="D190" s="20">
        <v>55</v>
      </c>
      <c r="E190" s="20">
        <v>26</v>
      </c>
      <c r="F190" s="1">
        <v>3</v>
      </c>
      <c r="G190" s="19" t="s">
        <v>1037</v>
      </c>
      <c r="H190" s="1"/>
    </row>
    <row r="191" spans="1:8" x14ac:dyDescent="0.25">
      <c r="A191" s="1">
        <v>89860</v>
      </c>
      <c r="B191" s="19" t="s">
        <v>1217</v>
      </c>
      <c r="C191" s="10" t="s">
        <v>1026</v>
      </c>
      <c r="D191" s="20">
        <v>83</v>
      </c>
      <c r="E191" s="20">
        <v>3</v>
      </c>
      <c r="F191" s="1">
        <v>174</v>
      </c>
      <c r="G191" s="19" t="s">
        <v>1049</v>
      </c>
      <c r="H191" s="1"/>
    </row>
    <row r="192" spans="1:8" x14ac:dyDescent="0.25">
      <c r="A192" s="1">
        <v>89866</v>
      </c>
      <c r="B192" s="19" t="s">
        <v>1218</v>
      </c>
      <c r="C192" s="10" t="s">
        <v>1219</v>
      </c>
      <c r="D192" s="20">
        <v>67</v>
      </c>
      <c r="E192" s="20">
        <v>3</v>
      </c>
      <c r="F192" s="1">
        <v>172</v>
      </c>
      <c r="G192" s="19" t="s">
        <v>1049</v>
      </c>
      <c r="H192" s="1"/>
    </row>
    <row r="193" spans="1:8" x14ac:dyDescent="0.25">
      <c r="A193" s="1">
        <v>90232</v>
      </c>
      <c r="B193" s="19" t="s">
        <v>1220</v>
      </c>
      <c r="C193" s="10" t="s">
        <v>1153</v>
      </c>
      <c r="D193" s="20">
        <v>76</v>
      </c>
      <c r="E193" s="20">
        <v>10</v>
      </c>
      <c r="F193" s="1">
        <v>0</v>
      </c>
      <c r="G193" s="19" t="s">
        <v>1033</v>
      </c>
      <c r="H193" s="1"/>
    </row>
    <row r="194" spans="1:8" x14ac:dyDescent="0.25">
      <c r="A194" s="1">
        <v>90470</v>
      </c>
      <c r="B194" s="19" t="s">
        <v>1221</v>
      </c>
      <c r="C194" s="10" t="s">
        <v>1032</v>
      </c>
      <c r="D194" s="20">
        <v>76</v>
      </c>
      <c r="E194" s="20">
        <v>3</v>
      </c>
      <c r="F194" s="1">
        <v>17</v>
      </c>
      <c r="G194" s="19" t="s">
        <v>1033</v>
      </c>
      <c r="H194" s="1"/>
    </row>
    <row r="195" spans="1:8" x14ac:dyDescent="0.25">
      <c r="A195" s="1">
        <v>90827</v>
      </c>
      <c r="B195" s="19" t="s">
        <v>1222</v>
      </c>
      <c r="C195" s="10" t="s">
        <v>1032</v>
      </c>
      <c r="D195" s="20">
        <v>51</v>
      </c>
      <c r="E195" s="20">
        <v>3</v>
      </c>
      <c r="F195" s="1">
        <v>4</v>
      </c>
      <c r="G195" s="19" t="s">
        <v>1049</v>
      </c>
      <c r="H195" s="1"/>
    </row>
    <row r="196" spans="1:8" x14ac:dyDescent="0.25">
      <c r="A196" s="1">
        <v>90884</v>
      </c>
      <c r="B196" s="19" t="s">
        <v>1223</v>
      </c>
      <c r="C196" s="10" t="s">
        <v>1153</v>
      </c>
      <c r="D196" s="20">
        <v>76</v>
      </c>
      <c r="E196" s="20">
        <v>10</v>
      </c>
      <c r="F196" s="1">
        <v>22</v>
      </c>
      <c r="G196" s="19" t="s">
        <v>1033</v>
      </c>
      <c r="H196" s="1"/>
    </row>
    <row r="197" spans="1:8" x14ac:dyDescent="0.25">
      <c r="A197" s="1">
        <v>93333</v>
      </c>
      <c r="B197" s="19" t="s">
        <v>1224</v>
      </c>
      <c r="C197" s="10" t="s">
        <v>1063</v>
      </c>
      <c r="D197" s="20">
        <v>57</v>
      </c>
      <c r="E197" s="20">
        <v>2</v>
      </c>
      <c r="F197" s="1">
        <v>2423</v>
      </c>
      <c r="G197" s="19" t="s">
        <v>1064</v>
      </c>
      <c r="H197" s="1"/>
    </row>
    <row r="198" spans="1:8" x14ac:dyDescent="0.25">
      <c r="A198" s="1">
        <v>94787</v>
      </c>
      <c r="B198" s="19" t="s">
        <v>1225</v>
      </c>
      <c r="C198" s="10" t="s">
        <v>1026</v>
      </c>
      <c r="D198" s="20">
        <v>67</v>
      </c>
      <c r="E198" s="20">
        <v>1</v>
      </c>
      <c r="F198" s="1">
        <v>852</v>
      </c>
      <c r="G198" s="19" t="s">
        <v>1023</v>
      </c>
      <c r="H198" s="1"/>
    </row>
    <row r="199" spans="1:8" x14ac:dyDescent="0.25">
      <c r="A199" s="1">
        <v>95970</v>
      </c>
      <c r="B199" s="19" t="s">
        <v>1226</v>
      </c>
      <c r="C199" s="10" t="s">
        <v>1026</v>
      </c>
      <c r="D199" s="20">
        <v>67</v>
      </c>
      <c r="E199" s="20">
        <v>13</v>
      </c>
      <c r="F199" s="1">
        <v>100</v>
      </c>
      <c r="G199" s="19"/>
      <c r="H199" s="1"/>
    </row>
    <row r="200" spans="1:8" x14ac:dyDescent="0.25">
      <c r="A200" s="1">
        <v>98360</v>
      </c>
      <c r="B200" s="19" t="s">
        <v>1227</v>
      </c>
      <c r="C200" s="10" t="s">
        <v>1103</v>
      </c>
      <c r="D200" s="20">
        <v>70</v>
      </c>
      <c r="E200" s="20">
        <v>47</v>
      </c>
      <c r="F200" s="1">
        <v>50</v>
      </c>
      <c r="G200" s="19" t="s">
        <v>1049</v>
      </c>
      <c r="H200" s="1"/>
    </row>
    <row r="201" spans="1:8" x14ac:dyDescent="0.25">
      <c r="A201" s="1">
        <v>99790</v>
      </c>
      <c r="B201" s="19" t="s">
        <v>1228</v>
      </c>
      <c r="C201" s="10" t="s">
        <v>1026</v>
      </c>
      <c r="D201" s="20">
        <v>55</v>
      </c>
      <c r="E201" s="20">
        <v>32</v>
      </c>
      <c r="F201" s="1">
        <v>23</v>
      </c>
      <c r="G201" s="19" t="s">
        <v>1037</v>
      </c>
      <c r="H201" s="1"/>
    </row>
    <row r="202" spans="1:8" x14ac:dyDescent="0.25">
      <c r="A202" s="1">
        <v>102443</v>
      </c>
      <c r="B202" s="19" t="s">
        <v>1229</v>
      </c>
      <c r="C202" s="10" t="s">
        <v>1026</v>
      </c>
      <c r="D202" s="20">
        <v>78</v>
      </c>
      <c r="E202" s="20">
        <v>6</v>
      </c>
      <c r="F202" s="1">
        <v>327</v>
      </c>
      <c r="G202" s="19" t="s">
        <v>1049</v>
      </c>
      <c r="H202" s="1"/>
    </row>
    <row r="203" spans="1:8" x14ac:dyDescent="0.25">
      <c r="A203" s="1">
        <v>102634</v>
      </c>
      <c r="B203" s="19" t="s">
        <v>1425</v>
      </c>
      <c r="C203" s="10" t="s">
        <v>1026</v>
      </c>
      <c r="D203" s="20">
        <v>69</v>
      </c>
      <c r="E203" s="20">
        <v>5</v>
      </c>
      <c r="F203" s="1">
        <v>12</v>
      </c>
      <c r="G203" s="19" t="s">
        <v>1037</v>
      </c>
      <c r="H203" s="1"/>
    </row>
    <row r="204" spans="1:8" x14ac:dyDescent="0.25">
      <c r="A204" s="1">
        <v>102684</v>
      </c>
      <c r="B204" s="19" t="s">
        <v>1230</v>
      </c>
      <c r="C204" s="10" t="s">
        <v>1026</v>
      </c>
      <c r="D204" s="20">
        <v>69</v>
      </c>
      <c r="E204" s="20">
        <v>5</v>
      </c>
      <c r="F204" s="1">
        <v>50</v>
      </c>
      <c r="G204" s="19" t="s">
        <v>1037</v>
      </c>
      <c r="H204" s="1"/>
    </row>
    <row r="205" spans="1:8" x14ac:dyDescent="0.25">
      <c r="A205" s="1">
        <v>102685</v>
      </c>
      <c r="B205" s="19" t="s">
        <v>1231</v>
      </c>
      <c r="C205" s="10" t="s">
        <v>1026</v>
      </c>
      <c r="D205" s="20">
        <v>69</v>
      </c>
      <c r="E205" s="20">
        <v>5</v>
      </c>
      <c r="F205" s="1">
        <v>20</v>
      </c>
      <c r="G205" s="19" t="s">
        <v>1037</v>
      </c>
      <c r="H205" s="1"/>
    </row>
    <row r="206" spans="1:8" x14ac:dyDescent="0.25">
      <c r="A206" s="1">
        <v>102686</v>
      </c>
      <c r="B206" s="19" t="s">
        <v>1232</v>
      </c>
      <c r="C206" s="10" t="s">
        <v>1026</v>
      </c>
      <c r="D206" s="20">
        <v>69</v>
      </c>
      <c r="E206" s="20">
        <v>5</v>
      </c>
      <c r="F206" s="1">
        <v>17</v>
      </c>
      <c r="G206" s="19" t="s">
        <v>1037</v>
      </c>
      <c r="H206" s="1"/>
    </row>
    <row r="207" spans="1:8" x14ac:dyDescent="0.25">
      <c r="A207" s="1">
        <v>102687</v>
      </c>
      <c r="B207" s="19" t="s">
        <v>1233</v>
      </c>
      <c r="C207" s="10" t="s">
        <v>1026</v>
      </c>
      <c r="D207" s="20">
        <v>69</v>
      </c>
      <c r="E207" s="20">
        <v>5</v>
      </c>
      <c r="F207" s="1">
        <v>17</v>
      </c>
      <c r="G207" s="19" t="s">
        <v>1037</v>
      </c>
      <c r="H207" s="1"/>
    </row>
    <row r="208" spans="1:8" x14ac:dyDescent="0.25">
      <c r="A208" s="1">
        <v>102688</v>
      </c>
      <c r="B208" s="19" t="s">
        <v>1234</v>
      </c>
      <c r="C208" s="10" t="s">
        <v>1026</v>
      </c>
      <c r="D208" s="20">
        <v>69</v>
      </c>
      <c r="E208" s="20">
        <v>5</v>
      </c>
      <c r="F208" s="1">
        <v>10</v>
      </c>
      <c r="G208" s="19" t="s">
        <v>1037</v>
      </c>
      <c r="H208" s="1"/>
    </row>
    <row r="209" spans="1:8" x14ac:dyDescent="0.25">
      <c r="A209" s="1">
        <v>102692</v>
      </c>
      <c r="B209" s="19" t="s">
        <v>1235</v>
      </c>
      <c r="C209" s="10" t="s">
        <v>1026</v>
      </c>
      <c r="D209" s="20">
        <v>69</v>
      </c>
      <c r="E209" s="20">
        <v>5</v>
      </c>
      <c r="F209" s="1">
        <v>8</v>
      </c>
      <c r="G209" s="19" t="s">
        <v>1037</v>
      </c>
      <c r="H209" s="1"/>
    </row>
    <row r="210" spans="1:8" x14ac:dyDescent="0.25">
      <c r="A210" s="1">
        <v>102693</v>
      </c>
      <c r="B210" s="19" t="s">
        <v>1236</v>
      </c>
      <c r="C210" s="10" t="s">
        <v>1026</v>
      </c>
      <c r="D210" s="20">
        <v>69</v>
      </c>
      <c r="E210" s="20">
        <v>8</v>
      </c>
      <c r="F210" s="1">
        <v>2</v>
      </c>
      <c r="G210" s="19" t="s">
        <v>1037</v>
      </c>
      <c r="H210" s="1"/>
    </row>
    <row r="211" spans="1:8" x14ac:dyDescent="0.25">
      <c r="A211" s="1">
        <v>102695</v>
      </c>
      <c r="B211" s="19" t="s">
        <v>1237</v>
      </c>
      <c r="C211" s="10" t="s">
        <v>1026</v>
      </c>
      <c r="D211" s="20">
        <v>69</v>
      </c>
      <c r="E211" s="20">
        <v>5</v>
      </c>
      <c r="F211" s="1">
        <v>25</v>
      </c>
      <c r="G211" s="19" t="s">
        <v>1037</v>
      </c>
      <c r="H211" s="1"/>
    </row>
    <row r="212" spans="1:8" x14ac:dyDescent="0.25">
      <c r="A212" s="1">
        <v>102696</v>
      </c>
      <c r="B212" s="19" t="s">
        <v>1238</v>
      </c>
      <c r="C212" s="10" t="s">
        <v>1026</v>
      </c>
      <c r="D212" s="20">
        <v>69</v>
      </c>
      <c r="E212" s="20">
        <v>5</v>
      </c>
      <c r="F212" s="1">
        <v>15</v>
      </c>
      <c r="G212" s="19" t="s">
        <v>1037</v>
      </c>
      <c r="H212" s="1"/>
    </row>
    <row r="213" spans="1:8" x14ac:dyDescent="0.25">
      <c r="A213" s="1">
        <v>102697</v>
      </c>
      <c r="B213" s="19" t="s">
        <v>1239</v>
      </c>
      <c r="C213" s="10" t="s">
        <v>1026</v>
      </c>
      <c r="D213" s="20">
        <v>69</v>
      </c>
      <c r="E213" s="20">
        <v>8</v>
      </c>
      <c r="F213" s="1">
        <v>114</v>
      </c>
      <c r="G213" s="19" t="s">
        <v>1037</v>
      </c>
      <c r="H213" s="1"/>
    </row>
    <row r="214" spans="1:8" x14ac:dyDescent="0.25">
      <c r="A214" s="1">
        <v>102698</v>
      </c>
      <c r="B214" s="19" t="s">
        <v>1240</v>
      </c>
      <c r="C214" s="10" t="s">
        <v>1026</v>
      </c>
      <c r="D214" s="20">
        <v>69</v>
      </c>
      <c r="E214" s="20">
        <v>5</v>
      </c>
      <c r="F214" s="1">
        <v>101</v>
      </c>
      <c r="G214" s="19" t="s">
        <v>1037</v>
      </c>
      <c r="H214" s="1"/>
    </row>
    <row r="215" spans="1:8" x14ac:dyDescent="0.25">
      <c r="A215" s="1">
        <v>102699</v>
      </c>
      <c r="B215" s="19" t="s">
        <v>1241</v>
      </c>
      <c r="C215" s="10" t="s">
        <v>1026</v>
      </c>
      <c r="D215" s="20">
        <v>69</v>
      </c>
      <c r="E215" s="20">
        <v>18</v>
      </c>
      <c r="F215" s="1">
        <v>14</v>
      </c>
      <c r="G215" s="19" t="s">
        <v>1037</v>
      </c>
      <c r="H215" s="1"/>
    </row>
    <row r="216" spans="1:8" x14ac:dyDescent="0.25">
      <c r="A216" s="1">
        <v>102726</v>
      </c>
      <c r="B216" s="19" t="s">
        <v>1242</v>
      </c>
      <c r="C216" s="10" t="s">
        <v>1026</v>
      </c>
      <c r="D216" s="20">
        <v>69</v>
      </c>
      <c r="E216" s="20">
        <v>5</v>
      </c>
      <c r="F216" s="1">
        <v>100</v>
      </c>
      <c r="G216" s="19" t="s">
        <v>1037</v>
      </c>
      <c r="H216" s="1"/>
    </row>
    <row r="217" spans="1:8" x14ac:dyDescent="0.25">
      <c r="A217" s="1">
        <v>102777</v>
      </c>
      <c r="B217" s="19" t="s">
        <v>1243</v>
      </c>
      <c r="C217" s="10" t="s">
        <v>1026</v>
      </c>
      <c r="D217" s="20">
        <v>55</v>
      </c>
      <c r="E217" s="20">
        <v>32</v>
      </c>
      <c r="F217" s="1">
        <v>32</v>
      </c>
      <c r="G217" s="19" t="s">
        <v>1037</v>
      </c>
      <c r="H217" s="1"/>
    </row>
    <row r="218" spans="1:8" x14ac:dyDescent="0.25">
      <c r="A218" s="1">
        <v>102782</v>
      </c>
      <c r="B218" s="19" t="s">
        <v>1244</v>
      </c>
      <c r="C218" s="10" t="s">
        <v>1026</v>
      </c>
      <c r="D218" s="20">
        <v>69</v>
      </c>
      <c r="E218" s="20">
        <v>5</v>
      </c>
      <c r="F218" s="1">
        <v>18</v>
      </c>
      <c r="G218" s="19" t="s">
        <v>1037</v>
      </c>
      <c r="H218" s="1"/>
    </row>
    <row r="219" spans="1:8" x14ac:dyDescent="0.25">
      <c r="A219" s="1">
        <v>103298</v>
      </c>
      <c r="B219" s="19" t="s">
        <v>1245</v>
      </c>
      <c r="C219" s="10" t="s">
        <v>1026</v>
      </c>
      <c r="D219" s="20">
        <v>55</v>
      </c>
      <c r="E219" s="20">
        <v>49</v>
      </c>
      <c r="F219" s="1">
        <v>43</v>
      </c>
      <c r="G219" s="19" t="s">
        <v>1037</v>
      </c>
      <c r="H219" s="1"/>
    </row>
    <row r="220" spans="1:8" x14ac:dyDescent="0.25">
      <c r="A220" s="1">
        <v>103299</v>
      </c>
      <c r="B220" s="19" t="s">
        <v>1246</v>
      </c>
      <c r="C220" s="10" t="s">
        <v>1026</v>
      </c>
      <c r="D220" s="20">
        <v>55</v>
      </c>
      <c r="E220" s="20">
        <v>49</v>
      </c>
      <c r="F220" s="1">
        <v>10</v>
      </c>
      <c r="G220" s="19" t="s">
        <v>1037</v>
      </c>
      <c r="H220" s="1"/>
    </row>
    <row r="221" spans="1:8" x14ac:dyDescent="0.25">
      <c r="A221" s="1">
        <v>103444</v>
      </c>
      <c r="B221" s="19" t="s">
        <v>1247</v>
      </c>
      <c r="C221" s="10" t="s">
        <v>1219</v>
      </c>
      <c r="D221" s="20">
        <v>70</v>
      </c>
      <c r="E221" s="20">
        <v>13</v>
      </c>
      <c r="F221" s="1">
        <v>168</v>
      </c>
      <c r="G221" s="19" t="s">
        <v>1049</v>
      </c>
      <c r="H221" s="1"/>
    </row>
    <row r="222" spans="1:8" x14ac:dyDescent="0.25">
      <c r="A222" s="1">
        <v>104755</v>
      </c>
      <c r="B222" s="19" t="s">
        <v>976</v>
      </c>
      <c r="C222" s="10"/>
      <c r="D222" s="20">
        <v>78</v>
      </c>
      <c r="E222" s="20">
        <v>6</v>
      </c>
      <c r="F222" s="1"/>
      <c r="G222" s="19"/>
      <c r="H222" s="1"/>
    </row>
    <row r="223" spans="1:8" x14ac:dyDescent="0.25">
      <c r="A223" s="1">
        <v>105128</v>
      </c>
      <c r="B223" s="19" t="s">
        <v>1333</v>
      </c>
      <c r="C223" s="10"/>
      <c r="D223" s="20"/>
      <c r="E223" s="20"/>
      <c r="F223" s="1"/>
      <c r="G223" s="19"/>
      <c r="H223" s="1">
        <v>135227</v>
      </c>
    </row>
    <row r="224" spans="1:8" x14ac:dyDescent="0.25">
      <c r="A224" s="1">
        <v>105180</v>
      </c>
      <c r="B224" s="19" t="s">
        <v>1248</v>
      </c>
      <c r="C224" s="10" t="s">
        <v>1207</v>
      </c>
      <c r="D224" s="20">
        <v>51</v>
      </c>
      <c r="E224" s="20">
        <v>21</v>
      </c>
      <c r="F224" s="1">
        <v>49.8</v>
      </c>
      <c r="G224" s="19" t="s">
        <v>1023</v>
      </c>
      <c r="H224" s="1"/>
    </row>
    <row r="225" spans="1:8" x14ac:dyDescent="0.25">
      <c r="A225" s="1">
        <v>105419</v>
      </c>
      <c r="B225" s="19" t="s">
        <v>1249</v>
      </c>
      <c r="C225" s="10" t="s">
        <v>1026</v>
      </c>
      <c r="D225" s="20">
        <v>55</v>
      </c>
      <c r="E225" s="20">
        <v>32</v>
      </c>
      <c r="F225" s="1">
        <v>80</v>
      </c>
      <c r="G225" s="19" t="s">
        <v>1037</v>
      </c>
      <c r="H225" s="1"/>
    </row>
    <row r="226" spans="1:8" x14ac:dyDescent="0.25">
      <c r="A226" s="1">
        <v>105492</v>
      </c>
      <c r="B226" s="19" t="s">
        <v>1334</v>
      </c>
      <c r="C226" s="10" t="s">
        <v>1153</v>
      </c>
      <c r="D226" s="20">
        <v>76</v>
      </c>
      <c r="E226" s="20">
        <v>9</v>
      </c>
      <c r="F226" s="1">
        <v>106</v>
      </c>
      <c r="G226" s="19" t="s">
        <v>1033</v>
      </c>
      <c r="H226" s="1"/>
    </row>
    <row r="227" spans="1:8" x14ac:dyDescent="0.25">
      <c r="A227" s="1">
        <v>105493</v>
      </c>
      <c r="B227" s="19" t="s">
        <v>1250</v>
      </c>
      <c r="C227" s="10" t="s">
        <v>1153</v>
      </c>
      <c r="D227" s="20">
        <v>76</v>
      </c>
      <c r="E227" s="20">
        <v>9</v>
      </c>
      <c r="F227" s="1">
        <v>122</v>
      </c>
      <c r="G227" s="19" t="s">
        <v>1033</v>
      </c>
      <c r="H227" s="1"/>
    </row>
    <row r="228" spans="1:8" x14ac:dyDescent="0.25">
      <c r="A228" s="1">
        <v>106039</v>
      </c>
      <c r="B228" s="19" t="s">
        <v>1251</v>
      </c>
      <c r="C228" s="10" t="s">
        <v>1026</v>
      </c>
      <c r="D228" s="20">
        <v>52</v>
      </c>
      <c r="E228" s="20">
        <v>8</v>
      </c>
      <c r="F228" s="1">
        <v>9</v>
      </c>
      <c r="G228" s="19" t="s">
        <v>1068</v>
      </c>
      <c r="H228" s="1"/>
    </row>
    <row r="229" spans="1:8" x14ac:dyDescent="0.25">
      <c r="A229" s="1">
        <v>106765</v>
      </c>
      <c r="B229" s="19" t="s">
        <v>1252</v>
      </c>
      <c r="C229" s="10" t="s">
        <v>1026</v>
      </c>
      <c r="D229" s="20">
        <v>83</v>
      </c>
      <c r="E229" s="20">
        <v>3</v>
      </c>
      <c r="F229" s="1">
        <v>233</v>
      </c>
      <c r="G229" s="19" t="s">
        <v>1049</v>
      </c>
      <c r="H229" s="1"/>
    </row>
    <row r="230" spans="1:8" x14ac:dyDescent="0.25">
      <c r="A230" s="1">
        <v>107736</v>
      </c>
      <c r="B230" s="19" t="s">
        <v>1253</v>
      </c>
      <c r="C230" s="10" t="s">
        <v>1016</v>
      </c>
      <c r="D230" s="20">
        <v>52</v>
      </c>
      <c r="E230" s="20">
        <v>10</v>
      </c>
      <c r="F230" s="1">
        <v>3</v>
      </c>
      <c r="G230" s="19" t="s">
        <v>1068</v>
      </c>
      <c r="H230" s="1"/>
    </row>
    <row r="231" spans="1:8" x14ac:dyDescent="0.25">
      <c r="A231" s="1">
        <v>107737</v>
      </c>
      <c r="B231" s="19" t="s">
        <v>1254</v>
      </c>
      <c r="C231" s="10" t="s">
        <v>1016</v>
      </c>
      <c r="D231" s="20">
        <v>52</v>
      </c>
      <c r="E231" s="20">
        <v>10</v>
      </c>
      <c r="F231" s="1">
        <v>8</v>
      </c>
      <c r="G231" s="19" t="s">
        <v>1068</v>
      </c>
      <c r="H231" s="1"/>
    </row>
    <row r="232" spans="1:8" x14ac:dyDescent="0.25">
      <c r="A232" s="1">
        <v>107909</v>
      </c>
      <c r="B232" s="19" t="s">
        <v>1255</v>
      </c>
      <c r="C232" s="10" t="s">
        <v>1256</v>
      </c>
      <c r="D232" s="20">
        <v>72</v>
      </c>
      <c r="E232" s="20">
        <v>14</v>
      </c>
      <c r="F232" s="1">
        <v>35</v>
      </c>
      <c r="G232" s="19"/>
      <c r="H232" s="1"/>
    </row>
    <row r="233" spans="1:8" x14ac:dyDescent="0.25">
      <c r="A233" s="1">
        <v>107925</v>
      </c>
      <c r="B233" s="19" t="s">
        <v>1257</v>
      </c>
      <c r="C233" s="10" t="s">
        <v>1016</v>
      </c>
      <c r="D233" s="20">
        <v>51</v>
      </c>
      <c r="E233" s="20">
        <v>11</v>
      </c>
      <c r="F233" s="1">
        <v>1240</v>
      </c>
      <c r="G233" s="19" t="s">
        <v>1049</v>
      </c>
      <c r="H233" s="1"/>
    </row>
    <row r="234" spans="1:8" x14ac:dyDescent="0.25">
      <c r="A234" s="1">
        <v>108732</v>
      </c>
      <c r="B234" s="19" t="s">
        <v>589</v>
      </c>
      <c r="C234" s="10" t="s">
        <v>1190</v>
      </c>
      <c r="D234" s="20">
        <v>54</v>
      </c>
      <c r="E234" s="20">
        <v>4</v>
      </c>
      <c r="F234" s="1"/>
      <c r="G234" s="19" t="s">
        <v>1424</v>
      </c>
      <c r="H234" s="1">
        <v>98747</v>
      </c>
    </row>
    <row r="235" spans="1:8" x14ac:dyDescent="0.25">
      <c r="A235" s="1">
        <v>108734</v>
      </c>
      <c r="B235" s="19" t="s">
        <v>590</v>
      </c>
      <c r="C235" s="10" t="s">
        <v>1190</v>
      </c>
      <c r="D235" s="20">
        <v>54</v>
      </c>
      <c r="E235" s="20">
        <v>4</v>
      </c>
      <c r="F235" s="1"/>
      <c r="G235" s="19" t="s">
        <v>1424</v>
      </c>
      <c r="H235" s="1">
        <v>98749</v>
      </c>
    </row>
    <row r="236" spans="1:8" x14ac:dyDescent="0.25">
      <c r="A236" s="1">
        <v>108735</v>
      </c>
      <c r="B236" s="19" t="s">
        <v>591</v>
      </c>
      <c r="C236" s="10" t="s">
        <v>1190</v>
      </c>
      <c r="D236" s="20">
        <v>54</v>
      </c>
      <c r="E236" s="20">
        <v>4</v>
      </c>
      <c r="F236" s="1"/>
      <c r="G236" s="19" t="s">
        <v>1424</v>
      </c>
      <c r="H236" s="1">
        <v>98750</v>
      </c>
    </row>
    <row r="237" spans="1:8" x14ac:dyDescent="0.25">
      <c r="A237" s="1">
        <v>108736</v>
      </c>
      <c r="B237" s="19" t="s">
        <v>592</v>
      </c>
      <c r="C237" s="10" t="s">
        <v>1190</v>
      </c>
      <c r="D237" s="20">
        <v>54</v>
      </c>
      <c r="E237" s="20">
        <v>4</v>
      </c>
      <c r="F237" s="1"/>
      <c r="G237" s="19" t="s">
        <v>1424</v>
      </c>
      <c r="H237" s="1">
        <v>98751</v>
      </c>
    </row>
    <row r="238" spans="1:8" x14ac:dyDescent="0.25">
      <c r="A238" s="1">
        <v>110216</v>
      </c>
      <c r="B238" s="19" t="s">
        <v>1258</v>
      </c>
      <c r="C238" s="10" t="s">
        <v>1022</v>
      </c>
      <c r="D238" s="20">
        <v>51</v>
      </c>
      <c r="E238" s="20">
        <v>4</v>
      </c>
      <c r="F238" s="1">
        <v>82</v>
      </c>
      <c r="G238" s="19" t="s">
        <v>1023</v>
      </c>
      <c r="H238" s="1"/>
    </row>
    <row r="239" spans="1:8" x14ac:dyDescent="0.25">
      <c r="A239" s="1">
        <v>111756</v>
      </c>
      <c r="B239" s="19" t="s">
        <v>1259</v>
      </c>
      <c r="C239" s="10" t="s">
        <v>1016</v>
      </c>
      <c r="D239" s="20">
        <v>67</v>
      </c>
      <c r="E239" s="20">
        <v>13</v>
      </c>
      <c r="F239" s="1">
        <v>500</v>
      </c>
      <c r="G239" s="19" t="s">
        <v>1049</v>
      </c>
      <c r="H239" s="1"/>
    </row>
    <row r="240" spans="1:8" x14ac:dyDescent="0.25">
      <c r="A240" s="1">
        <v>112164</v>
      </c>
      <c r="B240" s="19" t="s">
        <v>1260</v>
      </c>
      <c r="C240" s="10" t="s">
        <v>1016</v>
      </c>
      <c r="D240" s="20">
        <v>55</v>
      </c>
      <c r="E240" s="20">
        <v>37</v>
      </c>
      <c r="F240" s="1">
        <v>557</v>
      </c>
      <c r="G240" s="19" t="s">
        <v>1037</v>
      </c>
      <c r="H240" s="1"/>
    </row>
    <row r="241" spans="1:8" x14ac:dyDescent="0.25">
      <c r="A241" s="1">
        <v>113097</v>
      </c>
      <c r="B241" s="19" t="s">
        <v>1261</v>
      </c>
      <c r="C241" s="10" t="s">
        <v>1026</v>
      </c>
      <c r="D241" s="20">
        <v>74</v>
      </c>
      <c r="E241" s="20">
        <v>2</v>
      </c>
      <c r="F241" s="1">
        <v>190</v>
      </c>
      <c r="G241" s="19" t="s">
        <v>1023</v>
      </c>
      <c r="H241" s="1"/>
    </row>
    <row r="242" spans="1:8" x14ac:dyDescent="0.25">
      <c r="A242" s="1">
        <v>113180</v>
      </c>
      <c r="B242" s="19" t="s">
        <v>785</v>
      </c>
      <c r="C242" s="10"/>
      <c r="D242" s="20"/>
      <c r="E242" s="20"/>
      <c r="F242" s="1"/>
      <c r="G242" s="19"/>
      <c r="H242" s="1"/>
    </row>
    <row r="243" spans="1:8" x14ac:dyDescent="0.25">
      <c r="A243" s="1">
        <v>113207</v>
      </c>
      <c r="B243" s="19" t="s">
        <v>1262</v>
      </c>
      <c r="C243" s="10" t="s">
        <v>1207</v>
      </c>
      <c r="D243" s="20">
        <v>51</v>
      </c>
      <c r="E243" s="20">
        <v>21</v>
      </c>
      <c r="F243" s="1">
        <v>46.6</v>
      </c>
      <c r="G243" s="19" t="s">
        <v>1023</v>
      </c>
      <c r="H243" s="1"/>
    </row>
    <row r="244" spans="1:8" x14ac:dyDescent="0.25">
      <c r="A244" s="1">
        <v>115135</v>
      </c>
      <c r="B244" s="19" t="s">
        <v>1263</v>
      </c>
      <c r="C244" s="10" t="s">
        <v>1026</v>
      </c>
      <c r="D244" s="20">
        <v>51</v>
      </c>
      <c r="E244" s="20">
        <v>17</v>
      </c>
      <c r="F244" s="1">
        <v>181</v>
      </c>
      <c r="G244" s="19" t="s">
        <v>1023</v>
      </c>
      <c r="H244" s="1"/>
    </row>
    <row r="245" spans="1:8" x14ac:dyDescent="0.25">
      <c r="A245" s="1">
        <v>115146</v>
      </c>
      <c r="B245" s="19" t="s">
        <v>1264</v>
      </c>
      <c r="C245" s="10" t="s">
        <v>1026</v>
      </c>
      <c r="D245" s="20">
        <v>55</v>
      </c>
      <c r="E245" s="20">
        <v>32</v>
      </c>
      <c r="F245" s="1">
        <v>14</v>
      </c>
      <c r="G245" s="19" t="s">
        <v>1037</v>
      </c>
      <c r="H245" s="1"/>
    </row>
    <row r="246" spans="1:8" x14ac:dyDescent="0.25">
      <c r="A246" s="1">
        <v>115149</v>
      </c>
      <c r="B246" s="19" t="s">
        <v>1265</v>
      </c>
      <c r="C246" s="10" t="s">
        <v>1026</v>
      </c>
      <c r="D246" s="20">
        <v>55</v>
      </c>
      <c r="E246" s="20">
        <v>32</v>
      </c>
      <c r="F246" s="1">
        <v>131</v>
      </c>
      <c r="G246" s="19" t="s">
        <v>1037</v>
      </c>
      <c r="H246" s="1"/>
    </row>
    <row r="247" spans="1:8" x14ac:dyDescent="0.25">
      <c r="A247" s="1">
        <v>115151</v>
      </c>
      <c r="B247" s="19" t="s">
        <v>1266</v>
      </c>
      <c r="C247" s="10" t="s">
        <v>1026</v>
      </c>
      <c r="D247" s="20">
        <v>55</v>
      </c>
      <c r="E247" s="20">
        <v>32</v>
      </c>
      <c r="F247" s="1">
        <v>271</v>
      </c>
      <c r="G247" s="19" t="s">
        <v>1037</v>
      </c>
      <c r="H247" s="1"/>
    </row>
    <row r="248" spans="1:8" x14ac:dyDescent="0.25">
      <c r="A248" s="1">
        <v>115152</v>
      </c>
      <c r="B248" s="19" t="s">
        <v>1267</v>
      </c>
      <c r="C248" s="10" t="s">
        <v>1026</v>
      </c>
      <c r="D248" s="20">
        <v>55</v>
      </c>
      <c r="E248" s="20">
        <v>32</v>
      </c>
      <c r="F248" s="1">
        <v>0</v>
      </c>
      <c r="G248" s="19" t="s">
        <v>1037</v>
      </c>
      <c r="H248" s="1"/>
    </row>
    <row r="249" spans="1:8" x14ac:dyDescent="0.25">
      <c r="A249" s="1">
        <v>115154</v>
      </c>
      <c r="B249" s="19" t="s">
        <v>1268</v>
      </c>
      <c r="C249" s="10" t="s">
        <v>1026</v>
      </c>
      <c r="D249" s="20">
        <v>55</v>
      </c>
      <c r="E249" s="20">
        <v>32</v>
      </c>
      <c r="F249" s="1">
        <v>21</v>
      </c>
      <c r="G249" s="19" t="s">
        <v>1037</v>
      </c>
      <c r="H249" s="1"/>
    </row>
    <row r="250" spans="1:8" x14ac:dyDescent="0.25">
      <c r="A250" s="1">
        <v>115214</v>
      </c>
      <c r="B250" s="19" t="s">
        <v>1269</v>
      </c>
      <c r="C250" s="10" t="s">
        <v>1026</v>
      </c>
      <c r="D250" s="20">
        <v>51</v>
      </c>
      <c r="E250" s="20">
        <v>17</v>
      </c>
      <c r="F250" s="1">
        <v>379</v>
      </c>
      <c r="G250" s="19" t="s">
        <v>1023</v>
      </c>
      <c r="H250" s="1"/>
    </row>
    <row r="251" spans="1:8" x14ac:dyDescent="0.25">
      <c r="A251" s="1">
        <v>115737</v>
      </c>
      <c r="B251" s="19" t="s">
        <v>1270</v>
      </c>
      <c r="C251" s="10" t="s">
        <v>1207</v>
      </c>
      <c r="D251" s="20">
        <v>51</v>
      </c>
      <c r="E251" s="20">
        <v>20</v>
      </c>
      <c r="F251" s="1">
        <v>89</v>
      </c>
      <c r="G251" s="19" t="s">
        <v>1023</v>
      </c>
      <c r="H251" s="1"/>
    </row>
    <row r="252" spans="1:8" x14ac:dyDescent="0.25">
      <c r="A252" s="1">
        <v>116771</v>
      </c>
      <c r="B252" s="19" t="s">
        <v>1271</v>
      </c>
      <c r="C252" s="10" t="s">
        <v>1272</v>
      </c>
      <c r="D252" s="20">
        <v>69</v>
      </c>
      <c r="E252" s="20">
        <v>1</v>
      </c>
      <c r="F252" s="1">
        <v>141</v>
      </c>
      <c r="G252" s="19" t="s">
        <v>1049</v>
      </c>
      <c r="H252" s="1"/>
    </row>
    <row r="253" spans="1:8" x14ac:dyDescent="0.25">
      <c r="A253" s="1">
        <v>118248</v>
      </c>
      <c r="B253" s="19" t="s">
        <v>1273</v>
      </c>
      <c r="C253" s="10" t="s">
        <v>1207</v>
      </c>
      <c r="D253" s="20">
        <v>51</v>
      </c>
      <c r="E253" s="20">
        <v>21</v>
      </c>
      <c r="F253" s="1">
        <v>1010</v>
      </c>
      <c r="G253" s="19" t="s">
        <v>1023</v>
      </c>
      <c r="H253" s="1"/>
    </row>
    <row r="254" spans="1:8" x14ac:dyDescent="0.25">
      <c r="A254" s="1">
        <v>118578</v>
      </c>
      <c r="B254" s="19" t="s">
        <v>1274</v>
      </c>
      <c r="C254" s="10" t="s">
        <v>1207</v>
      </c>
      <c r="D254" s="20">
        <v>51</v>
      </c>
      <c r="E254" s="20">
        <v>21</v>
      </c>
      <c r="F254" s="1">
        <v>196.5</v>
      </c>
      <c r="G254" s="19" t="s">
        <v>1023</v>
      </c>
      <c r="H254" s="1"/>
    </row>
    <row r="255" spans="1:8" x14ac:dyDescent="0.25">
      <c r="A255" s="1">
        <v>118580</v>
      </c>
      <c r="B255" s="19" t="s">
        <v>1275</v>
      </c>
      <c r="C255" s="10" t="s">
        <v>1207</v>
      </c>
      <c r="D255" s="20">
        <v>51</v>
      </c>
      <c r="E255" s="20">
        <v>21</v>
      </c>
      <c r="F255" s="1">
        <v>446.33</v>
      </c>
      <c r="G255" s="19" t="s">
        <v>1023</v>
      </c>
      <c r="H255" s="1"/>
    </row>
    <row r="256" spans="1:8" x14ac:dyDescent="0.25">
      <c r="A256" s="1">
        <v>118779</v>
      </c>
      <c r="B256" s="19" t="s">
        <v>1276</v>
      </c>
      <c r="C256" s="10" t="s">
        <v>1026</v>
      </c>
      <c r="D256" s="20">
        <v>55</v>
      </c>
      <c r="E256" s="20">
        <v>32</v>
      </c>
      <c r="F256" s="1">
        <v>7</v>
      </c>
      <c r="G256" s="19" t="s">
        <v>1037</v>
      </c>
      <c r="H256" s="1"/>
    </row>
    <row r="257" spans="1:8" x14ac:dyDescent="0.25">
      <c r="A257" s="1">
        <v>118843</v>
      </c>
      <c r="B257" s="19" t="s">
        <v>1277</v>
      </c>
      <c r="C257" s="10" t="s">
        <v>1026</v>
      </c>
      <c r="D257" s="20">
        <v>52</v>
      </c>
      <c r="E257" s="20">
        <v>9</v>
      </c>
      <c r="F257" s="1">
        <v>2418</v>
      </c>
      <c r="G257" s="19" t="s">
        <v>1068</v>
      </c>
      <c r="H257" s="1"/>
    </row>
    <row r="258" spans="1:8" x14ac:dyDescent="0.25">
      <c r="A258" s="1">
        <v>118993</v>
      </c>
      <c r="B258" s="19" t="s">
        <v>1279</v>
      </c>
      <c r="C258" s="10" t="s">
        <v>1207</v>
      </c>
      <c r="D258" s="20">
        <v>51</v>
      </c>
      <c r="E258" s="20">
        <v>21</v>
      </c>
      <c r="F258" s="1">
        <v>1034.32</v>
      </c>
      <c r="G258" s="19" t="s">
        <v>1023</v>
      </c>
      <c r="H258" s="1"/>
    </row>
    <row r="259" spans="1:8" x14ac:dyDescent="0.25">
      <c r="A259" s="1">
        <v>118994</v>
      </c>
      <c r="B259" s="19" t="s">
        <v>1280</v>
      </c>
      <c r="C259" s="10" t="s">
        <v>1207</v>
      </c>
      <c r="D259" s="20">
        <v>51</v>
      </c>
      <c r="E259" s="20">
        <v>21</v>
      </c>
      <c r="F259" s="1">
        <v>66.7</v>
      </c>
      <c r="G259" s="19" t="s">
        <v>1023</v>
      </c>
      <c r="H259" s="1"/>
    </row>
    <row r="260" spans="1:8" x14ac:dyDescent="0.25">
      <c r="A260" s="1">
        <v>119182</v>
      </c>
      <c r="B260" s="19" t="s">
        <v>144</v>
      </c>
      <c r="C260" s="10" t="s">
        <v>1016</v>
      </c>
      <c r="D260" s="20">
        <v>55</v>
      </c>
      <c r="E260" s="20">
        <v>37</v>
      </c>
      <c r="F260" s="1"/>
      <c r="G260" s="19"/>
      <c r="H260" s="1">
        <v>136083</v>
      </c>
    </row>
    <row r="261" spans="1:8" x14ac:dyDescent="0.25">
      <c r="A261" s="1">
        <v>119183</v>
      </c>
      <c r="B261" s="19" t="s">
        <v>1281</v>
      </c>
      <c r="C261" s="10" t="s">
        <v>1016</v>
      </c>
      <c r="D261" s="20">
        <v>55</v>
      </c>
      <c r="E261" s="20">
        <v>37</v>
      </c>
      <c r="F261" s="1">
        <v>255</v>
      </c>
      <c r="G261" s="19" t="s">
        <v>1037</v>
      </c>
      <c r="H261" s="1"/>
    </row>
    <row r="262" spans="1:8" x14ac:dyDescent="0.25">
      <c r="A262" s="1">
        <v>119626</v>
      </c>
      <c r="B262" s="19" t="s">
        <v>1282</v>
      </c>
      <c r="C262" s="10" t="s">
        <v>1207</v>
      </c>
      <c r="D262" s="20">
        <v>51</v>
      </c>
      <c r="E262" s="20">
        <v>19</v>
      </c>
      <c r="F262" s="1">
        <v>775.6</v>
      </c>
      <c r="G262" s="19" t="s">
        <v>1023</v>
      </c>
      <c r="H262" s="1"/>
    </row>
    <row r="263" spans="1:8" x14ac:dyDescent="0.25">
      <c r="A263" s="1">
        <v>119793</v>
      </c>
      <c r="B263" s="19" t="s">
        <v>1283</v>
      </c>
      <c r="C263" s="10" t="s">
        <v>1207</v>
      </c>
      <c r="D263" s="20">
        <v>51</v>
      </c>
      <c r="E263" s="20">
        <v>19</v>
      </c>
      <c r="F263" s="1">
        <v>0</v>
      </c>
      <c r="G263" s="19" t="s">
        <v>1023</v>
      </c>
      <c r="H263" s="1"/>
    </row>
    <row r="264" spans="1:8" x14ac:dyDescent="0.25">
      <c r="A264" s="1">
        <v>119794</v>
      </c>
      <c r="B264" s="19" t="s">
        <v>1284</v>
      </c>
      <c r="C264" s="10" t="s">
        <v>1207</v>
      </c>
      <c r="D264" s="20">
        <v>51</v>
      </c>
      <c r="E264" s="20">
        <v>19</v>
      </c>
      <c r="F264" s="1">
        <v>263.7</v>
      </c>
      <c r="G264" s="19" t="s">
        <v>1023</v>
      </c>
      <c r="H264" s="1"/>
    </row>
    <row r="265" spans="1:8" x14ac:dyDescent="0.25">
      <c r="A265" s="1">
        <v>119795</v>
      </c>
      <c r="B265" s="19" t="s">
        <v>1285</v>
      </c>
      <c r="C265" s="10" t="s">
        <v>1207</v>
      </c>
      <c r="D265" s="20">
        <v>51</v>
      </c>
      <c r="E265" s="20">
        <v>19</v>
      </c>
      <c r="F265" s="1">
        <v>489.35</v>
      </c>
      <c r="G265" s="19" t="s">
        <v>1023</v>
      </c>
      <c r="H265" s="1"/>
    </row>
    <row r="266" spans="1:8" x14ac:dyDescent="0.25">
      <c r="A266" s="1">
        <v>119796</v>
      </c>
      <c r="B266" s="19" t="s">
        <v>1286</v>
      </c>
      <c r="C266" s="10" t="s">
        <v>1207</v>
      </c>
      <c r="D266" s="20">
        <v>51</v>
      </c>
      <c r="E266" s="20">
        <v>19</v>
      </c>
      <c r="F266" s="1">
        <v>2063.25</v>
      </c>
      <c r="G266" s="19" t="s">
        <v>1023</v>
      </c>
      <c r="H266" s="1"/>
    </row>
    <row r="267" spans="1:8" x14ac:dyDescent="0.25">
      <c r="A267" s="1">
        <v>119798</v>
      </c>
      <c r="B267" s="19" t="s">
        <v>1287</v>
      </c>
      <c r="C267" s="10" t="s">
        <v>1207</v>
      </c>
      <c r="D267" s="20">
        <v>51</v>
      </c>
      <c r="E267" s="20">
        <v>19</v>
      </c>
      <c r="F267" s="1">
        <v>191.6</v>
      </c>
      <c r="G267" s="19" t="s">
        <v>1023</v>
      </c>
      <c r="H267" s="1"/>
    </row>
    <row r="268" spans="1:8" x14ac:dyDescent="0.25">
      <c r="A268" s="1">
        <v>120217</v>
      </c>
      <c r="B268" s="19" t="s">
        <v>1288</v>
      </c>
      <c r="C268" s="10" t="s">
        <v>1026</v>
      </c>
      <c r="D268" s="20">
        <v>84</v>
      </c>
      <c r="E268" s="20">
        <v>1</v>
      </c>
      <c r="F268" s="1">
        <v>1</v>
      </c>
      <c r="G268" s="19" t="s">
        <v>1128</v>
      </c>
      <c r="H268" s="1"/>
    </row>
    <row r="269" spans="1:8" x14ac:dyDescent="0.25">
      <c r="A269" s="1">
        <v>122153</v>
      </c>
      <c r="B269" s="19" t="s">
        <v>1289</v>
      </c>
      <c r="C269" s="10" t="s">
        <v>1026</v>
      </c>
      <c r="D269" s="20">
        <v>55</v>
      </c>
      <c r="E269" s="20">
        <v>46</v>
      </c>
      <c r="F269" s="1">
        <v>11</v>
      </c>
      <c r="G269" s="19" t="s">
        <v>1037</v>
      </c>
      <c r="H269" s="1"/>
    </row>
    <row r="270" spans="1:8" x14ac:dyDescent="0.25">
      <c r="A270" s="1">
        <v>122154</v>
      </c>
      <c r="B270" s="19" t="s">
        <v>1290</v>
      </c>
      <c r="C270" s="10" t="s">
        <v>1016</v>
      </c>
      <c r="D270" s="20">
        <v>55</v>
      </c>
      <c r="E270" s="20">
        <v>63</v>
      </c>
      <c r="F270" s="1">
        <v>477</v>
      </c>
      <c r="G270" s="19" t="s">
        <v>1037</v>
      </c>
      <c r="H270" s="1"/>
    </row>
    <row r="271" spans="1:8" x14ac:dyDescent="0.25">
      <c r="A271" s="1">
        <v>122545</v>
      </c>
      <c r="B271" s="19" t="s">
        <v>1291</v>
      </c>
      <c r="C271" s="10" t="s">
        <v>1026</v>
      </c>
      <c r="D271" s="20">
        <v>84</v>
      </c>
      <c r="E271" s="20">
        <v>2</v>
      </c>
      <c r="F271" s="1">
        <v>3</v>
      </c>
      <c r="G271" s="19" t="s">
        <v>1128</v>
      </c>
      <c r="H271" s="1"/>
    </row>
    <row r="272" spans="1:8" x14ac:dyDescent="0.25">
      <c r="A272" s="1">
        <v>123347</v>
      </c>
      <c r="B272" s="19" t="s">
        <v>1292</v>
      </c>
      <c r="C272" s="10" t="s">
        <v>1219</v>
      </c>
      <c r="D272" s="20">
        <v>67</v>
      </c>
      <c r="E272" s="20">
        <v>7</v>
      </c>
      <c r="F272" s="1">
        <v>20</v>
      </c>
      <c r="G272" s="19" t="s">
        <v>1049</v>
      </c>
      <c r="H272" s="1"/>
    </row>
    <row r="273" spans="1:8" x14ac:dyDescent="0.25">
      <c r="A273" s="1">
        <v>123348</v>
      </c>
      <c r="B273" s="19" t="s">
        <v>1293</v>
      </c>
      <c r="C273" s="10" t="s">
        <v>1219</v>
      </c>
      <c r="D273" s="20">
        <v>67</v>
      </c>
      <c r="E273" s="20">
        <v>7</v>
      </c>
      <c r="F273" s="1">
        <v>16</v>
      </c>
      <c r="G273" s="19" t="s">
        <v>1049</v>
      </c>
      <c r="H273" s="1"/>
    </row>
    <row r="274" spans="1:8" x14ac:dyDescent="0.25">
      <c r="A274" s="1">
        <v>123351</v>
      </c>
      <c r="B274" s="19" t="s">
        <v>1294</v>
      </c>
      <c r="C274" s="10" t="s">
        <v>1219</v>
      </c>
      <c r="D274" s="20">
        <v>67</v>
      </c>
      <c r="E274" s="20">
        <v>7</v>
      </c>
      <c r="F274" s="1">
        <v>31</v>
      </c>
      <c r="G274" s="19" t="s">
        <v>1049</v>
      </c>
      <c r="H274" s="1"/>
    </row>
    <row r="275" spans="1:8" x14ac:dyDescent="0.25">
      <c r="A275" s="1">
        <v>123352</v>
      </c>
      <c r="B275" s="19" t="s">
        <v>1295</v>
      </c>
      <c r="C275" s="10" t="s">
        <v>1219</v>
      </c>
      <c r="D275" s="20">
        <v>67</v>
      </c>
      <c r="E275" s="20">
        <v>7</v>
      </c>
      <c r="F275" s="1">
        <v>31</v>
      </c>
      <c r="G275" s="19" t="s">
        <v>1049</v>
      </c>
      <c r="H275" s="1"/>
    </row>
    <row r="276" spans="1:8" x14ac:dyDescent="0.25">
      <c r="A276" s="1">
        <v>123353</v>
      </c>
      <c r="B276" s="19" t="s">
        <v>1296</v>
      </c>
      <c r="C276" s="10" t="s">
        <v>1219</v>
      </c>
      <c r="D276" s="20">
        <v>67</v>
      </c>
      <c r="E276" s="20">
        <v>7</v>
      </c>
      <c r="F276" s="1">
        <v>31</v>
      </c>
      <c r="G276" s="19" t="s">
        <v>1049</v>
      </c>
      <c r="H276" s="1"/>
    </row>
    <row r="277" spans="1:8" x14ac:dyDescent="0.25">
      <c r="A277" s="1">
        <v>125443</v>
      </c>
      <c r="B277" s="19" t="s">
        <v>1297</v>
      </c>
      <c r="C277" s="10" t="s">
        <v>1016</v>
      </c>
      <c r="D277" s="20">
        <v>55</v>
      </c>
      <c r="E277" s="20">
        <v>63</v>
      </c>
      <c r="F277" s="1">
        <v>158</v>
      </c>
      <c r="G277" s="19" t="s">
        <v>1037</v>
      </c>
      <c r="H277" s="1"/>
    </row>
    <row r="278" spans="1:8" x14ac:dyDescent="0.25">
      <c r="A278" s="1">
        <v>125576</v>
      </c>
      <c r="B278" s="19" t="s">
        <v>1298</v>
      </c>
      <c r="C278" s="10" t="s">
        <v>1016</v>
      </c>
      <c r="D278" s="20">
        <v>84</v>
      </c>
      <c r="E278" s="20">
        <v>7</v>
      </c>
      <c r="F278" s="1">
        <v>6</v>
      </c>
      <c r="G278" s="19" t="s">
        <v>1299</v>
      </c>
      <c r="H278" s="1"/>
    </row>
    <row r="279" spans="1:8" x14ac:dyDescent="0.25">
      <c r="A279" s="1">
        <v>126078</v>
      </c>
      <c r="B279" s="19" t="s">
        <v>1300</v>
      </c>
      <c r="C279" s="10" t="s">
        <v>1016</v>
      </c>
      <c r="D279" s="20">
        <v>55</v>
      </c>
      <c r="E279" s="20">
        <v>37</v>
      </c>
      <c r="F279" s="1">
        <v>114</v>
      </c>
      <c r="G279" s="19" t="s">
        <v>1037</v>
      </c>
      <c r="H279" s="1"/>
    </row>
    <row r="280" spans="1:8" x14ac:dyDescent="0.25">
      <c r="A280" s="1">
        <v>126079</v>
      </c>
      <c r="B280" s="19" t="s">
        <v>1301</v>
      </c>
      <c r="C280" s="10" t="s">
        <v>1016</v>
      </c>
      <c r="D280" s="20">
        <v>55</v>
      </c>
      <c r="E280" s="20">
        <v>26</v>
      </c>
      <c r="F280" s="1">
        <v>29</v>
      </c>
      <c r="G280" s="19" t="s">
        <v>1037</v>
      </c>
      <c r="H280" s="1"/>
    </row>
    <row r="281" spans="1:8" x14ac:dyDescent="0.25">
      <c r="A281" s="1">
        <v>126080</v>
      </c>
      <c r="B281" s="19" t="s">
        <v>1302</v>
      </c>
      <c r="C281" s="10" t="s">
        <v>1016</v>
      </c>
      <c r="D281" s="20">
        <v>55</v>
      </c>
      <c r="E281" s="20">
        <v>26</v>
      </c>
      <c r="F281" s="1">
        <v>181</v>
      </c>
      <c r="G281" s="19" t="s">
        <v>1037</v>
      </c>
      <c r="H281" s="1"/>
    </row>
    <row r="282" spans="1:8" x14ac:dyDescent="0.25">
      <c r="A282" s="1">
        <v>126081</v>
      </c>
      <c r="B282" s="19" t="s">
        <v>1303</v>
      </c>
      <c r="C282" s="10" t="s">
        <v>1016</v>
      </c>
      <c r="D282" s="20">
        <v>55</v>
      </c>
      <c r="E282" s="20">
        <v>26</v>
      </c>
      <c r="F282" s="1">
        <v>10</v>
      </c>
      <c r="G282" s="19" t="s">
        <v>1037</v>
      </c>
      <c r="H282" s="1"/>
    </row>
    <row r="283" spans="1:8" x14ac:dyDescent="0.25">
      <c r="A283" s="1">
        <v>126127</v>
      </c>
      <c r="B283" s="19" t="s">
        <v>1304</v>
      </c>
      <c r="C283" s="10" t="s">
        <v>1016</v>
      </c>
      <c r="D283" s="20">
        <v>55</v>
      </c>
      <c r="E283" s="20">
        <v>26</v>
      </c>
      <c r="F283" s="1">
        <v>190</v>
      </c>
      <c r="G283" s="19" t="s">
        <v>1037</v>
      </c>
      <c r="H283" s="1"/>
    </row>
    <row r="284" spans="1:8" x14ac:dyDescent="0.25">
      <c r="A284" s="1">
        <v>126343</v>
      </c>
      <c r="B284" s="19" t="s">
        <v>1305</v>
      </c>
      <c r="C284" s="10" t="s">
        <v>1207</v>
      </c>
      <c r="D284" s="20">
        <v>51</v>
      </c>
      <c r="E284" s="20">
        <v>21</v>
      </c>
      <c r="F284" s="1">
        <v>33.6</v>
      </c>
      <c r="G284" s="19" t="s">
        <v>1023</v>
      </c>
      <c r="H284" s="1"/>
    </row>
    <row r="285" spans="1:8" x14ac:dyDescent="0.25">
      <c r="A285" s="1">
        <v>126344</v>
      </c>
      <c r="B285" s="19" t="s">
        <v>1306</v>
      </c>
      <c r="C285" s="10" t="s">
        <v>1207</v>
      </c>
      <c r="D285" s="20">
        <v>51</v>
      </c>
      <c r="E285" s="20">
        <v>21</v>
      </c>
      <c r="F285" s="1">
        <v>367.6</v>
      </c>
      <c r="G285" s="19" t="s">
        <v>1023</v>
      </c>
      <c r="H285" s="1"/>
    </row>
    <row r="286" spans="1:8" x14ac:dyDescent="0.25">
      <c r="A286" s="1">
        <v>128392</v>
      </c>
      <c r="B286" s="19" t="s">
        <v>1307</v>
      </c>
      <c r="C286" s="10" t="s">
        <v>1103</v>
      </c>
      <c r="D286" s="20">
        <v>70</v>
      </c>
      <c r="E286" s="20">
        <v>47</v>
      </c>
      <c r="F286" s="1">
        <v>172</v>
      </c>
      <c r="G286" s="19" t="s">
        <v>1049</v>
      </c>
      <c r="H286" s="1"/>
    </row>
    <row r="287" spans="1:8" x14ac:dyDescent="0.25">
      <c r="A287" s="2">
        <v>128832</v>
      </c>
      <c r="B287" s="21" t="s">
        <v>1308</v>
      </c>
      <c r="C287" s="12" t="s">
        <v>1016</v>
      </c>
      <c r="D287" s="22">
        <v>84</v>
      </c>
      <c r="E287" s="22">
        <v>5</v>
      </c>
      <c r="F287" s="2">
        <v>4</v>
      </c>
      <c r="G287" s="21" t="s">
        <v>1299</v>
      </c>
    </row>
    <row r="288" spans="1:8" x14ac:dyDescent="0.25">
      <c r="A288" s="2">
        <v>131195</v>
      </c>
      <c r="B288" s="21" t="s">
        <v>1309</v>
      </c>
      <c r="C288" s="12" t="s">
        <v>1060</v>
      </c>
      <c r="D288" s="22">
        <v>61</v>
      </c>
      <c r="E288" s="22">
        <v>3</v>
      </c>
      <c r="F288" s="2">
        <v>9</v>
      </c>
      <c r="G288" s="21" t="s">
        <v>1030</v>
      </c>
    </row>
    <row r="289" spans="1:8" x14ac:dyDescent="0.25">
      <c r="A289" s="2">
        <v>131942</v>
      </c>
      <c r="B289" s="21" t="s">
        <v>1335</v>
      </c>
      <c r="H289">
        <v>135701</v>
      </c>
    </row>
    <row r="290" spans="1:8" x14ac:dyDescent="0.25">
      <c r="A290" s="2">
        <v>132447</v>
      </c>
      <c r="B290" s="21" t="s">
        <v>1310</v>
      </c>
      <c r="C290" s="12" t="s">
        <v>1207</v>
      </c>
      <c r="D290" s="22">
        <v>51</v>
      </c>
      <c r="E290" s="22">
        <v>21</v>
      </c>
      <c r="F290" s="2">
        <v>50</v>
      </c>
      <c r="G290" s="21" t="s">
        <v>1023</v>
      </c>
    </row>
    <row r="291" spans="1:8" x14ac:dyDescent="0.25">
      <c r="A291" s="2">
        <v>132713</v>
      </c>
      <c r="B291" s="21" t="s">
        <v>1311</v>
      </c>
      <c r="C291" s="12" t="s">
        <v>1026</v>
      </c>
      <c r="D291" s="22">
        <v>80</v>
      </c>
      <c r="E291" s="22">
        <v>12</v>
      </c>
      <c r="F291" s="2">
        <v>0</v>
      </c>
      <c r="G291" s="21" t="s">
        <v>1023</v>
      </c>
    </row>
    <row r="292" spans="1:8" x14ac:dyDescent="0.25">
      <c r="A292" s="2">
        <v>133042</v>
      </c>
      <c r="B292" s="21" t="s">
        <v>1312</v>
      </c>
      <c r="C292" s="12" t="s">
        <v>1016</v>
      </c>
      <c r="D292" s="22">
        <v>51</v>
      </c>
      <c r="E292" s="22">
        <v>17</v>
      </c>
      <c r="F292" s="2">
        <v>50</v>
      </c>
      <c r="G292" s="21" t="s">
        <v>1023</v>
      </c>
    </row>
    <row r="293" spans="1:8" x14ac:dyDescent="0.25">
      <c r="A293" s="2">
        <v>133043</v>
      </c>
      <c r="B293" s="21" t="s">
        <v>1313</v>
      </c>
      <c r="C293" s="12" t="s">
        <v>1016</v>
      </c>
      <c r="D293" s="22">
        <v>51</v>
      </c>
      <c r="E293" s="22">
        <v>17</v>
      </c>
      <c r="F293" s="2">
        <v>25</v>
      </c>
      <c r="G293" s="21" t="s">
        <v>1023</v>
      </c>
    </row>
    <row r="294" spans="1:8" x14ac:dyDescent="0.25">
      <c r="A294" s="2">
        <v>133777</v>
      </c>
      <c r="B294" s="21" t="s">
        <v>1336</v>
      </c>
      <c r="H294">
        <v>135699</v>
      </c>
    </row>
    <row r="295" spans="1:8" x14ac:dyDescent="0.25">
      <c r="A295" s="2">
        <v>133787</v>
      </c>
      <c r="B295" s="21" t="s">
        <v>1337</v>
      </c>
      <c r="H295">
        <v>136408</v>
      </c>
    </row>
    <row r="296" spans="1:8" x14ac:dyDescent="0.25">
      <c r="A296" s="2">
        <v>133794</v>
      </c>
      <c r="B296" s="21" t="s">
        <v>1338</v>
      </c>
      <c r="H296">
        <v>135704</v>
      </c>
    </row>
  </sheetData>
  <sortState ref="A4:H296">
    <sortCondition ref="A3:A296"/>
  </sortState>
  <mergeCells count="1">
    <mergeCell ref="A1:H1"/>
  </mergeCells>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433" r:id="rId4" name="btn_Excluir_OcultarReexibir">
          <controlPr defaultSize="0" print="0" autoLine="0" r:id="rId5">
            <anchor moveWithCells="1" sizeWithCells="1">
              <from>
                <xdr:col>8</xdr:col>
                <xdr:colOff>76200</xdr:colOff>
                <xdr:row>0</xdr:row>
                <xdr:rowOff>57150</xdr:rowOff>
              </from>
              <to>
                <xdr:col>8</xdr:col>
                <xdr:colOff>1666875</xdr:colOff>
                <xdr:row>2</xdr:row>
                <xdr:rowOff>66675</xdr:rowOff>
              </to>
            </anchor>
          </controlPr>
        </control>
      </mc:Choice>
      <mc:Fallback>
        <control shapeId="18433" r:id="rId4" name="btn_Excluir_OcultarReexibir"/>
      </mc:Fallback>
    </mc:AlternateContent>
    <mc:AlternateContent xmlns:mc="http://schemas.openxmlformats.org/markup-compatibility/2006">
      <mc:Choice Requires="x14">
        <control shapeId="18434" r:id="rId6" name="btn_Excluir_Atualizar_Planilha">
          <controlPr defaultSize="0" print="0" autoLine="0" r:id="rId7">
            <anchor moveWithCells="1" sizeWithCells="1">
              <from>
                <xdr:col>9</xdr:col>
                <xdr:colOff>0</xdr:colOff>
                <xdr:row>0</xdr:row>
                <xdr:rowOff>57150</xdr:rowOff>
              </from>
              <to>
                <xdr:col>9</xdr:col>
                <xdr:colOff>1590675</xdr:colOff>
                <xdr:row>2</xdr:row>
                <xdr:rowOff>66675</xdr:rowOff>
              </to>
            </anchor>
          </controlPr>
        </control>
      </mc:Choice>
      <mc:Fallback>
        <control shapeId="18434" r:id="rId6" name="btn_Excluir_Atualizar_Planilha"/>
      </mc:Fallback>
    </mc:AlternateContent>
    <mc:AlternateContent xmlns:mc="http://schemas.openxmlformats.org/markup-compatibility/2006">
      <mc:Choice Requires="x14">
        <control shapeId="18435" r:id="rId8" name="btn_Excluir_VoltarParaItens">
          <controlPr defaultSize="0" print="0" autoLine="0" r:id="rId9">
            <anchor moveWithCells="1" sizeWithCells="1">
              <from>
                <xdr:col>9</xdr:col>
                <xdr:colOff>1685925</xdr:colOff>
                <xdr:row>0</xdr:row>
                <xdr:rowOff>57150</xdr:rowOff>
              </from>
              <to>
                <xdr:col>10</xdr:col>
                <xdr:colOff>1514475</xdr:colOff>
                <xdr:row>2</xdr:row>
                <xdr:rowOff>66675</xdr:rowOff>
              </to>
            </anchor>
          </controlPr>
        </control>
      </mc:Choice>
      <mc:Fallback>
        <control shapeId="18435" r:id="rId8" name="btn_Excluir_VoltarParaIten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42"/>
  <dimension ref="A1:C4"/>
  <sheetViews>
    <sheetView workbookViewId="0">
      <pane xSplit="3" ySplit="2" topLeftCell="D3" activePane="bottomRight" state="frozen"/>
      <selection pane="topRight" activeCell="D1" sqref="D1"/>
      <selection pane="bottomLeft" activeCell="A3" sqref="A3"/>
      <selection pane="bottomRight" activeCell="A2" sqref="A2"/>
    </sheetView>
  </sheetViews>
  <sheetFormatPr defaultRowHeight="15" x14ac:dyDescent="0.25"/>
  <cols>
    <col min="1" max="1" width="72.85546875" bestFit="1" customWidth="1"/>
    <col min="2" max="2" width="67.42578125" bestFit="1" customWidth="1"/>
    <col min="3" max="3" width="118.42578125" customWidth="1"/>
  </cols>
  <sheetData>
    <row r="1" spans="1:3" ht="56.25" customHeight="1" x14ac:dyDescent="0.25">
      <c r="A1" s="54"/>
      <c r="B1" s="54"/>
      <c r="C1" s="54"/>
    </row>
    <row r="2" spans="1:3" ht="21" x14ac:dyDescent="0.25">
      <c r="A2" s="25" t="s">
        <v>1009</v>
      </c>
      <c r="B2" s="23" t="s">
        <v>1010</v>
      </c>
      <c r="C2" s="25" t="s">
        <v>1011</v>
      </c>
    </row>
    <row r="3" spans="1:3" ht="18.75" x14ac:dyDescent="0.25">
      <c r="A3" s="24" t="s">
        <v>1427</v>
      </c>
      <c r="B3" s="26" t="s">
        <v>1428</v>
      </c>
      <c r="C3" s="26" t="s">
        <v>1429</v>
      </c>
    </row>
    <row r="4" spans="1:3" ht="18.75" x14ac:dyDescent="0.25">
      <c r="A4" s="24" t="s">
        <v>1347</v>
      </c>
      <c r="B4" s="26">
        <v>4</v>
      </c>
      <c r="C4" s="26" t="s">
        <v>1315</v>
      </c>
    </row>
  </sheetData>
  <sortState ref="A3:C4">
    <sortCondition ref="A2:A4"/>
    <sortCondition ref="B2:B4"/>
  </sortState>
  <mergeCells count="1">
    <mergeCell ref="A1:C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6385" r:id="rId4" name="btn_Parâmetros_Reordenar">
          <controlPr defaultSize="0" autoLine="0" r:id="rId5">
            <anchor moveWithCells="1">
              <from>
                <xdr:col>0</xdr:col>
                <xdr:colOff>638175</xdr:colOff>
                <xdr:row>0</xdr:row>
                <xdr:rowOff>123825</xdr:rowOff>
              </from>
              <to>
                <xdr:col>0</xdr:col>
                <xdr:colOff>4448175</xdr:colOff>
                <xdr:row>0</xdr:row>
                <xdr:rowOff>571500</xdr:rowOff>
              </to>
            </anchor>
          </controlPr>
        </control>
      </mc:Choice>
      <mc:Fallback>
        <control shapeId="16385" r:id="rId4" name="btn_Parâmetros_Reordena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1"/>
  <dimension ref="A1:B26"/>
  <sheetViews>
    <sheetView workbookViewId="0">
      <pane xSplit="2" ySplit="1" topLeftCell="C11" activePane="bottomRight" state="frozen"/>
      <selection pane="topRight" activeCell="C1" sqref="C1"/>
      <selection pane="bottomLeft" activeCell="A2" sqref="A2"/>
      <selection pane="bottomRight" activeCell="A13" sqref="A13:B26"/>
    </sheetView>
  </sheetViews>
  <sheetFormatPr defaultRowHeight="15" x14ac:dyDescent="0.25"/>
  <cols>
    <col min="1" max="1" width="76.85546875" bestFit="1" customWidth="1"/>
    <col min="2" max="2" width="55.7109375" customWidth="1"/>
    <col min="3" max="3" width="39.5703125" customWidth="1"/>
  </cols>
  <sheetData>
    <row r="1" spans="1:2" ht="56.25" customHeight="1" x14ac:dyDescent="0.25">
      <c r="A1" s="54"/>
      <c r="B1" s="54"/>
    </row>
    <row r="2" spans="1:2" ht="28.5" customHeight="1" x14ac:dyDescent="0.25">
      <c r="A2" s="27" t="s">
        <v>1348</v>
      </c>
      <c r="B2" s="27" t="s">
        <v>1327</v>
      </c>
    </row>
    <row r="3" spans="1:2" x14ac:dyDescent="0.25">
      <c r="A3" s="28" t="s">
        <v>1012</v>
      </c>
      <c r="B3" s="29" t="s">
        <v>1328</v>
      </c>
    </row>
    <row r="4" spans="1:2" x14ac:dyDescent="0.25">
      <c r="A4" s="28" t="s">
        <v>1013</v>
      </c>
      <c r="B4" s="29" t="s">
        <v>1330</v>
      </c>
    </row>
    <row r="5" spans="1:2" x14ac:dyDescent="0.25">
      <c r="A5" s="28" t="s">
        <v>1014</v>
      </c>
      <c r="B5" s="29" t="s">
        <v>1329</v>
      </c>
    </row>
    <row r="9" spans="1:2" ht="28.5" x14ac:dyDescent="0.25">
      <c r="A9" s="27" t="s">
        <v>1348</v>
      </c>
      <c r="B9" s="27" t="s">
        <v>1327</v>
      </c>
    </row>
    <row r="10" spans="1:2" x14ac:dyDescent="0.25">
      <c r="A10" s="30" t="s">
        <v>1339</v>
      </c>
      <c r="B10" s="4" t="s">
        <v>1341</v>
      </c>
    </row>
    <row r="11" spans="1:2" x14ac:dyDescent="0.25">
      <c r="A11" s="30" t="s">
        <v>1349</v>
      </c>
      <c r="B11" s="4" t="s">
        <v>1340</v>
      </c>
    </row>
    <row r="13" spans="1:2" ht="28.5" x14ac:dyDescent="0.25">
      <c r="A13" s="27" t="s">
        <v>1348</v>
      </c>
      <c r="B13" s="27" t="s">
        <v>1327</v>
      </c>
    </row>
    <row r="14" spans="1:2" x14ac:dyDescent="0.25">
      <c r="A14" s="30" t="s">
        <v>1352</v>
      </c>
      <c r="B14" s="4" t="s">
        <v>1397</v>
      </c>
    </row>
    <row r="15" spans="1:2" x14ac:dyDescent="0.25">
      <c r="A15" s="30" t="s">
        <v>1356</v>
      </c>
      <c r="B15" s="4" t="s">
        <v>1398</v>
      </c>
    </row>
    <row r="16" spans="1:2" x14ac:dyDescent="0.25">
      <c r="A16" s="30" t="s">
        <v>1400</v>
      </c>
      <c r="B16" s="4" t="s">
        <v>1401</v>
      </c>
    </row>
    <row r="17" spans="1:2" x14ac:dyDescent="0.25">
      <c r="A17" s="30" t="s">
        <v>1361</v>
      </c>
      <c r="B17" s="4" t="s">
        <v>1399</v>
      </c>
    </row>
    <row r="18" spans="1:2" x14ac:dyDescent="0.25">
      <c r="A18" s="30" t="s">
        <v>1418</v>
      </c>
      <c r="B18" s="4" t="s">
        <v>1417</v>
      </c>
    </row>
    <row r="19" spans="1:2" x14ac:dyDescent="0.25">
      <c r="A19" s="30" t="s">
        <v>1407</v>
      </c>
      <c r="B19" s="4" t="s">
        <v>1408</v>
      </c>
    </row>
    <row r="20" spans="1:2" x14ac:dyDescent="0.25">
      <c r="A20" s="30" t="s">
        <v>1419</v>
      </c>
      <c r="B20" s="4" t="s">
        <v>1420</v>
      </c>
    </row>
    <row r="21" spans="1:2" x14ac:dyDescent="0.25">
      <c r="A21" s="30" t="s">
        <v>1409</v>
      </c>
      <c r="B21" s="4" t="s">
        <v>1410</v>
      </c>
    </row>
    <row r="22" spans="1:2" x14ac:dyDescent="0.25">
      <c r="A22" s="30" t="s">
        <v>1411</v>
      </c>
      <c r="B22" s="4" t="s">
        <v>1412</v>
      </c>
    </row>
    <row r="23" spans="1:2" x14ac:dyDescent="0.25">
      <c r="A23" s="30" t="s">
        <v>1415</v>
      </c>
      <c r="B23" s="4" t="s">
        <v>1416</v>
      </c>
    </row>
    <row r="24" spans="1:2" x14ac:dyDescent="0.25">
      <c r="A24" s="30" t="s">
        <v>1405</v>
      </c>
      <c r="B24" s="4" t="s">
        <v>1406</v>
      </c>
    </row>
    <row r="25" spans="1:2" x14ac:dyDescent="0.25">
      <c r="A25" s="30" t="s">
        <v>1413</v>
      </c>
      <c r="B25" s="4" t="s">
        <v>1414</v>
      </c>
    </row>
    <row r="26" spans="1:2" x14ac:dyDescent="0.25">
      <c r="A26" s="30" t="s">
        <v>1404</v>
      </c>
      <c r="B26" s="4" t="s">
        <v>1403</v>
      </c>
    </row>
  </sheetData>
  <sheetProtection sheet="1" objects="1" scenarios="1"/>
  <mergeCells count="1">
    <mergeCell ref="A1:B1"/>
  </mergeCells>
  <conditionalFormatting sqref="A10:A11">
    <cfRule type="duplicateValues" dxfId="17" priority="5"/>
  </conditionalFormatting>
  <conditionalFormatting sqref="A14:A26">
    <cfRule type="duplicateValues" dxfId="16" priority="1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7409" r:id="rId4" name="btnEstaticasReordena">
          <controlPr defaultSize="0" autoLine="0" r:id="rId5">
            <anchor moveWithCells="1">
              <from>
                <xdr:col>0</xdr:col>
                <xdr:colOff>190500</xdr:colOff>
                <xdr:row>0</xdr:row>
                <xdr:rowOff>123825</xdr:rowOff>
              </from>
              <to>
                <xdr:col>0</xdr:col>
                <xdr:colOff>2733675</xdr:colOff>
                <xdr:row>0</xdr:row>
                <xdr:rowOff>571500</xdr:rowOff>
              </to>
            </anchor>
          </controlPr>
        </control>
      </mc:Choice>
      <mc:Fallback>
        <control shapeId="17409" r:id="rId4" name="btnEstaticasReordena"/>
      </mc:Fallback>
    </mc:AlternateContent>
    <mc:AlternateContent xmlns:mc="http://schemas.openxmlformats.org/markup-compatibility/2006">
      <mc:Choice Requires="x14">
        <control shapeId="17410" r:id="rId6" name="btnEstaticasHabilitaAlt">
          <controlPr locked="0" defaultSize="0" autoLine="0" r:id="rId7">
            <anchor moveWithCells="1" sizeWithCells="1">
              <from>
                <xdr:col>0</xdr:col>
                <xdr:colOff>4257675</xdr:colOff>
                <xdr:row>0</xdr:row>
                <xdr:rowOff>123825</xdr:rowOff>
              </from>
              <to>
                <xdr:col>1</xdr:col>
                <xdr:colOff>1676400</xdr:colOff>
                <xdr:row>0</xdr:row>
                <xdr:rowOff>571500</xdr:rowOff>
              </to>
            </anchor>
          </controlPr>
        </control>
      </mc:Choice>
      <mc:Fallback>
        <control shapeId="17410" r:id="rId6" name="btnEstaticasHabilitaAlt"/>
      </mc:Fallback>
    </mc:AlternateContent>
  </controls>
  <tableParts count="3">
    <tablePart r:id="rId8"/>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A1:C2471"/>
  <sheetViews>
    <sheetView workbookViewId="0">
      <pane xSplit="2" ySplit="2" topLeftCell="C9" activePane="bottomRight" state="frozen"/>
      <selection pane="topRight" activeCell="C1" sqref="C1"/>
      <selection pane="bottomLeft" activeCell="A3" sqref="A3"/>
      <selection pane="bottomRight" activeCell="A23" sqref="A23"/>
    </sheetView>
  </sheetViews>
  <sheetFormatPr defaultRowHeight="15" x14ac:dyDescent="0.25"/>
  <cols>
    <col min="1" max="1" width="17" customWidth="1"/>
    <col min="2" max="2" width="119.28515625" customWidth="1"/>
  </cols>
  <sheetData>
    <row r="1" spans="1:3" ht="42.75" customHeight="1" x14ac:dyDescent="0.25">
      <c r="A1" s="54"/>
      <c r="B1" s="54"/>
    </row>
    <row r="2" spans="1:3" ht="18.75" x14ac:dyDescent="0.3">
      <c r="A2" s="47" t="s">
        <v>0</v>
      </c>
      <c r="B2" s="26" t="s">
        <v>1</v>
      </c>
      <c r="C2" s="48" t="s">
        <v>1020</v>
      </c>
    </row>
    <row r="3" spans="1:3" x14ac:dyDescent="0.25">
      <c r="A3" s="12">
        <v>83</v>
      </c>
      <c r="B3" s="21" t="s">
        <v>1388</v>
      </c>
      <c r="C3" s="46" t="s">
        <v>1361</v>
      </c>
    </row>
    <row r="4" spans="1:3" x14ac:dyDescent="0.25">
      <c r="A4" s="12">
        <v>81</v>
      </c>
      <c r="B4" s="21" t="s">
        <v>1387</v>
      </c>
      <c r="C4" s="46" t="s">
        <v>1413</v>
      </c>
    </row>
    <row r="5" spans="1:3" x14ac:dyDescent="0.25">
      <c r="A5" s="12">
        <v>79</v>
      </c>
      <c r="B5" s="21" t="s">
        <v>1385</v>
      </c>
      <c r="C5" s="46" t="s">
        <v>1352</v>
      </c>
    </row>
    <row r="6" spans="1:3" x14ac:dyDescent="0.25">
      <c r="A6" s="12">
        <v>80</v>
      </c>
      <c r="B6" s="21" t="s">
        <v>1386</v>
      </c>
      <c r="C6" s="46" t="s">
        <v>1361</v>
      </c>
    </row>
    <row r="7" spans="1:3" x14ac:dyDescent="0.25">
      <c r="A7" s="12">
        <v>60</v>
      </c>
      <c r="B7" s="21" t="s">
        <v>1369</v>
      </c>
      <c r="C7" s="46" t="s">
        <v>1400</v>
      </c>
    </row>
    <row r="8" spans="1:3" x14ac:dyDescent="0.25">
      <c r="A8" s="12">
        <v>73</v>
      </c>
      <c r="B8" s="21" t="s">
        <v>1381</v>
      </c>
      <c r="C8" s="46" t="s">
        <v>1356</v>
      </c>
    </row>
    <row r="9" spans="1:3" x14ac:dyDescent="0.25">
      <c r="A9" s="12">
        <v>54</v>
      </c>
      <c r="B9" s="21" t="s">
        <v>1363</v>
      </c>
      <c r="C9" s="46" t="s">
        <v>1361</v>
      </c>
    </row>
    <row r="10" spans="1:3" x14ac:dyDescent="0.25">
      <c r="A10" s="12">
        <v>56</v>
      </c>
      <c r="B10" s="21" t="s">
        <v>1365</v>
      </c>
      <c r="C10" s="46" t="s">
        <v>1400</v>
      </c>
    </row>
    <row r="11" spans="1:3" x14ac:dyDescent="0.25">
      <c r="A11" s="12">
        <v>58</v>
      </c>
      <c r="B11" s="21" t="s">
        <v>1367</v>
      </c>
      <c r="C11" s="46" t="s">
        <v>1356</v>
      </c>
    </row>
    <row r="12" spans="1:3" x14ac:dyDescent="0.25">
      <c r="A12" s="12">
        <v>76</v>
      </c>
      <c r="B12" s="21" t="s">
        <v>1383</v>
      </c>
      <c r="C12" s="46" t="s">
        <v>1415</v>
      </c>
    </row>
    <row r="13" spans="1:3" x14ac:dyDescent="0.25">
      <c r="A13" s="12">
        <v>55</v>
      </c>
      <c r="B13" s="21" t="s">
        <v>1364</v>
      </c>
      <c r="C13" s="46" t="s">
        <v>1407</v>
      </c>
    </row>
    <row r="14" spans="1:3" x14ac:dyDescent="0.25">
      <c r="A14" s="12">
        <v>50</v>
      </c>
      <c r="B14" s="21" t="s">
        <v>1359</v>
      </c>
      <c r="C14" s="46" t="s">
        <v>1361</v>
      </c>
    </row>
    <row r="15" spans="1:3" x14ac:dyDescent="0.25">
      <c r="A15" s="12">
        <v>49</v>
      </c>
      <c r="B15" s="21" t="s">
        <v>1358</v>
      </c>
      <c r="C15" s="46" t="s">
        <v>1409</v>
      </c>
    </row>
    <row r="16" spans="1:3" x14ac:dyDescent="0.25">
      <c r="A16" s="12">
        <v>52</v>
      </c>
      <c r="B16" s="21" t="s">
        <v>1362</v>
      </c>
      <c r="C16" s="46" t="s">
        <v>1352</v>
      </c>
    </row>
    <row r="17" spans="1:3" x14ac:dyDescent="0.25">
      <c r="A17" s="12">
        <v>59</v>
      </c>
      <c r="B17" s="21" t="s">
        <v>1368</v>
      </c>
      <c r="C17" s="46" t="s">
        <v>1400</v>
      </c>
    </row>
    <row r="18" spans="1:3" x14ac:dyDescent="0.25">
      <c r="A18" s="12">
        <v>63</v>
      </c>
      <c r="B18" s="21" t="s">
        <v>1372</v>
      </c>
      <c r="C18" s="46" t="s">
        <v>1404</v>
      </c>
    </row>
    <row r="19" spans="1:3" x14ac:dyDescent="0.25">
      <c r="A19" s="12">
        <v>66</v>
      </c>
      <c r="B19" s="21" t="s">
        <v>1375</v>
      </c>
      <c r="C19" s="46" t="s">
        <v>1361</v>
      </c>
    </row>
    <row r="20" spans="1:3" x14ac:dyDescent="0.25">
      <c r="A20" s="12">
        <v>70</v>
      </c>
      <c r="B20" s="21" t="s">
        <v>1378</v>
      </c>
      <c r="C20" s="46" t="s">
        <v>1361</v>
      </c>
    </row>
    <row r="21" spans="1:3" x14ac:dyDescent="0.25">
      <c r="A21" s="12">
        <v>71</v>
      </c>
      <c r="B21" s="21" t="s">
        <v>1379</v>
      </c>
      <c r="C21" s="46" t="s">
        <v>1356</v>
      </c>
    </row>
    <row r="22" spans="1:3" x14ac:dyDescent="0.25">
      <c r="A22" s="12">
        <v>18</v>
      </c>
      <c r="B22" s="21" t="s">
        <v>1353</v>
      </c>
      <c r="C22" s="46" t="s">
        <v>1400</v>
      </c>
    </row>
    <row r="23" spans="1:3" x14ac:dyDescent="0.25">
      <c r="A23" s="12">
        <v>74</v>
      </c>
      <c r="B23" s="21" t="s">
        <v>1382</v>
      </c>
      <c r="C23" s="46" t="s">
        <v>1418</v>
      </c>
    </row>
    <row r="24" spans="1:3" x14ac:dyDescent="0.25">
      <c r="A24" s="12">
        <v>57</v>
      </c>
      <c r="B24" s="21" t="s">
        <v>1366</v>
      </c>
      <c r="C24" s="46" t="s">
        <v>1356</v>
      </c>
    </row>
    <row r="25" spans="1:3" x14ac:dyDescent="0.25">
      <c r="A25" s="12">
        <v>45</v>
      </c>
      <c r="B25" s="21" t="s">
        <v>1355</v>
      </c>
      <c r="C25" s="46" t="s">
        <v>1356</v>
      </c>
    </row>
    <row r="26" spans="1:3" x14ac:dyDescent="0.25">
      <c r="A26" s="12">
        <v>48</v>
      </c>
      <c r="B26" s="21" t="s">
        <v>1357</v>
      </c>
      <c r="C26" s="46" t="s">
        <v>1361</v>
      </c>
    </row>
    <row r="27" spans="1:3" x14ac:dyDescent="0.25">
      <c r="A27" s="12">
        <v>72</v>
      </c>
      <c r="B27" s="21" t="s">
        <v>1380</v>
      </c>
      <c r="C27" s="46" t="s">
        <v>1352</v>
      </c>
    </row>
    <row r="28" spans="1:3" x14ac:dyDescent="0.25">
      <c r="A28" s="12">
        <v>96</v>
      </c>
      <c r="B28" s="21" t="s">
        <v>1391</v>
      </c>
      <c r="C28" s="46" t="s">
        <v>1418</v>
      </c>
    </row>
    <row r="29" spans="1:3" x14ac:dyDescent="0.25">
      <c r="A29" s="12">
        <v>51</v>
      </c>
      <c r="B29" s="21" t="s">
        <v>1360</v>
      </c>
      <c r="C29" s="46" t="s">
        <v>1418</v>
      </c>
    </row>
    <row r="30" spans="1:3" x14ac:dyDescent="0.25">
      <c r="A30" s="12">
        <v>65</v>
      </c>
      <c r="B30" s="21" t="s">
        <v>1374</v>
      </c>
      <c r="C30" s="46" t="s">
        <v>1404</v>
      </c>
    </row>
    <row r="31" spans="1:3" x14ac:dyDescent="0.25">
      <c r="A31" s="12">
        <v>20</v>
      </c>
      <c r="B31" s="21" t="s">
        <v>1354</v>
      </c>
      <c r="C31" s="46" t="s">
        <v>1404</v>
      </c>
    </row>
    <row r="32" spans="1:3" x14ac:dyDescent="0.25">
      <c r="A32" s="12">
        <v>61</v>
      </c>
      <c r="B32" s="21" t="s">
        <v>1370</v>
      </c>
      <c r="C32" s="46" t="s">
        <v>1409</v>
      </c>
    </row>
    <row r="33" spans="1:3" x14ac:dyDescent="0.25">
      <c r="A33" s="12">
        <v>64</v>
      </c>
      <c r="B33" s="21" t="s">
        <v>1373</v>
      </c>
      <c r="C33" s="46" t="s">
        <v>1404</v>
      </c>
    </row>
    <row r="34" spans="1:3" x14ac:dyDescent="0.25">
      <c r="A34" s="12">
        <v>69</v>
      </c>
      <c r="B34" s="21" t="s">
        <v>1377</v>
      </c>
      <c r="C34" s="46" t="s">
        <v>1405</v>
      </c>
    </row>
    <row r="35" spans="1:3" x14ac:dyDescent="0.25">
      <c r="A35" s="12">
        <v>78</v>
      </c>
      <c r="B35" s="21" t="s">
        <v>1384</v>
      </c>
      <c r="C35" s="46" t="s">
        <v>1352</v>
      </c>
    </row>
    <row r="36" spans="1:3" x14ac:dyDescent="0.25">
      <c r="A36" s="12">
        <v>67</v>
      </c>
      <c r="B36" s="21" t="s">
        <v>1376</v>
      </c>
      <c r="C36" s="46" t="s">
        <v>1405</v>
      </c>
    </row>
    <row r="37" spans="1:3" x14ac:dyDescent="0.25">
      <c r="A37" s="12">
        <v>89</v>
      </c>
      <c r="B37" s="21" t="s">
        <v>1390</v>
      </c>
      <c r="C37" s="46" t="s">
        <v>1419</v>
      </c>
    </row>
    <row r="38" spans="1:3" x14ac:dyDescent="0.25">
      <c r="A38" s="12">
        <v>85</v>
      </c>
      <c r="B38" s="21" t="s">
        <v>1389</v>
      </c>
      <c r="C38" s="46" t="s">
        <v>1419</v>
      </c>
    </row>
    <row r="39" spans="1:3" x14ac:dyDescent="0.25">
      <c r="A39" s="12">
        <v>2</v>
      </c>
      <c r="B39" s="21" t="s">
        <v>1351</v>
      </c>
      <c r="C39" s="46" t="s">
        <v>1352</v>
      </c>
    </row>
    <row r="40" spans="1:3" x14ac:dyDescent="0.25">
      <c r="A40" s="12">
        <v>62</v>
      </c>
      <c r="B40" s="21" t="s">
        <v>1371</v>
      </c>
      <c r="C40" s="46" t="s">
        <v>1352</v>
      </c>
    </row>
    <row r="1310" spans="1:2" x14ac:dyDescent="0.25">
      <c r="A1310">
        <v>45</v>
      </c>
      <c r="B1310" t="s">
        <v>1355</v>
      </c>
    </row>
    <row r="1311" spans="1:2" x14ac:dyDescent="0.25">
      <c r="A1311">
        <v>45</v>
      </c>
      <c r="B1311" t="s">
        <v>1355</v>
      </c>
    </row>
    <row r="1312" spans="1:2" x14ac:dyDescent="0.25">
      <c r="A1312">
        <v>45</v>
      </c>
      <c r="B1312" t="s">
        <v>1355</v>
      </c>
    </row>
    <row r="1313" spans="1:2" x14ac:dyDescent="0.25">
      <c r="A1313">
        <v>45</v>
      </c>
      <c r="B1313" t="s">
        <v>1355</v>
      </c>
    </row>
    <row r="1314" spans="1:2" x14ac:dyDescent="0.25">
      <c r="A1314">
        <v>46</v>
      </c>
      <c r="B1314" t="s">
        <v>1392</v>
      </c>
    </row>
    <row r="1315" spans="1:2" x14ac:dyDescent="0.25">
      <c r="A1315">
        <v>45</v>
      </c>
      <c r="B1315" t="s">
        <v>1355</v>
      </c>
    </row>
    <row r="1316" spans="1:2" x14ac:dyDescent="0.25">
      <c r="A1316">
        <v>83</v>
      </c>
      <c r="B1316" t="s">
        <v>1388</v>
      </c>
    </row>
    <row r="1317" spans="1:2" x14ac:dyDescent="0.25">
      <c r="A1317">
        <v>83</v>
      </c>
      <c r="B1317" t="s">
        <v>1388</v>
      </c>
    </row>
    <row r="1318" spans="1:2" x14ac:dyDescent="0.25">
      <c r="A1318">
        <v>83</v>
      </c>
      <c r="B1318" t="s">
        <v>1388</v>
      </c>
    </row>
    <row r="1319" spans="1:2" x14ac:dyDescent="0.25">
      <c r="A1319">
        <v>83</v>
      </c>
      <c r="B1319" t="s">
        <v>1388</v>
      </c>
    </row>
    <row r="1320" spans="1:2" x14ac:dyDescent="0.25">
      <c r="A1320">
        <v>83</v>
      </c>
      <c r="B1320" t="s">
        <v>1388</v>
      </c>
    </row>
    <row r="1321" spans="1:2" x14ac:dyDescent="0.25">
      <c r="A1321">
        <v>83</v>
      </c>
      <c r="B1321" t="s">
        <v>1388</v>
      </c>
    </row>
    <row r="1322" spans="1:2" x14ac:dyDescent="0.25">
      <c r="A1322">
        <v>83</v>
      </c>
      <c r="B1322" t="s">
        <v>1388</v>
      </c>
    </row>
    <row r="1323" spans="1:2" x14ac:dyDescent="0.25">
      <c r="A1323">
        <v>83</v>
      </c>
      <c r="B1323" t="s">
        <v>1388</v>
      </c>
    </row>
    <row r="1324" spans="1:2" x14ac:dyDescent="0.25">
      <c r="A1324">
        <v>83</v>
      </c>
      <c r="B1324" t="s">
        <v>1388</v>
      </c>
    </row>
    <row r="1325" spans="1:2" x14ac:dyDescent="0.25">
      <c r="A1325">
        <v>83</v>
      </c>
      <c r="B1325" t="s">
        <v>1388</v>
      </c>
    </row>
    <row r="1326" spans="1:2" x14ac:dyDescent="0.25">
      <c r="A1326">
        <v>83</v>
      </c>
      <c r="B1326" t="s">
        <v>1388</v>
      </c>
    </row>
    <row r="1327" spans="1:2" x14ac:dyDescent="0.25">
      <c r="A1327">
        <v>83</v>
      </c>
      <c r="B1327" t="s">
        <v>1388</v>
      </c>
    </row>
    <row r="1328" spans="1:2" x14ac:dyDescent="0.25">
      <c r="A1328">
        <v>83</v>
      </c>
      <c r="B1328" t="s">
        <v>1388</v>
      </c>
    </row>
    <row r="1329" spans="1:2" x14ac:dyDescent="0.25">
      <c r="A1329">
        <v>83</v>
      </c>
      <c r="B1329" t="s">
        <v>1388</v>
      </c>
    </row>
    <row r="1330" spans="1:2" x14ac:dyDescent="0.25">
      <c r="A1330">
        <v>83</v>
      </c>
      <c r="B1330" t="s">
        <v>1388</v>
      </c>
    </row>
    <row r="1331" spans="1:2" x14ac:dyDescent="0.25">
      <c r="A1331">
        <v>83</v>
      </c>
      <c r="B1331" t="s">
        <v>1388</v>
      </c>
    </row>
    <row r="1332" spans="1:2" x14ac:dyDescent="0.25">
      <c r="A1332">
        <v>83</v>
      </c>
      <c r="B1332" t="s">
        <v>1388</v>
      </c>
    </row>
    <row r="1333" spans="1:2" x14ac:dyDescent="0.25">
      <c r="A1333">
        <v>83</v>
      </c>
      <c r="B1333" t="s">
        <v>1388</v>
      </c>
    </row>
    <row r="1334" spans="1:2" x14ac:dyDescent="0.25">
      <c r="A1334">
        <v>83</v>
      </c>
      <c r="B1334" t="s">
        <v>1388</v>
      </c>
    </row>
    <row r="1335" spans="1:2" x14ac:dyDescent="0.25">
      <c r="A1335">
        <v>83</v>
      </c>
      <c r="B1335" t="s">
        <v>1388</v>
      </c>
    </row>
    <row r="1336" spans="1:2" x14ac:dyDescent="0.25">
      <c r="A1336">
        <v>83</v>
      </c>
      <c r="B1336" t="s">
        <v>1388</v>
      </c>
    </row>
    <row r="1337" spans="1:2" x14ac:dyDescent="0.25">
      <c r="A1337">
        <v>83</v>
      </c>
      <c r="B1337" t="s">
        <v>1388</v>
      </c>
    </row>
    <row r="1338" spans="1:2" x14ac:dyDescent="0.25">
      <c r="A1338">
        <v>83</v>
      </c>
      <c r="B1338" t="s">
        <v>1388</v>
      </c>
    </row>
    <row r="1339" spans="1:2" x14ac:dyDescent="0.25">
      <c r="A1339">
        <v>83</v>
      </c>
      <c r="B1339" t="s">
        <v>1388</v>
      </c>
    </row>
    <row r="1340" spans="1:2" x14ac:dyDescent="0.25">
      <c r="A1340">
        <v>83</v>
      </c>
      <c r="B1340" t="s">
        <v>1388</v>
      </c>
    </row>
    <row r="1341" spans="1:2" x14ac:dyDescent="0.25">
      <c r="A1341">
        <v>83</v>
      </c>
      <c r="B1341" t="s">
        <v>1388</v>
      </c>
    </row>
    <row r="1342" spans="1:2" x14ac:dyDescent="0.25">
      <c r="A1342">
        <v>83</v>
      </c>
      <c r="B1342" t="s">
        <v>1388</v>
      </c>
    </row>
    <row r="1343" spans="1:2" x14ac:dyDescent="0.25">
      <c r="A1343">
        <v>83</v>
      </c>
      <c r="B1343" t="s">
        <v>1388</v>
      </c>
    </row>
    <row r="1344" spans="1:2" x14ac:dyDescent="0.25">
      <c r="A1344">
        <v>83</v>
      </c>
      <c r="B1344" t="s">
        <v>1388</v>
      </c>
    </row>
    <row r="1345" spans="1:2" x14ac:dyDescent="0.25">
      <c r="A1345">
        <v>83</v>
      </c>
      <c r="B1345" t="s">
        <v>1388</v>
      </c>
    </row>
    <row r="1346" spans="1:2" x14ac:dyDescent="0.25">
      <c r="A1346">
        <v>83</v>
      </c>
      <c r="B1346" t="s">
        <v>1388</v>
      </c>
    </row>
    <row r="1347" spans="1:2" x14ac:dyDescent="0.25">
      <c r="A1347">
        <v>72</v>
      </c>
      <c r="B1347" t="s">
        <v>1380</v>
      </c>
    </row>
    <row r="1348" spans="1:2" x14ac:dyDescent="0.25">
      <c r="A1348">
        <v>72</v>
      </c>
      <c r="B1348" t="s">
        <v>1380</v>
      </c>
    </row>
    <row r="1349" spans="1:2" x14ac:dyDescent="0.25">
      <c r="A1349">
        <v>72</v>
      </c>
      <c r="B1349" t="s">
        <v>1380</v>
      </c>
    </row>
    <row r="1350" spans="1:2" x14ac:dyDescent="0.25">
      <c r="A1350">
        <v>79</v>
      </c>
      <c r="B1350" t="s">
        <v>1385</v>
      </c>
    </row>
    <row r="1351" spans="1:2" x14ac:dyDescent="0.25">
      <c r="A1351">
        <v>55</v>
      </c>
      <c r="B1351" t="s">
        <v>1364</v>
      </c>
    </row>
    <row r="1352" spans="1:2" x14ac:dyDescent="0.25">
      <c r="A1352">
        <v>55</v>
      </c>
      <c r="B1352" t="s">
        <v>1364</v>
      </c>
    </row>
    <row r="1353" spans="1:2" x14ac:dyDescent="0.25">
      <c r="A1353">
        <v>55</v>
      </c>
      <c r="B1353" t="s">
        <v>1364</v>
      </c>
    </row>
    <row r="1354" spans="1:2" x14ac:dyDescent="0.25">
      <c r="A1354">
        <v>55</v>
      </c>
      <c r="B1354" t="s">
        <v>1364</v>
      </c>
    </row>
    <row r="1355" spans="1:2" x14ac:dyDescent="0.25">
      <c r="A1355">
        <v>55</v>
      </c>
      <c r="B1355" t="s">
        <v>1364</v>
      </c>
    </row>
    <row r="1356" spans="1:2" x14ac:dyDescent="0.25">
      <c r="A1356">
        <v>55</v>
      </c>
      <c r="B1356" t="s">
        <v>1364</v>
      </c>
    </row>
    <row r="1357" spans="1:2" x14ac:dyDescent="0.25">
      <c r="A1357">
        <v>55</v>
      </c>
      <c r="B1357" t="s">
        <v>1364</v>
      </c>
    </row>
    <row r="1358" spans="1:2" x14ac:dyDescent="0.25">
      <c r="A1358">
        <v>55</v>
      </c>
      <c r="B1358" t="s">
        <v>1364</v>
      </c>
    </row>
    <row r="1359" spans="1:2" x14ac:dyDescent="0.25">
      <c r="A1359">
        <v>55</v>
      </c>
      <c r="B1359" t="s">
        <v>1364</v>
      </c>
    </row>
    <row r="1360" spans="1:2" x14ac:dyDescent="0.25">
      <c r="A1360">
        <v>55</v>
      </c>
      <c r="B1360" t="s">
        <v>1364</v>
      </c>
    </row>
    <row r="1361" spans="1:2" x14ac:dyDescent="0.25">
      <c r="A1361">
        <v>20</v>
      </c>
      <c r="B1361" t="s">
        <v>1354</v>
      </c>
    </row>
    <row r="1362" spans="1:2" x14ac:dyDescent="0.25">
      <c r="A1362">
        <v>20</v>
      </c>
      <c r="B1362" t="s">
        <v>1354</v>
      </c>
    </row>
    <row r="1363" spans="1:2" x14ac:dyDescent="0.25">
      <c r="A1363">
        <v>54</v>
      </c>
      <c r="B1363" t="s">
        <v>1363</v>
      </c>
    </row>
    <row r="1364" spans="1:2" x14ac:dyDescent="0.25">
      <c r="A1364">
        <v>54</v>
      </c>
      <c r="B1364" t="s">
        <v>1363</v>
      </c>
    </row>
    <row r="1365" spans="1:2" x14ac:dyDescent="0.25">
      <c r="A1365">
        <v>54</v>
      </c>
      <c r="B1365" t="s">
        <v>1363</v>
      </c>
    </row>
    <row r="1366" spans="1:2" x14ac:dyDescent="0.25">
      <c r="A1366">
        <v>54</v>
      </c>
      <c r="B1366" t="s">
        <v>1363</v>
      </c>
    </row>
    <row r="1367" spans="1:2" x14ac:dyDescent="0.25">
      <c r="A1367">
        <v>54</v>
      </c>
      <c r="B1367" t="s">
        <v>1363</v>
      </c>
    </row>
    <row r="1368" spans="1:2" x14ac:dyDescent="0.25">
      <c r="A1368">
        <v>20</v>
      </c>
      <c r="B1368" t="s">
        <v>1354</v>
      </c>
    </row>
    <row r="1369" spans="1:2" x14ac:dyDescent="0.25">
      <c r="A1369">
        <v>54</v>
      </c>
      <c r="B1369" t="s">
        <v>1363</v>
      </c>
    </row>
    <row r="1370" spans="1:2" x14ac:dyDescent="0.25">
      <c r="A1370">
        <v>54</v>
      </c>
      <c r="B1370" t="s">
        <v>1363</v>
      </c>
    </row>
    <row r="1371" spans="1:2" x14ac:dyDescent="0.25">
      <c r="A1371">
        <v>54</v>
      </c>
      <c r="B1371" t="s">
        <v>1363</v>
      </c>
    </row>
    <row r="1372" spans="1:2" x14ac:dyDescent="0.25">
      <c r="A1372">
        <v>54</v>
      </c>
      <c r="B1372" t="s">
        <v>1363</v>
      </c>
    </row>
    <row r="1373" spans="1:2" x14ac:dyDescent="0.25">
      <c r="A1373">
        <v>54</v>
      </c>
      <c r="B1373" t="s">
        <v>1363</v>
      </c>
    </row>
    <row r="1374" spans="1:2" x14ac:dyDescent="0.25">
      <c r="A1374">
        <v>54</v>
      </c>
      <c r="B1374" t="s">
        <v>1363</v>
      </c>
    </row>
    <row r="1375" spans="1:2" x14ac:dyDescent="0.25">
      <c r="A1375">
        <v>54</v>
      </c>
      <c r="B1375" t="s">
        <v>1363</v>
      </c>
    </row>
    <row r="1376" spans="1:2" x14ac:dyDescent="0.25">
      <c r="A1376">
        <v>54</v>
      </c>
      <c r="B1376" t="s">
        <v>1363</v>
      </c>
    </row>
    <row r="1377" spans="1:2" x14ac:dyDescent="0.25">
      <c r="A1377">
        <v>54</v>
      </c>
      <c r="B1377" t="s">
        <v>1363</v>
      </c>
    </row>
    <row r="1378" spans="1:2" x14ac:dyDescent="0.25">
      <c r="A1378">
        <v>54</v>
      </c>
      <c r="B1378" t="s">
        <v>1363</v>
      </c>
    </row>
    <row r="1379" spans="1:2" x14ac:dyDescent="0.25">
      <c r="A1379">
        <v>54</v>
      </c>
      <c r="B1379" t="s">
        <v>1363</v>
      </c>
    </row>
    <row r="1380" spans="1:2" x14ac:dyDescent="0.25">
      <c r="A1380">
        <v>54</v>
      </c>
      <c r="B1380" t="s">
        <v>1363</v>
      </c>
    </row>
    <row r="1381" spans="1:2" x14ac:dyDescent="0.25">
      <c r="A1381">
        <v>61</v>
      </c>
      <c r="B1381" t="s">
        <v>1370</v>
      </c>
    </row>
    <row r="1382" spans="1:2" x14ac:dyDescent="0.25">
      <c r="A1382">
        <v>61</v>
      </c>
      <c r="B1382" t="s">
        <v>1370</v>
      </c>
    </row>
    <row r="1383" spans="1:2" x14ac:dyDescent="0.25">
      <c r="A1383">
        <v>61</v>
      </c>
      <c r="B1383" t="s">
        <v>1370</v>
      </c>
    </row>
    <row r="1384" spans="1:2" x14ac:dyDescent="0.25">
      <c r="A1384">
        <v>61</v>
      </c>
      <c r="B1384" t="s">
        <v>1370</v>
      </c>
    </row>
    <row r="1385" spans="1:2" x14ac:dyDescent="0.25">
      <c r="A1385">
        <v>61</v>
      </c>
      <c r="B1385" t="s">
        <v>1370</v>
      </c>
    </row>
    <row r="1386" spans="1:2" x14ac:dyDescent="0.25">
      <c r="A1386">
        <v>61</v>
      </c>
      <c r="B1386" t="s">
        <v>1370</v>
      </c>
    </row>
    <row r="1387" spans="1:2" x14ac:dyDescent="0.25">
      <c r="A1387">
        <v>61</v>
      </c>
      <c r="B1387" t="s">
        <v>1370</v>
      </c>
    </row>
    <row r="1388" spans="1:2" x14ac:dyDescent="0.25">
      <c r="A1388">
        <v>61</v>
      </c>
      <c r="B1388" t="s">
        <v>1370</v>
      </c>
    </row>
    <row r="1389" spans="1:2" x14ac:dyDescent="0.25">
      <c r="A1389">
        <v>54</v>
      </c>
      <c r="B1389" t="s">
        <v>1363</v>
      </c>
    </row>
    <row r="1390" spans="1:2" x14ac:dyDescent="0.25">
      <c r="A1390">
        <v>61</v>
      </c>
      <c r="B1390" t="s">
        <v>1370</v>
      </c>
    </row>
    <row r="1391" spans="1:2" x14ac:dyDescent="0.25">
      <c r="A1391">
        <v>61</v>
      </c>
      <c r="B1391" t="s">
        <v>1370</v>
      </c>
    </row>
    <row r="1392" spans="1:2" x14ac:dyDescent="0.25">
      <c r="A1392">
        <v>61</v>
      </c>
      <c r="B1392" t="s">
        <v>1370</v>
      </c>
    </row>
    <row r="1393" spans="1:2" x14ac:dyDescent="0.25">
      <c r="A1393">
        <v>61</v>
      </c>
      <c r="B1393" t="s">
        <v>1370</v>
      </c>
    </row>
    <row r="1394" spans="1:2" x14ac:dyDescent="0.25">
      <c r="A1394">
        <v>61</v>
      </c>
      <c r="B1394" t="s">
        <v>1370</v>
      </c>
    </row>
    <row r="1395" spans="1:2" x14ac:dyDescent="0.25">
      <c r="A1395">
        <v>61</v>
      </c>
      <c r="B1395" t="s">
        <v>1370</v>
      </c>
    </row>
    <row r="1396" spans="1:2" x14ac:dyDescent="0.25">
      <c r="A1396">
        <v>61</v>
      </c>
      <c r="B1396" t="s">
        <v>1370</v>
      </c>
    </row>
    <row r="1397" spans="1:2" x14ac:dyDescent="0.25">
      <c r="A1397">
        <v>61</v>
      </c>
      <c r="B1397" t="s">
        <v>1370</v>
      </c>
    </row>
    <row r="1398" spans="1:2" x14ac:dyDescent="0.25">
      <c r="A1398">
        <v>61</v>
      </c>
      <c r="B1398" t="s">
        <v>1370</v>
      </c>
    </row>
    <row r="1399" spans="1:2" x14ac:dyDescent="0.25">
      <c r="A1399">
        <v>61</v>
      </c>
      <c r="B1399" t="s">
        <v>1370</v>
      </c>
    </row>
    <row r="1400" spans="1:2" x14ac:dyDescent="0.25">
      <c r="A1400">
        <v>55</v>
      </c>
      <c r="B1400" t="s">
        <v>1364</v>
      </c>
    </row>
    <row r="1401" spans="1:2" x14ac:dyDescent="0.25">
      <c r="A1401">
        <v>51</v>
      </c>
      <c r="B1401" t="s">
        <v>1360</v>
      </c>
    </row>
    <row r="1402" spans="1:2" x14ac:dyDescent="0.25">
      <c r="A1402">
        <v>54</v>
      </c>
      <c r="B1402" t="s">
        <v>1363</v>
      </c>
    </row>
    <row r="1403" spans="1:2" x14ac:dyDescent="0.25">
      <c r="A1403">
        <v>70</v>
      </c>
      <c r="B1403" t="s">
        <v>1378</v>
      </c>
    </row>
    <row r="1404" spans="1:2" x14ac:dyDescent="0.25">
      <c r="A1404">
        <v>61</v>
      </c>
      <c r="B1404" t="s">
        <v>1370</v>
      </c>
    </row>
    <row r="1405" spans="1:2" x14ac:dyDescent="0.25">
      <c r="A1405">
        <v>61</v>
      </c>
      <c r="B1405" t="s">
        <v>1370</v>
      </c>
    </row>
    <row r="1406" spans="1:2" x14ac:dyDescent="0.25">
      <c r="A1406">
        <v>73</v>
      </c>
      <c r="B1406" t="s">
        <v>1381</v>
      </c>
    </row>
    <row r="1407" spans="1:2" x14ac:dyDescent="0.25">
      <c r="A1407">
        <v>61</v>
      </c>
      <c r="B1407" t="s">
        <v>1370</v>
      </c>
    </row>
    <row r="1408" spans="1:2" x14ac:dyDescent="0.25">
      <c r="A1408">
        <v>61</v>
      </c>
      <c r="B1408" t="s">
        <v>1370</v>
      </c>
    </row>
    <row r="1409" spans="1:2" x14ac:dyDescent="0.25">
      <c r="A1409">
        <v>61</v>
      </c>
      <c r="B1409" t="s">
        <v>1370</v>
      </c>
    </row>
    <row r="1410" spans="1:2" x14ac:dyDescent="0.25">
      <c r="A1410">
        <v>51</v>
      </c>
      <c r="B1410" t="s">
        <v>1360</v>
      </c>
    </row>
    <row r="1411" spans="1:2" x14ac:dyDescent="0.25">
      <c r="A1411">
        <v>45</v>
      </c>
      <c r="B1411" t="s">
        <v>1355</v>
      </c>
    </row>
    <row r="1412" spans="1:2" x14ac:dyDescent="0.25">
      <c r="A1412">
        <v>45</v>
      </c>
      <c r="B1412" t="s">
        <v>1355</v>
      </c>
    </row>
    <row r="1413" spans="1:2" x14ac:dyDescent="0.25">
      <c r="A1413">
        <v>45</v>
      </c>
      <c r="B1413" t="s">
        <v>1355</v>
      </c>
    </row>
    <row r="1414" spans="1:2" x14ac:dyDescent="0.25">
      <c r="A1414">
        <v>45</v>
      </c>
      <c r="B1414" t="s">
        <v>1355</v>
      </c>
    </row>
    <row r="1415" spans="1:2" x14ac:dyDescent="0.25">
      <c r="A1415">
        <v>45</v>
      </c>
      <c r="B1415" t="s">
        <v>1355</v>
      </c>
    </row>
    <row r="1416" spans="1:2" x14ac:dyDescent="0.25">
      <c r="A1416">
        <v>45</v>
      </c>
      <c r="B1416" t="s">
        <v>1355</v>
      </c>
    </row>
    <row r="1417" spans="1:2" x14ac:dyDescent="0.25">
      <c r="A1417">
        <v>45</v>
      </c>
      <c r="B1417" t="s">
        <v>1355</v>
      </c>
    </row>
    <row r="1418" spans="1:2" x14ac:dyDescent="0.25">
      <c r="A1418">
        <v>71</v>
      </c>
      <c r="B1418" t="s">
        <v>1379</v>
      </c>
    </row>
    <row r="1419" spans="1:2" x14ac:dyDescent="0.25">
      <c r="A1419">
        <v>71</v>
      </c>
      <c r="B1419" t="s">
        <v>1379</v>
      </c>
    </row>
    <row r="1420" spans="1:2" x14ac:dyDescent="0.25">
      <c r="A1420">
        <v>71</v>
      </c>
      <c r="B1420" t="s">
        <v>1379</v>
      </c>
    </row>
    <row r="1421" spans="1:2" x14ac:dyDescent="0.25">
      <c r="A1421">
        <v>71</v>
      </c>
      <c r="B1421" t="s">
        <v>1379</v>
      </c>
    </row>
    <row r="1422" spans="1:2" x14ac:dyDescent="0.25">
      <c r="A1422">
        <v>70</v>
      </c>
      <c r="B1422" t="s">
        <v>1378</v>
      </c>
    </row>
    <row r="1423" spans="1:2" x14ac:dyDescent="0.25">
      <c r="A1423">
        <v>70</v>
      </c>
      <c r="B1423" t="s">
        <v>1378</v>
      </c>
    </row>
    <row r="1424" spans="1:2" x14ac:dyDescent="0.25">
      <c r="A1424">
        <v>70</v>
      </c>
      <c r="B1424" t="s">
        <v>1378</v>
      </c>
    </row>
    <row r="1425" spans="1:2" x14ac:dyDescent="0.25">
      <c r="A1425">
        <v>54</v>
      </c>
      <c r="B1425" t="s">
        <v>1363</v>
      </c>
    </row>
    <row r="1426" spans="1:2" x14ac:dyDescent="0.25">
      <c r="A1426">
        <v>54</v>
      </c>
      <c r="B1426" t="s">
        <v>1363</v>
      </c>
    </row>
    <row r="1427" spans="1:2" x14ac:dyDescent="0.25">
      <c r="A1427">
        <v>54</v>
      </c>
      <c r="B1427" t="s">
        <v>1363</v>
      </c>
    </row>
    <row r="1428" spans="1:2" x14ac:dyDescent="0.25">
      <c r="A1428">
        <v>54</v>
      </c>
      <c r="B1428" t="s">
        <v>1363</v>
      </c>
    </row>
    <row r="1429" spans="1:2" x14ac:dyDescent="0.25">
      <c r="A1429">
        <v>51</v>
      </c>
      <c r="B1429" t="s">
        <v>1360</v>
      </c>
    </row>
    <row r="1430" spans="1:2" x14ac:dyDescent="0.25">
      <c r="A1430">
        <v>51</v>
      </c>
      <c r="B1430" t="s">
        <v>1360</v>
      </c>
    </row>
    <row r="1431" spans="1:2" x14ac:dyDescent="0.25">
      <c r="A1431">
        <v>51</v>
      </c>
      <c r="B1431" t="s">
        <v>1360</v>
      </c>
    </row>
    <row r="1432" spans="1:2" x14ac:dyDescent="0.25">
      <c r="A1432">
        <v>45</v>
      </c>
      <c r="B1432" t="s">
        <v>1355</v>
      </c>
    </row>
    <row r="1433" spans="1:2" x14ac:dyDescent="0.25">
      <c r="A1433">
        <v>45</v>
      </c>
      <c r="B1433" t="s">
        <v>1355</v>
      </c>
    </row>
    <row r="1434" spans="1:2" x14ac:dyDescent="0.25">
      <c r="A1434">
        <v>51</v>
      </c>
      <c r="B1434" t="s">
        <v>1360</v>
      </c>
    </row>
    <row r="1435" spans="1:2" x14ac:dyDescent="0.25">
      <c r="A1435">
        <v>51</v>
      </c>
      <c r="B1435" t="s">
        <v>1360</v>
      </c>
    </row>
    <row r="1436" spans="1:2" x14ac:dyDescent="0.25">
      <c r="A1436">
        <v>76</v>
      </c>
      <c r="B1436" t="s">
        <v>1383</v>
      </c>
    </row>
    <row r="1437" spans="1:2" x14ac:dyDescent="0.25">
      <c r="A1437">
        <v>45</v>
      </c>
      <c r="B1437" t="s">
        <v>1355</v>
      </c>
    </row>
    <row r="1438" spans="1:2" x14ac:dyDescent="0.25">
      <c r="A1438">
        <v>45</v>
      </c>
      <c r="B1438" t="s">
        <v>1355</v>
      </c>
    </row>
    <row r="1439" spans="1:2" x14ac:dyDescent="0.25">
      <c r="A1439">
        <v>55</v>
      </c>
      <c r="B1439" t="s">
        <v>1364</v>
      </c>
    </row>
    <row r="1440" spans="1:2" x14ac:dyDescent="0.25">
      <c r="A1440">
        <v>51</v>
      </c>
      <c r="B1440" t="s">
        <v>1360</v>
      </c>
    </row>
    <row r="1441" spans="1:2" x14ac:dyDescent="0.25">
      <c r="A1441">
        <v>51</v>
      </c>
      <c r="B1441" t="s">
        <v>1360</v>
      </c>
    </row>
    <row r="1442" spans="1:2" x14ac:dyDescent="0.25">
      <c r="A1442">
        <v>51</v>
      </c>
      <c r="B1442" t="s">
        <v>1360</v>
      </c>
    </row>
    <row r="1443" spans="1:2" x14ac:dyDescent="0.25">
      <c r="A1443">
        <v>51</v>
      </c>
      <c r="B1443" t="s">
        <v>1360</v>
      </c>
    </row>
    <row r="1444" spans="1:2" x14ac:dyDescent="0.25">
      <c r="A1444">
        <v>61</v>
      </c>
      <c r="B1444" t="s">
        <v>1370</v>
      </c>
    </row>
    <row r="1445" spans="1:2" x14ac:dyDescent="0.25">
      <c r="A1445">
        <v>61</v>
      </c>
      <c r="B1445" t="s">
        <v>1370</v>
      </c>
    </row>
    <row r="1446" spans="1:2" x14ac:dyDescent="0.25">
      <c r="A1446">
        <v>61</v>
      </c>
      <c r="B1446" t="s">
        <v>1370</v>
      </c>
    </row>
    <row r="1447" spans="1:2" x14ac:dyDescent="0.25">
      <c r="A1447">
        <v>61</v>
      </c>
      <c r="B1447" t="s">
        <v>1370</v>
      </c>
    </row>
    <row r="1448" spans="1:2" x14ac:dyDescent="0.25">
      <c r="A1448">
        <v>61</v>
      </c>
      <c r="B1448" t="s">
        <v>1370</v>
      </c>
    </row>
    <row r="1449" spans="1:2" x14ac:dyDescent="0.25">
      <c r="A1449">
        <v>54</v>
      </c>
      <c r="B1449" t="s">
        <v>1363</v>
      </c>
    </row>
    <row r="1450" spans="1:2" x14ac:dyDescent="0.25">
      <c r="A1450">
        <v>54</v>
      </c>
      <c r="B1450" t="s">
        <v>1363</v>
      </c>
    </row>
    <row r="1451" spans="1:2" x14ac:dyDescent="0.25">
      <c r="A1451">
        <v>54</v>
      </c>
      <c r="B1451" t="s">
        <v>1363</v>
      </c>
    </row>
    <row r="1452" spans="1:2" x14ac:dyDescent="0.25">
      <c r="A1452">
        <v>54</v>
      </c>
      <c r="B1452" t="s">
        <v>1363</v>
      </c>
    </row>
    <row r="1453" spans="1:2" x14ac:dyDescent="0.25">
      <c r="A1453">
        <v>54</v>
      </c>
      <c r="B1453" t="s">
        <v>1363</v>
      </c>
    </row>
    <row r="1454" spans="1:2" x14ac:dyDescent="0.25">
      <c r="A1454">
        <v>72</v>
      </c>
      <c r="B1454" t="s">
        <v>1380</v>
      </c>
    </row>
    <row r="1455" spans="1:2" x14ac:dyDescent="0.25">
      <c r="A1455">
        <v>75</v>
      </c>
      <c r="B1455" t="s">
        <v>1393</v>
      </c>
    </row>
    <row r="1456" spans="1:2" x14ac:dyDescent="0.25">
      <c r="A1456">
        <v>75</v>
      </c>
      <c r="B1456" t="s">
        <v>1393</v>
      </c>
    </row>
    <row r="1457" spans="1:2" x14ac:dyDescent="0.25">
      <c r="A1457">
        <v>70</v>
      </c>
      <c r="B1457" t="s">
        <v>1378</v>
      </c>
    </row>
    <row r="1458" spans="1:2" x14ac:dyDescent="0.25">
      <c r="A1458">
        <v>52</v>
      </c>
      <c r="B1458" t="s">
        <v>1362</v>
      </c>
    </row>
    <row r="1459" spans="1:2" x14ac:dyDescent="0.25">
      <c r="A1459">
        <v>72</v>
      </c>
      <c r="B1459" t="s">
        <v>1380</v>
      </c>
    </row>
    <row r="1460" spans="1:2" x14ac:dyDescent="0.25">
      <c r="A1460">
        <v>72</v>
      </c>
      <c r="B1460" t="s">
        <v>1380</v>
      </c>
    </row>
    <row r="1461" spans="1:2" x14ac:dyDescent="0.25">
      <c r="A1461">
        <v>70</v>
      </c>
      <c r="B1461" t="s">
        <v>1378</v>
      </c>
    </row>
    <row r="1462" spans="1:2" x14ac:dyDescent="0.25">
      <c r="A1462">
        <v>72</v>
      </c>
      <c r="B1462" t="s">
        <v>1380</v>
      </c>
    </row>
    <row r="1463" spans="1:2" x14ac:dyDescent="0.25">
      <c r="A1463">
        <v>72</v>
      </c>
      <c r="B1463" t="s">
        <v>1380</v>
      </c>
    </row>
    <row r="1464" spans="1:2" x14ac:dyDescent="0.25">
      <c r="A1464">
        <v>63</v>
      </c>
      <c r="B1464" t="s">
        <v>1372</v>
      </c>
    </row>
    <row r="1465" spans="1:2" x14ac:dyDescent="0.25">
      <c r="A1465">
        <v>52</v>
      </c>
      <c r="B1465" t="s">
        <v>1362</v>
      </c>
    </row>
    <row r="1466" spans="1:2" x14ac:dyDescent="0.25">
      <c r="A1466">
        <v>52</v>
      </c>
      <c r="B1466" t="s">
        <v>1362</v>
      </c>
    </row>
    <row r="1467" spans="1:2" x14ac:dyDescent="0.25">
      <c r="A1467">
        <v>52</v>
      </c>
      <c r="B1467" t="s">
        <v>1362</v>
      </c>
    </row>
    <row r="1468" spans="1:2" x14ac:dyDescent="0.25">
      <c r="A1468">
        <v>72</v>
      </c>
      <c r="B1468" t="s">
        <v>1380</v>
      </c>
    </row>
    <row r="1469" spans="1:2" x14ac:dyDescent="0.25">
      <c r="A1469">
        <v>72</v>
      </c>
      <c r="B1469" t="s">
        <v>1380</v>
      </c>
    </row>
    <row r="1470" spans="1:2" x14ac:dyDescent="0.25">
      <c r="A1470">
        <v>72</v>
      </c>
      <c r="B1470" t="s">
        <v>1380</v>
      </c>
    </row>
    <row r="1471" spans="1:2" x14ac:dyDescent="0.25">
      <c r="A1471">
        <v>72</v>
      </c>
      <c r="B1471" t="s">
        <v>1380</v>
      </c>
    </row>
    <row r="1472" spans="1:2" x14ac:dyDescent="0.25">
      <c r="A1472">
        <v>57</v>
      </c>
      <c r="B1472" t="s">
        <v>1366</v>
      </c>
    </row>
    <row r="1473" spans="1:2" x14ac:dyDescent="0.25">
      <c r="A1473">
        <v>45</v>
      </c>
      <c r="B1473" t="s">
        <v>1355</v>
      </c>
    </row>
    <row r="1474" spans="1:2" x14ac:dyDescent="0.25">
      <c r="A1474">
        <v>45</v>
      </c>
      <c r="B1474" t="s">
        <v>1355</v>
      </c>
    </row>
    <row r="1475" spans="1:2" x14ac:dyDescent="0.25">
      <c r="A1475">
        <v>57</v>
      </c>
      <c r="B1475" t="s">
        <v>1366</v>
      </c>
    </row>
    <row r="1476" spans="1:2" x14ac:dyDescent="0.25">
      <c r="A1476">
        <v>57</v>
      </c>
      <c r="B1476" t="s">
        <v>1366</v>
      </c>
    </row>
    <row r="1477" spans="1:2" x14ac:dyDescent="0.25">
      <c r="A1477">
        <v>57</v>
      </c>
      <c r="B1477" t="s">
        <v>1366</v>
      </c>
    </row>
    <row r="1478" spans="1:2" x14ac:dyDescent="0.25">
      <c r="A1478">
        <v>57</v>
      </c>
      <c r="B1478" t="s">
        <v>1366</v>
      </c>
    </row>
    <row r="1479" spans="1:2" x14ac:dyDescent="0.25">
      <c r="A1479">
        <v>57</v>
      </c>
      <c r="B1479" t="s">
        <v>1366</v>
      </c>
    </row>
    <row r="1480" spans="1:2" x14ac:dyDescent="0.25">
      <c r="A1480">
        <v>57</v>
      </c>
      <c r="B1480" t="s">
        <v>1366</v>
      </c>
    </row>
    <row r="1481" spans="1:2" x14ac:dyDescent="0.25">
      <c r="A1481">
        <v>57</v>
      </c>
      <c r="B1481" t="s">
        <v>1366</v>
      </c>
    </row>
    <row r="1482" spans="1:2" x14ac:dyDescent="0.25">
      <c r="A1482">
        <v>57</v>
      </c>
      <c r="B1482" t="s">
        <v>1366</v>
      </c>
    </row>
    <row r="1483" spans="1:2" x14ac:dyDescent="0.25">
      <c r="A1483">
        <v>57</v>
      </c>
      <c r="B1483" t="s">
        <v>1366</v>
      </c>
    </row>
    <row r="1484" spans="1:2" x14ac:dyDescent="0.25">
      <c r="A1484">
        <v>57</v>
      </c>
      <c r="B1484" t="s">
        <v>1366</v>
      </c>
    </row>
    <row r="1485" spans="1:2" x14ac:dyDescent="0.25">
      <c r="A1485">
        <v>57</v>
      </c>
      <c r="B1485" t="s">
        <v>1366</v>
      </c>
    </row>
    <row r="1486" spans="1:2" x14ac:dyDescent="0.25">
      <c r="A1486">
        <v>57</v>
      </c>
      <c r="B1486" t="s">
        <v>1366</v>
      </c>
    </row>
    <row r="1487" spans="1:2" x14ac:dyDescent="0.25">
      <c r="A1487">
        <v>57</v>
      </c>
      <c r="B1487" t="s">
        <v>1366</v>
      </c>
    </row>
    <row r="1488" spans="1:2" x14ac:dyDescent="0.25">
      <c r="A1488">
        <v>57</v>
      </c>
      <c r="B1488" t="s">
        <v>1366</v>
      </c>
    </row>
    <row r="1489" spans="1:2" x14ac:dyDescent="0.25">
      <c r="A1489">
        <v>57</v>
      </c>
      <c r="B1489" t="s">
        <v>1366</v>
      </c>
    </row>
    <row r="1490" spans="1:2" x14ac:dyDescent="0.25">
      <c r="A1490">
        <v>57</v>
      </c>
      <c r="B1490" t="s">
        <v>1366</v>
      </c>
    </row>
    <row r="1491" spans="1:2" x14ac:dyDescent="0.25">
      <c r="A1491">
        <v>57</v>
      </c>
      <c r="B1491" t="s">
        <v>1366</v>
      </c>
    </row>
    <row r="1492" spans="1:2" x14ac:dyDescent="0.25">
      <c r="A1492">
        <v>57</v>
      </c>
      <c r="B1492" t="s">
        <v>1366</v>
      </c>
    </row>
    <row r="1493" spans="1:2" x14ac:dyDescent="0.25">
      <c r="A1493">
        <v>57</v>
      </c>
      <c r="B1493" t="s">
        <v>1366</v>
      </c>
    </row>
    <row r="1494" spans="1:2" x14ac:dyDescent="0.25">
      <c r="A1494">
        <v>57</v>
      </c>
      <c r="B1494" t="s">
        <v>1366</v>
      </c>
    </row>
    <row r="1495" spans="1:2" x14ac:dyDescent="0.25">
      <c r="A1495">
        <v>57</v>
      </c>
      <c r="B1495" t="s">
        <v>1366</v>
      </c>
    </row>
    <row r="1496" spans="1:2" x14ac:dyDescent="0.25">
      <c r="A1496">
        <v>57</v>
      </c>
      <c r="B1496" t="s">
        <v>1366</v>
      </c>
    </row>
    <row r="1497" spans="1:2" x14ac:dyDescent="0.25">
      <c r="A1497">
        <v>57</v>
      </c>
      <c r="B1497" t="s">
        <v>1366</v>
      </c>
    </row>
    <row r="1498" spans="1:2" x14ac:dyDescent="0.25">
      <c r="A1498">
        <v>57</v>
      </c>
      <c r="B1498" t="s">
        <v>1366</v>
      </c>
    </row>
    <row r="1499" spans="1:2" x14ac:dyDescent="0.25">
      <c r="A1499">
        <v>57</v>
      </c>
      <c r="B1499" t="s">
        <v>1366</v>
      </c>
    </row>
    <row r="1500" spans="1:2" x14ac:dyDescent="0.25">
      <c r="A1500">
        <v>57</v>
      </c>
      <c r="B1500" t="s">
        <v>1366</v>
      </c>
    </row>
    <row r="1501" spans="1:2" x14ac:dyDescent="0.25">
      <c r="A1501">
        <v>57</v>
      </c>
      <c r="B1501" t="s">
        <v>1366</v>
      </c>
    </row>
    <row r="1502" spans="1:2" x14ac:dyDescent="0.25">
      <c r="A1502">
        <v>57</v>
      </c>
      <c r="B1502" t="s">
        <v>1366</v>
      </c>
    </row>
    <row r="1503" spans="1:2" x14ac:dyDescent="0.25">
      <c r="A1503">
        <v>57</v>
      </c>
      <c r="B1503" t="s">
        <v>1366</v>
      </c>
    </row>
    <row r="1504" spans="1:2" x14ac:dyDescent="0.25">
      <c r="A1504">
        <v>57</v>
      </c>
      <c r="B1504" t="s">
        <v>1366</v>
      </c>
    </row>
    <row r="1505" spans="1:2" x14ac:dyDescent="0.25">
      <c r="A1505">
        <v>57</v>
      </c>
      <c r="B1505" t="s">
        <v>1366</v>
      </c>
    </row>
    <row r="1506" spans="1:2" x14ac:dyDescent="0.25">
      <c r="A1506">
        <v>57</v>
      </c>
      <c r="B1506" t="s">
        <v>1366</v>
      </c>
    </row>
    <row r="1507" spans="1:2" x14ac:dyDescent="0.25">
      <c r="A1507">
        <v>57</v>
      </c>
      <c r="B1507" t="s">
        <v>1366</v>
      </c>
    </row>
    <row r="1508" spans="1:2" x14ac:dyDescent="0.25">
      <c r="A1508">
        <v>57</v>
      </c>
      <c r="B1508" t="s">
        <v>1366</v>
      </c>
    </row>
    <row r="1509" spans="1:2" x14ac:dyDescent="0.25">
      <c r="A1509">
        <v>57</v>
      </c>
      <c r="B1509" t="s">
        <v>1366</v>
      </c>
    </row>
    <row r="1510" spans="1:2" x14ac:dyDescent="0.25">
      <c r="A1510">
        <v>57</v>
      </c>
      <c r="B1510" t="s">
        <v>1366</v>
      </c>
    </row>
    <row r="1511" spans="1:2" x14ac:dyDescent="0.25">
      <c r="A1511">
        <v>57</v>
      </c>
      <c r="B1511" t="s">
        <v>1366</v>
      </c>
    </row>
    <row r="1512" spans="1:2" x14ac:dyDescent="0.25">
      <c r="A1512">
        <v>57</v>
      </c>
      <c r="B1512" t="s">
        <v>1366</v>
      </c>
    </row>
    <row r="1513" spans="1:2" x14ac:dyDescent="0.25">
      <c r="A1513">
        <v>57</v>
      </c>
      <c r="B1513" t="s">
        <v>1366</v>
      </c>
    </row>
    <row r="1514" spans="1:2" x14ac:dyDescent="0.25">
      <c r="A1514">
        <v>57</v>
      </c>
      <c r="B1514" t="s">
        <v>1366</v>
      </c>
    </row>
    <row r="1515" spans="1:2" x14ac:dyDescent="0.25">
      <c r="A1515">
        <v>57</v>
      </c>
      <c r="B1515" t="s">
        <v>1366</v>
      </c>
    </row>
    <row r="1516" spans="1:2" x14ac:dyDescent="0.25">
      <c r="A1516">
        <v>57</v>
      </c>
      <c r="B1516" t="s">
        <v>1366</v>
      </c>
    </row>
    <row r="1517" spans="1:2" x14ac:dyDescent="0.25">
      <c r="A1517">
        <v>57</v>
      </c>
      <c r="B1517" t="s">
        <v>1366</v>
      </c>
    </row>
    <row r="1518" spans="1:2" x14ac:dyDescent="0.25">
      <c r="A1518">
        <v>57</v>
      </c>
      <c r="B1518" t="s">
        <v>1366</v>
      </c>
    </row>
    <row r="1519" spans="1:2" x14ac:dyDescent="0.25">
      <c r="A1519">
        <v>57</v>
      </c>
      <c r="B1519" t="s">
        <v>1366</v>
      </c>
    </row>
    <row r="1520" spans="1:2" x14ac:dyDescent="0.25">
      <c r="A1520">
        <v>57</v>
      </c>
      <c r="B1520" t="s">
        <v>1366</v>
      </c>
    </row>
    <row r="1521" spans="1:2" x14ac:dyDescent="0.25">
      <c r="A1521">
        <v>57</v>
      </c>
      <c r="B1521" t="s">
        <v>1366</v>
      </c>
    </row>
    <row r="1522" spans="1:2" x14ac:dyDescent="0.25">
      <c r="A1522">
        <v>57</v>
      </c>
      <c r="B1522" t="s">
        <v>1366</v>
      </c>
    </row>
    <row r="1523" spans="1:2" x14ac:dyDescent="0.25">
      <c r="A1523">
        <v>57</v>
      </c>
      <c r="B1523" t="s">
        <v>1366</v>
      </c>
    </row>
    <row r="1524" spans="1:2" x14ac:dyDescent="0.25">
      <c r="A1524">
        <v>57</v>
      </c>
      <c r="B1524" t="s">
        <v>1366</v>
      </c>
    </row>
    <row r="1525" spans="1:2" x14ac:dyDescent="0.25">
      <c r="A1525">
        <v>57</v>
      </c>
      <c r="B1525" t="s">
        <v>1366</v>
      </c>
    </row>
    <row r="1526" spans="1:2" x14ac:dyDescent="0.25">
      <c r="A1526">
        <v>57</v>
      </c>
      <c r="B1526" t="s">
        <v>1366</v>
      </c>
    </row>
    <row r="1527" spans="1:2" x14ac:dyDescent="0.25">
      <c r="A1527">
        <v>57</v>
      </c>
      <c r="B1527" t="s">
        <v>1366</v>
      </c>
    </row>
    <row r="1528" spans="1:2" x14ac:dyDescent="0.25">
      <c r="A1528">
        <v>57</v>
      </c>
      <c r="B1528" t="s">
        <v>1366</v>
      </c>
    </row>
    <row r="1529" spans="1:2" x14ac:dyDescent="0.25">
      <c r="A1529">
        <v>57</v>
      </c>
      <c r="B1529" t="s">
        <v>1366</v>
      </c>
    </row>
    <row r="1530" spans="1:2" x14ac:dyDescent="0.25">
      <c r="A1530">
        <v>57</v>
      </c>
      <c r="B1530" t="s">
        <v>1366</v>
      </c>
    </row>
    <row r="1531" spans="1:2" x14ac:dyDescent="0.25">
      <c r="A1531">
        <v>57</v>
      </c>
      <c r="B1531" t="s">
        <v>1366</v>
      </c>
    </row>
    <row r="1532" spans="1:2" x14ac:dyDescent="0.25">
      <c r="A1532">
        <v>57</v>
      </c>
      <c r="B1532" t="s">
        <v>1366</v>
      </c>
    </row>
    <row r="1533" spans="1:2" x14ac:dyDescent="0.25">
      <c r="A1533">
        <v>52</v>
      </c>
      <c r="B1533" t="s">
        <v>1362</v>
      </c>
    </row>
    <row r="1534" spans="1:2" x14ac:dyDescent="0.25">
      <c r="A1534">
        <v>57</v>
      </c>
      <c r="B1534" t="s">
        <v>1366</v>
      </c>
    </row>
    <row r="1535" spans="1:2" x14ac:dyDescent="0.25">
      <c r="A1535">
        <v>57</v>
      </c>
      <c r="B1535" t="s">
        <v>1366</v>
      </c>
    </row>
    <row r="1536" spans="1:2" x14ac:dyDescent="0.25">
      <c r="A1536">
        <v>57</v>
      </c>
      <c r="B1536" t="s">
        <v>1366</v>
      </c>
    </row>
    <row r="1537" spans="1:2" x14ac:dyDescent="0.25">
      <c r="A1537">
        <v>57</v>
      </c>
      <c r="B1537" t="s">
        <v>1366</v>
      </c>
    </row>
    <row r="1538" spans="1:2" x14ac:dyDescent="0.25">
      <c r="A1538">
        <v>57</v>
      </c>
      <c r="B1538" t="s">
        <v>1366</v>
      </c>
    </row>
    <row r="1539" spans="1:2" x14ac:dyDescent="0.25">
      <c r="A1539">
        <v>57</v>
      </c>
      <c r="B1539" t="s">
        <v>1366</v>
      </c>
    </row>
    <row r="1540" spans="1:2" x14ac:dyDescent="0.25">
      <c r="A1540">
        <v>57</v>
      </c>
      <c r="B1540" t="s">
        <v>1366</v>
      </c>
    </row>
    <row r="1541" spans="1:2" x14ac:dyDescent="0.25">
      <c r="A1541">
        <v>57</v>
      </c>
      <c r="B1541" t="s">
        <v>1366</v>
      </c>
    </row>
    <row r="1542" spans="1:2" x14ac:dyDescent="0.25">
      <c r="A1542">
        <v>57</v>
      </c>
      <c r="B1542" t="s">
        <v>1366</v>
      </c>
    </row>
    <row r="1543" spans="1:2" x14ac:dyDescent="0.25">
      <c r="A1543">
        <v>57</v>
      </c>
      <c r="B1543" t="s">
        <v>1366</v>
      </c>
    </row>
    <row r="1544" spans="1:2" x14ac:dyDescent="0.25">
      <c r="A1544">
        <v>57</v>
      </c>
      <c r="B1544" t="s">
        <v>1366</v>
      </c>
    </row>
    <row r="1545" spans="1:2" x14ac:dyDescent="0.25">
      <c r="A1545">
        <v>57</v>
      </c>
      <c r="B1545" t="s">
        <v>1366</v>
      </c>
    </row>
    <row r="1546" spans="1:2" x14ac:dyDescent="0.25">
      <c r="A1546">
        <v>57</v>
      </c>
      <c r="B1546" t="s">
        <v>1366</v>
      </c>
    </row>
    <row r="1547" spans="1:2" x14ac:dyDescent="0.25">
      <c r="A1547">
        <v>57</v>
      </c>
      <c r="B1547" t="s">
        <v>1366</v>
      </c>
    </row>
    <row r="1548" spans="1:2" x14ac:dyDescent="0.25">
      <c r="A1548">
        <v>57</v>
      </c>
      <c r="B1548" t="s">
        <v>1366</v>
      </c>
    </row>
    <row r="1549" spans="1:2" x14ac:dyDescent="0.25">
      <c r="A1549">
        <v>57</v>
      </c>
      <c r="B1549" t="s">
        <v>1366</v>
      </c>
    </row>
    <row r="1550" spans="1:2" x14ac:dyDescent="0.25">
      <c r="A1550">
        <v>57</v>
      </c>
      <c r="B1550" t="s">
        <v>1366</v>
      </c>
    </row>
    <row r="1551" spans="1:2" x14ac:dyDescent="0.25">
      <c r="A1551">
        <v>57</v>
      </c>
      <c r="B1551" t="s">
        <v>1366</v>
      </c>
    </row>
    <row r="1552" spans="1:2" x14ac:dyDescent="0.25">
      <c r="A1552">
        <v>57</v>
      </c>
      <c r="B1552" t="s">
        <v>1366</v>
      </c>
    </row>
    <row r="1553" spans="1:2" x14ac:dyDescent="0.25">
      <c r="A1553">
        <v>57</v>
      </c>
      <c r="B1553" t="s">
        <v>1366</v>
      </c>
    </row>
    <row r="1554" spans="1:2" x14ac:dyDescent="0.25">
      <c r="A1554">
        <v>57</v>
      </c>
      <c r="B1554" t="s">
        <v>1366</v>
      </c>
    </row>
    <row r="1555" spans="1:2" x14ac:dyDescent="0.25">
      <c r="A1555">
        <v>57</v>
      </c>
      <c r="B1555" t="s">
        <v>1366</v>
      </c>
    </row>
    <row r="1556" spans="1:2" x14ac:dyDescent="0.25">
      <c r="A1556">
        <v>57</v>
      </c>
      <c r="B1556" t="s">
        <v>1366</v>
      </c>
    </row>
    <row r="1557" spans="1:2" x14ac:dyDescent="0.25">
      <c r="A1557">
        <v>57</v>
      </c>
      <c r="B1557" t="s">
        <v>1366</v>
      </c>
    </row>
    <row r="1558" spans="1:2" x14ac:dyDescent="0.25">
      <c r="A1558">
        <v>57</v>
      </c>
      <c r="B1558" t="s">
        <v>1366</v>
      </c>
    </row>
    <row r="1559" spans="1:2" x14ac:dyDescent="0.25">
      <c r="A1559">
        <v>62</v>
      </c>
      <c r="B1559" t="s">
        <v>1371</v>
      </c>
    </row>
    <row r="1560" spans="1:2" x14ac:dyDescent="0.25">
      <c r="A1560">
        <v>62</v>
      </c>
      <c r="B1560" t="s">
        <v>1371</v>
      </c>
    </row>
    <row r="1561" spans="1:2" x14ac:dyDescent="0.25">
      <c r="A1561">
        <v>62</v>
      </c>
      <c r="B1561" t="s">
        <v>1371</v>
      </c>
    </row>
    <row r="1562" spans="1:2" x14ac:dyDescent="0.25">
      <c r="A1562">
        <v>62</v>
      </c>
      <c r="B1562" t="s">
        <v>1371</v>
      </c>
    </row>
    <row r="1563" spans="1:2" x14ac:dyDescent="0.25">
      <c r="A1563">
        <v>62</v>
      </c>
      <c r="B1563" t="s">
        <v>1371</v>
      </c>
    </row>
    <row r="1564" spans="1:2" x14ac:dyDescent="0.25">
      <c r="A1564">
        <v>62</v>
      </c>
      <c r="B1564" t="s">
        <v>1371</v>
      </c>
    </row>
    <row r="1565" spans="1:2" x14ac:dyDescent="0.25">
      <c r="A1565">
        <v>57</v>
      </c>
      <c r="B1565" t="s">
        <v>1366</v>
      </c>
    </row>
    <row r="1566" spans="1:2" x14ac:dyDescent="0.25">
      <c r="A1566">
        <v>57</v>
      </c>
      <c r="B1566" t="s">
        <v>1366</v>
      </c>
    </row>
    <row r="1567" spans="1:2" x14ac:dyDescent="0.25">
      <c r="A1567">
        <v>57</v>
      </c>
      <c r="B1567" t="s">
        <v>1366</v>
      </c>
    </row>
    <row r="1568" spans="1:2" x14ac:dyDescent="0.25">
      <c r="A1568">
        <v>57</v>
      </c>
      <c r="B1568" t="s">
        <v>1366</v>
      </c>
    </row>
    <row r="1569" spans="1:2" x14ac:dyDescent="0.25">
      <c r="A1569">
        <v>57</v>
      </c>
      <c r="B1569" t="s">
        <v>1366</v>
      </c>
    </row>
    <row r="1570" spans="1:2" x14ac:dyDescent="0.25">
      <c r="A1570">
        <v>57</v>
      </c>
      <c r="B1570" t="s">
        <v>1366</v>
      </c>
    </row>
    <row r="1571" spans="1:2" x14ac:dyDescent="0.25">
      <c r="A1571">
        <v>57</v>
      </c>
      <c r="B1571" t="s">
        <v>1366</v>
      </c>
    </row>
    <row r="1572" spans="1:2" x14ac:dyDescent="0.25">
      <c r="A1572">
        <v>57</v>
      </c>
      <c r="B1572" t="s">
        <v>1366</v>
      </c>
    </row>
    <row r="1573" spans="1:2" x14ac:dyDescent="0.25">
      <c r="A1573">
        <v>57</v>
      </c>
      <c r="B1573" t="s">
        <v>1366</v>
      </c>
    </row>
    <row r="1574" spans="1:2" x14ac:dyDescent="0.25">
      <c r="A1574">
        <v>57</v>
      </c>
      <c r="B1574" t="s">
        <v>1366</v>
      </c>
    </row>
    <row r="1575" spans="1:2" x14ac:dyDescent="0.25">
      <c r="A1575">
        <v>57</v>
      </c>
      <c r="B1575" t="s">
        <v>1366</v>
      </c>
    </row>
    <row r="1576" spans="1:2" x14ac:dyDescent="0.25">
      <c r="A1576">
        <v>57</v>
      </c>
      <c r="B1576" t="s">
        <v>1366</v>
      </c>
    </row>
    <row r="1577" spans="1:2" x14ac:dyDescent="0.25">
      <c r="A1577">
        <v>57</v>
      </c>
      <c r="B1577" t="s">
        <v>1366</v>
      </c>
    </row>
    <row r="1578" spans="1:2" x14ac:dyDescent="0.25">
      <c r="A1578">
        <v>57</v>
      </c>
      <c r="B1578" t="s">
        <v>1366</v>
      </c>
    </row>
    <row r="1579" spans="1:2" x14ac:dyDescent="0.25">
      <c r="A1579">
        <v>57</v>
      </c>
      <c r="B1579" t="s">
        <v>1366</v>
      </c>
    </row>
    <row r="1580" spans="1:2" x14ac:dyDescent="0.25">
      <c r="A1580">
        <v>57</v>
      </c>
      <c r="B1580" t="s">
        <v>1366</v>
      </c>
    </row>
    <row r="1581" spans="1:2" x14ac:dyDescent="0.25">
      <c r="A1581">
        <v>57</v>
      </c>
      <c r="B1581" t="s">
        <v>1366</v>
      </c>
    </row>
    <row r="1582" spans="1:2" x14ac:dyDescent="0.25">
      <c r="A1582">
        <v>57</v>
      </c>
      <c r="B1582" t="s">
        <v>1366</v>
      </c>
    </row>
    <row r="1583" spans="1:2" x14ac:dyDescent="0.25">
      <c r="A1583">
        <v>57</v>
      </c>
      <c r="B1583" t="s">
        <v>1366</v>
      </c>
    </row>
    <row r="1584" spans="1:2" x14ac:dyDescent="0.25">
      <c r="A1584">
        <v>57</v>
      </c>
      <c r="B1584" t="s">
        <v>1366</v>
      </c>
    </row>
    <row r="1585" spans="1:2" x14ac:dyDescent="0.25">
      <c r="A1585">
        <v>57</v>
      </c>
      <c r="B1585" t="s">
        <v>1366</v>
      </c>
    </row>
    <row r="1586" spans="1:2" x14ac:dyDescent="0.25">
      <c r="A1586">
        <v>57</v>
      </c>
      <c r="B1586" t="s">
        <v>1366</v>
      </c>
    </row>
    <row r="1587" spans="1:2" x14ac:dyDescent="0.25">
      <c r="A1587">
        <v>57</v>
      </c>
      <c r="B1587" t="s">
        <v>1366</v>
      </c>
    </row>
    <row r="1588" spans="1:2" x14ac:dyDescent="0.25">
      <c r="A1588">
        <v>57</v>
      </c>
      <c r="B1588" t="s">
        <v>1366</v>
      </c>
    </row>
    <row r="1589" spans="1:2" x14ac:dyDescent="0.25">
      <c r="A1589">
        <v>57</v>
      </c>
      <c r="B1589" t="s">
        <v>1366</v>
      </c>
    </row>
    <row r="1590" spans="1:2" x14ac:dyDescent="0.25">
      <c r="A1590">
        <v>62</v>
      </c>
      <c r="B1590" t="s">
        <v>1371</v>
      </c>
    </row>
    <row r="1591" spans="1:2" x14ac:dyDescent="0.25">
      <c r="A1591">
        <v>62</v>
      </c>
      <c r="B1591" t="s">
        <v>1371</v>
      </c>
    </row>
    <row r="1592" spans="1:2" x14ac:dyDescent="0.25">
      <c r="A1592">
        <v>67</v>
      </c>
      <c r="B1592" t="s">
        <v>1376</v>
      </c>
    </row>
    <row r="1593" spans="1:2" x14ac:dyDescent="0.25">
      <c r="A1593">
        <v>67</v>
      </c>
      <c r="B1593" t="s">
        <v>1376</v>
      </c>
    </row>
    <row r="1594" spans="1:2" x14ac:dyDescent="0.25">
      <c r="A1594">
        <v>67</v>
      </c>
      <c r="B1594" t="s">
        <v>1376</v>
      </c>
    </row>
    <row r="1595" spans="1:2" x14ac:dyDescent="0.25">
      <c r="A1595">
        <v>67</v>
      </c>
      <c r="B1595" t="s">
        <v>1376</v>
      </c>
    </row>
    <row r="1596" spans="1:2" x14ac:dyDescent="0.25">
      <c r="A1596">
        <v>67</v>
      </c>
      <c r="B1596" t="s">
        <v>1376</v>
      </c>
    </row>
    <row r="1597" spans="1:2" x14ac:dyDescent="0.25">
      <c r="A1597">
        <v>67</v>
      </c>
      <c r="B1597" t="s">
        <v>1376</v>
      </c>
    </row>
    <row r="1598" spans="1:2" x14ac:dyDescent="0.25">
      <c r="A1598">
        <v>67</v>
      </c>
      <c r="B1598" t="s">
        <v>1376</v>
      </c>
    </row>
    <row r="1599" spans="1:2" x14ac:dyDescent="0.25">
      <c r="A1599">
        <v>67</v>
      </c>
      <c r="B1599" t="s">
        <v>1376</v>
      </c>
    </row>
    <row r="1600" spans="1:2" x14ac:dyDescent="0.25">
      <c r="A1600">
        <v>67</v>
      </c>
      <c r="B1600" t="s">
        <v>1376</v>
      </c>
    </row>
    <row r="1601" spans="1:2" x14ac:dyDescent="0.25">
      <c r="A1601">
        <v>67</v>
      </c>
      <c r="B1601" t="s">
        <v>1376</v>
      </c>
    </row>
    <row r="1602" spans="1:2" x14ac:dyDescent="0.25">
      <c r="A1602">
        <v>67</v>
      </c>
      <c r="B1602" t="s">
        <v>1376</v>
      </c>
    </row>
    <row r="1603" spans="1:2" x14ac:dyDescent="0.25">
      <c r="A1603">
        <v>67</v>
      </c>
      <c r="B1603" t="s">
        <v>1376</v>
      </c>
    </row>
    <row r="1604" spans="1:2" x14ac:dyDescent="0.25">
      <c r="A1604">
        <v>67</v>
      </c>
      <c r="B1604" t="s">
        <v>1376</v>
      </c>
    </row>
    <row r="1605" spans="1:2" x14ac:dyDescent="0.25">
      <c r="A1605">
        <v>67</v>
      </c>
      <c r="B1605" t="s">
        <v>1376</v>
      </c>
    </row>
    <row r="1606" spans="1:2" x14ac:dyDescent="0.25">
      <c r="A1606">
        <v>67</v>
      </c>
      <c r="B1606" t="s">
        <v>1376</v>
      </c>
    </row>
    <row r="1607" spans="1:2" x14ac:dyDescent="0.25">
      <c r="A1607">
        <v>67</v>
      </c>
      <c r="B1607" t="s">
        <v>1376</v>
      </c>
    </row>
    <row r="1608" spans="1:2" x14ac:dyDescent="0.25">
      <c r="A1608">
        <v>67</v>
      </c>
      <c r="B1608" t="s">
        <v>1376</v>
      </c>
    </row>
    <row r="1609" spans="1:2" x14ac:dyDescent="0.25">
      <c r="A1609">
        <v>67</v>
      </c>
      <c r="B1609" t="s">
        <v>1376</v>
      </c>
    </row>
    <row r="1610" spans="1:2" x14ac:dyDescent="0.25">
      <c r="A1610">
        <v>67</v>
      </c>
      <c r="B1610" t="s">
        <v>1376</v>
      </c>
    </row>
    <row r="1611" spans="1:2" x14ac:dyDescent="0.25">
      <c r="A1611">
        <v>67</v>
      </c>
      <c r="B1611" t="s">
        <v>1376</v>
      </c>
    </row>
    <row r="1612" spans="1:2" x14ac:dyDescent="0.25">
      <c r="A1612">
        <v>67</v>
      </c>
      <c r="B1612" t="s">
        <v>1376</v>
      </c>
    </row>
    <row r="1613" spans="1:2" x14ac:dyDescent="0.25">
      <c r="A1613">
        <v>67</v>
      </c>
      <c r="B1613" t="s">
        <v>1376</v>
      </c>
    </row>
    <row r="1614" spans="1:2" x14ac:dyDescent="0.25">
      <c r="A1614">
        <v>67</v>
      </c>
      <c r="B1614" t="s">
        <v>1376</v>
      </c>
    </row>
    <row r="1615" spans="1:2" x14ac:dyDescent="0.25">
      <c r="A1615">
        <v>67</v>
      </c>
      <c r="B1615" t="s">
        <v>1376</v>
      </c>
    </row>
    <row r="1616" spans="1:2" x14ac:dyDescent="0.25">
      <c r="A1616">
        <v>67</v>
      </c>
      <c r="B1616" t="s">
        <v>1376</v>
      </c>
    </row>
    <row r="1617" spans="1:2" x14ac:dyDescent="0.25">
      <c r="A1617">
        <v>67</v>
      </c>
      <c r="B1617" t="s">
        <v>1376</v>
      </c>
    </row>
    <row r="1618" spans="1:2" x14ac:dyDescent="0.25">
      <c r="A1618">
        <v>67</v>
      </c>
      <c r="B1618" t="s">
        <v>1376</v>
      </c>
    </row>
    <row r="1619" spans="1:2" x14ac:dyDescent="0.25">
      <c r="A1619">
        <v>67</v>
      </c>
      <c r="B1619" t="s">
        <v>1376</v>
      </c>
    </row>
    <row r="1620" spans="1:2" x14ac:dyDescent="0.25">
      <c r="A1620">
        <v>67</v>
      </c>
      <c r="B1620" t="s">
        <v>1376</v>
      </c>
    </row>
    <row r="1621" spans="1:2" x14ac:dyDescent="0.25">
      <c r="A1621">
        <v>67</v>
      </c>
      <c r="B1621" t="s">
        <v>1376</v>
      </c>
    </row>
    <row r="1622" spans="1:2" x14ac:dyDescent="0.25">
      <c r="A1622">
        <v>67</v>
      </c>
      <c r="B1622" t="s">
        <v>1376</v>
      </c>
    </row>
    <row r="1623" spans="1:2" x14ac:dyDescent="0.25">
      <c r="A1623">
        <v>67</v>
      </c>
      <c r="B1623" t="s">
        <v>1376</v>
      </c>
    </row>
    <row r="1624" spans="1:2" x14ac:dyDescent="0.25">
      <c r="A1624">
        <v>67</v>
      </c>
      <c r="B1624" t="s">
        <v>1376</v>
      </c>
    </row>
    <row r="1625" spans="1:2" x14ac:dyDescent="0.25">
      <c r="A1625">
        <v>67</v>
      </c>
      <c r="B1625" t="s">
        <v>1376</v>
      </c>
    </row>
    <row r="1626" spans="1:2" x14ac:dyDescent="0.25">
      <c r="A1626">
        <v>67</v>
      </c>
      <c r="B1626" t="s">
        <v>1376</v>
      </c>
    </row>
    <row r="1627" spans="1:2" x14ac:dyDescent="0.25">
      <c r="A1627">
        <v>67</v>
      </c>
      <c r="B1627" t="s">
        <v>1376</v>
      </c>
    </row>
    <row r="1628" spans="1:2" x14ac:dyDescent="0.25">
      <c r="A1628">
        <v>67</v>
      </c>
      <c r="B1628" t="s">
        <v>1376</v>
      </c>
    </row>
    <row r="1629" spans="1:2" x14ac:dyDescent="0.25">
      <c r="A1629">
        <v>67</v>
      </c>
      <c r="B1629" t="s">
        <v>1376</v>
      </c>
    </row>
    <row r="1630" spans="1:2" x14ac:dyDescent="0.25">
      <c r="A1630">
        <v>67</v>
      </c>
      <c r="B1630" t="s">
        <v>1376</v>
      </c>
    </row>
    <row r="1631" spans="1:2" x14ac:dyDescent="0.25">
      <c r="A1631">
        <v>67</v>
      </c>
      <c r="B1631" t="s">
        <v>1376</v>
      </c>
    </row>
    <row r="1632" spans="1:2" x14ac:dyDescent="0.25">
      <c r="A1632">
        <v>67</v>
      </c>
      <c r="B1632" t="s">
        <v>1376</v>
      </c>
    </row>
    <row r="1633" spans="1:2" x14ac:dyDescent="0.25">
      <c r="A1633">
        <v>67</v>
      </c>
      <c r="B1633" t="s">
        <v>1376</v>
      </c>
    </row>
    <row r="1634" spans="1:2" x14ac:dyDescent="0.25">
      <c r="A1634">
        <v>67</v>
      </c>
      <c r="B1634" t="s">
        <v>1376</v>
      </c>
    </row>
    <row r="1635" spans="1:2" x14ac:dyDescent="0.25">
      <c r="A1635">
        <v>67</v>
      </c>
      <c r="B1635" t="s">
        <v>1376</v>
      </c>
    </row>
    <row r="1636" spans="1:2" x14ac:dyDescent="0.25">
      <c r="A1636">
        <v>67</v>
      </c>
      <c r="B1636" t="s">
        <v>1376</v>
      </c>
    </row>
    <row r="1637" spans="1:2" x14ac:dyDescent="0.25">
      <c r="A1637">
        <v>67</v>
      </c>
      <c r="B1637" t="s">
        <v>1376</v>
      </c>
    </row>
    <row r="1638" spans="1:2" x14ac:dyDescent="0.25">
      <c r="A1638">
        <v>67</v>
      </c>
      <c r="B1638" t="s">
        <v>1376</v>
      </c>
    </row>
    <row r="1639" spans="1:2" x14ac:dyDescent="0.25">
      <c r="A1639">
        <v>67</v>
      </c>
      <c r="B1639" t="s">
        <v>1376</v>
      </c>
    </row>
    <row r="1640" spans="1:2" x14ac:dyDescent="0.25">
      <c r="A1640">
        <v>67</v>
      </c>
      <c r="B1640" t="s">
        <v>1376</v>
      </c>
    </row>
    <row r="1641" spans="1:2" x14ac:dyDescent="0.25">
      <c r="A1641">
        <v>67</v>
      </c>
      <c r="B1641" t="s">
        <v>1376</v>
      </c>
    </row>
    <row r="1642" spans="1:2" x14ac:dyDescent="0.25">
      <c r="A1642">
        <v>67</v>
      </c>
      <c r="B1642" t="s">
        <v>1376</v>
      </c>
    </row>
    <row r="1643" spans="1:2" x14ac:dyDescent="0.25">
      <c r="A1643">
        <v>67</v>
      </c>
      <c r="B1643" t="s">
        <v>1376</v>
      </c>
    </row>
    <row r="1644" spans="1:2" x14ac:dyDescent="0.25">
      <c r="A1644">
        <v>67</v>
      </c>
      <c r="B1644" t="s">
        <v>1376</v>
      </c>
    </row>
    <row r="1645" spans="1:2" x14ac:dyDescent="0.25">
      <c r="A1645">
        <v>67</v>
      </c>
      <c r="B1645" t="s">
        <v>1376</v>
      </c>
    </row>
    <row r="1646" spans="1:2" x14ac:dyDescent="0.25">
      <c r="A1646">
        <v>67</v>
      </c>
      <c r="B1646" t="s">
        <v>1376</v>
      </c>
    </row>
    <row r="1647" spans="1:2" x14ac:dyDescent="0.25">
      <c r="A1647">
        <v>67</v>
      </c>
      <c r="B1647" t="s">
        <v>1376</v>
      </c>
    </row>
    <row r="1648" spans="1:2" x14ac:dyDescent="0.25">
      <c r="A1648">
        <v>67</v>
      </c>
      <c r="B1648" t="s">
        <v>1376</v>
      </c>
    </row>
    <row r="1649" spans="1:2" x14ac:dyDescent="0.25">
      <c r="A1649">
        <v>67</v>
      </c>
      <c r="B1649" t="s">
        <v>1376</v>
      </c>
    </row>
    <row r="1650" spans="1:2" x14ac:dyDescent="0.25">
      <c r="A1650">
        <v>67</v>
      </c>
      <c r="B1650" t="s">
        <v>1376</v>
      </c>
    </row>
    <row r="1651" spans="1:2" x14ac:dyDescent="0.25">
      <c r="A1651">
        <v>67</v>
      </c>
      <c r="B1651" t="s">
        <v>1376</v>
      </c>
    </row>
    <row r="1652" spans="1:2" x14ac:dyDescent="0.25">
      <c r="A1652">
        <v>67</v>
      </c>
      <c r="B1652" t="s">
        <v>1376</v>
      </c>
    </row>
    <row r="1653" spans="1:2" x14ac:dyDescent="0.25">
      <c r="A1653">
        <v>67</v>
      </c>
      <c r="B1653" t="s">
        <v>1376</v>
      </c>
    </row>
    <row r="1654" spans="1:2" x14ac:dyDescent="0.25">
      <c r="A1654">
        <v>67</v>
      </c>
      <c r="B1654" t="s">
        <v>1376</v>
      </c>
    </row>
    <row r="1655" spans="1:2" x14ac:dyDescent="0.25">
      <c r="A1655">
        <v>67</v>
      </c>
      <c r="B1655" t="s">
        <v>1376</v>
      </c>
    </row>
    <row r="1656" spans="1:2" x14ac:dyDescent="0.25">
      <c r="A1656">
        <v>45</v>
      </c>
      <c r="B1656" t="s">
        <v>1355</v>
      </c>
    </row>
    <row r="1657" spans="1:2" x14ac:dyDescent="0.25">
      <c r="A1657">
        <v>45</v>
      </c>
      <c r="B1657" t="s">
        <v>1355</v>
      </c>
    </row>
    <row r="1658" spans="1:2" x14ac:dyDescent="0.25">
      <c r="A1658">
        <v>45</v>
      </c>
      <c r="B1658" t="s">
        <v>1355</v>
      </c>
    </row>
    <row r="1659" spans="1:2" x14ac:dyDescent="0.25">
      <c r="A1659">
        <v>45</v>
      </c>
      <c r="B1659" t="s">
        <v>1355</v>
      </c>
    </row>
    <row r="1660" spans="1:2" x14ac:dyDescent="0.25">
      <c r="A1660">
        <v>45</v>
      </c>
      <c r="B1660" t="s">
        <v>1355</v>
      </c>
    </row>
    <row r="1661" spans="1:2" x14ac:dyDescent="0.25">
      <c r="A1661">
        <v>45</v>
      </c>
      <c r="B1661" t="s">
        <v>1355</v>
      </c>
    </row>
    <row r="1662" spans="1:2" x14ac:dyDescent="0.25">
      <c r="A1662">
        <v>45</v>
      </c>
      <c r="B1662" t="s">
        <v>1355</v>
      </c>
    </row>
    <row r="1663" spans="1:2" x14ac:dyDescent="0.25">
      <c r="A1663">
        <v>45</v>
      </c>
      <c r="B1663" t="s">
        <v>1355</v>
      </c>
    </row>
    <row r="1664" spans="1:2" x14ac:dyDescent="0.25">
      <c r="A1664">
        <v>72</v>
      </c>
      <c r="B1664" t="s">
        <v>1380</v>
      </c>
    </row>
    <row r="1665" spans="1:2" x14ac:dyDescent="0.25">
      <c r="A1665">
        <v>45</v>
      </c>
      <c r="B1665" t="s">
        <v>1355</v>
      </c>
    </row>
    <row r="1666" spans="1:2" x14ac:dyDescent="0.25">
      <c r="A1666">
        <v>72</v>
      </c>
      <c r="B1666" t="s">
        <v>1380</v>
      </c>
    </row>
    <row r="1667" spans="1:2" x14ac:dyDescent="0.25">
      <c r="A1667">
        <v>45</v>
      </c>
      <c r="B1667" t="s">
        <v>1355</v>
      </c>
    </row>
    <row r="1668" spans="1:2" x14ac:dyDescent="0.25">
      <c r="A1668">
        <v>45</v>
      </c>
      <c r="B1668" t="s">
        <v>1355</v>
      </c>
    </row>
    <row r="1669" spans="1:2" x14ac:dyDescent="0.25">
      <c r="A1669">
        <v>45</v>
      </c>
      <c r="B1669" t="s">
        <v>1355</v>
      </c>
    </row>
    <row r="1670" spans="1:2" x14ac:dyDescent="0.25">
      <c r="A1670">
        <v>45</v>
      </c>
      <c r="B1670" t="s">
        <v>1355</v>
      </c>
    </row>
    <row r="1671" spans="1:2" x14ac:dyDescent="0.25">
      <c r="A1671">
        <v>51</v>
      </c>
      <c r="B1671" t="s">
        <v>1360</v>
      </c>
    </row>
    <row r="1672" spans="1:2" x14ac:dyDescent="0.25">
      <c r="A1672">
        <v>51</v>
      </c>
      <c r="B1672" t="s">
        <v>1360</v>
      </c>
    </row>
    <row r="1673" spans="1:2" x14ac:dyDescent="0.25">
      <c r="A1673">
        <v>51</v>
      </c>
      <c r="B1673" t="s">
        <v>1360</v>
      </c>
    </row>
    <row r="1674" spans="1:2" x14ac:dyDescent="0.25">
      <c r="A1674">
        <v>51</v>
      </c>
      <c r="B1674" t="s">
        <v>1360</v>
      </c>
    </row>
    <row r="1675" spans="1:2" x14ac:dyDescent="0.25">
      <c r="A1675">
        <v>51</v>
      </c>
      <c r="B1675" t="s">
        <v>1360</v>
      </c>
    </row>
    <row r="1676" spans="1:2" x14ac:dyDescent="0.25">
      <c r="A1676">
        <v>51</v>
      </c>
      <c r="B1676" t="s">
        <v>1360</v>
      </c>
    </row>
    <row r="1677" spans="1:2" x14ac:dyDescent="0.25">
      <c r="A1677">
        <v>51</v>
      </c>
      <c r="B1677" t="s">
        <v>1360</v>
      </c>
    </row>
    <row r="1678" spans="1:2" x14ac:dyDescent="0.25">
      <c r="A1678">
        <v>51</v>
      </c>
      <c r="B1678" t="s">
        <v>1360</v>
      </c>
    </row>
    <row r="1679" spans="1:2" x14ac:dyDescent="0.25">
      <c r="A1679">
        <v>51</v>
      </c>
      <c r="B1679" t="s">
        <v>1360</v>
      </c>
    </row>
    <row r="1680" spans="1:2" x14ac:dyDescent="0.25">
      <c r="A1680">
        <v>51</v>
      </c>
      <c r="B1680" t="s">
        <v>1360</v>
      </c>
    </row>
    <row r="1681" spans="1:2" x14ac:dyDescent="0.25">
      <c r="A1681">
        <v>51</v>
      </c>
      <c r="B1681" t="s">
        <v>1360</v>
      </c>
    </row>
    <row r="1682" spans="1:2" x14ac:dyDescent="0.25">
      <c r="A1682">
        <v>51</v>
      </c>
      <c r="B1682" t="s">
        <v>1360</v>
      </c>
    </row>
    <row r="1683" spans="1:2" x14ac:dyDescent="0.25">
      <c r="A1683">
        <v>51</v>
      </c>
      <c r="B1683" t="s">
        <v>1360</v>
      </c>
    </row>
    <row r="1684" spans="1:2" x14ac:dyDescent="0.25">
      <c r="A1684">
        <v>51</v>
      </c>
      <c r="B1684" t="s">
        <v>1360</v>
      </c>
    </row>
    <row r="1685" spans="1:2" x14ac:dyDescent="0.25">
      <c r="A1685">
        <v>51</v>
      </c>
      <c r="B1685" t="s">
        <v>1360</v>
      </c>
    </row>
    <row r="1686" spans="1:2" x14ac:dyDescent="0.25">
      <c r="A1686">
        <v>51</v>
      </c>
      <c r="B1686" t="s">
        <v>1360</v>
      </c>
    </row>
    <row r="1687" spans="1:2" x14ac:dyDescent="0.25">
      <c r="A1687">
        <v>51</v>
      </c>
      <c r="B1687" t="s">
        <v>1360</v>
      </c>
    </row>
    <row r="1688" spans="1:2" x14ac:dyDescent="0.25">
      <c r="A1688">
        <v>51</v>
      </c>
      <c r="B1688" t="s">
        <v>1360</v>
      </c>
    </row>
    <row r="1689" spans="1:2" x14ac:dyDescent="0.25">
      <c r="A1689">
        <v>51</v>
      </c>
      <c r="B1689" t="s">
        <v>1360</v>
      </c>
    </row>
    <row r="1690" spans="1:2" x14ac:dyDescent="0.25">
      <c r="A1690">
        <v>51</v>
      </c>
      <c r="B1690" t="s">
        <v>1360</v>
      </c>
    </row>
    <row r="1691" spans="1:2" x14ac:dyDescent="0.25">
      <c r="A1691">
        <v>51</v>
      </c>
      <c r="B1691" t="s">
        <v>1360</v>
      </c>
    </row>
    <row r="1692" spans="1:2" x14ac:dyDescent="0.25">
      <c r="A1692">
        <v>51</v>
      </c>
      <c r="B1692" t="s">
        <v>1360</v>
      </c>
    </row>
    <row r="1693" spans="1:2" x14ac:dyDescent="0.25">
      <c r="A1693">
        <v>78</v>
      </c>
      <c r="B1693" t="s">
        <v>1384</v>
      </c>
    </row>
    <row r="1694" spans="1:2" x14ac:dyDescent="0.25">
      <c r="A1694">
        <v>78</v>
      </c>
      <c r="B1694" t="s">
        <v>1384</v>
      </c>
    </row>
    <row r="1695" spans="1:2" x14ac:dyDescent="0.25">
      <c r="A1695">
        <v>51</v>
      </c>
      <c r="B1695" t="s">
        <v>1360</v>
      </c>
    </row>
    <row r="1696" spans="1:2" x14ac:dyDescent="0.25">
      <c r="A1696">
        <v>51</v>
      </c>
      <c r="B1696" t="s">
        <v>1360</v>
      </c>
    </row>
    <row r="1697" spans="1:2" x14ac:dyDescent="0.25">
      <c r="A1697">
        <v>83</v>
      </c>
      <c r="B1697" t="s">
        <v>1388</v>
      </c>
    </row>
    <row r="1698" spans="1:2" x14ac:dyDescent="0.25">
      <c r="A1698">
        <v>51</v>
      </c>
      <c r="B1698" t="s">
        <v>1360</v>
      </c>
    </row>
    <row r="1699" spans="1:2" x14ac:dyDescent="0.25">
      <c r="A1699">
        <v>52</v>
      </c>
      <c r="B1699" t="s">
        <v>1362</v>
      </c>
    </row>
    <row r="1700" spans="1:2" x14ac:dyDescent="0.25">
      <c r="A1700">
        <v>51</v>
      </c>
      <c r="B1700" t="s">
        <v>1360</v>
      </c>
    </row>
    <row r="1701" spans="1:2" x14ac:dyDescent="0.25">
      <c r="A1701">
        <v>51</v>
      </c>
      <c r="B1701" t="s">
        <v>1360</v>
      </c>
    </row>
    <row r="1702" spans="1:2" x14ac:dyDescent="0.25">
      <c r="A1702">
        <v>51</v>
      </c>
      <c r="B1702" t="s">
        <v>1360</v>
      </c>
    </row>
    <row r="1703" spans="1:2" x14ac:dyDescent="0.25">
      <c r="A1703">
        <v>45</v>
      </c>
      <c r="B1703" t="s">
        <v>1355</v>
      </c>
    </row>
    <row r="1704" spans="1:2" x14ac:dyDescent="0.25">
      <c r="A1704">
        <v>69</v>
      </c>
      <c r="B1704" t="s">
        <v>1377</v>
      </c>
    </row>
    <row r="1705" spans="1:2" x14ac:dyDescent="0.25">
      <c r="A1705">
        <v>69</v>
      </c>
      <c r="B1705" t="s">
        <v>1377</v>
      </c>
    </row>
    <row r="1706" spans="1:2" x14ac:dyDescent="0.25">
      <c r="A1706">
        <v>69</v>
      </c>
      <c r="B1706" t="s">
        <v>1377</v>
      </c>
    </row>
    <row r="1707" spans="1:2" x14ac:dyDescent="0.25">
      <c r="A1707">
        <v>69</v>
      </c>
      <c r="B1707" t="s">
        <v>1377</v>
      </c>
    </row>
    <row r="1708" spans="1:2" x14ac:dyDescent="0.25">
      <c r="A1708">
        <v>69</v>
      </c>
      <c r="B1708" t="s">
        <v>1377</v>
      </c>
    </row>
    <row r="1709" spans="1:2" x14ac:dyDescent="0.25">
      <c r="A1709">
        <v>69</v>
      </c>
      <c r="B1709" t="s">
        <v>1377</v>
      </c>
    </row>
    <row r="1710" spans="1:2" x14ac:dyDescent="0.25">
      <c r="A1710">
        <v>69</v>
      </c>
      <c r="B1710" t="s">
        <v>1377</v>
      </c>
    </row>
    <row r="1711" spans="1:2" x14ac:dyDescent="0.25">
      <c r="A1711">
        <v>69</v>
      </c>
      <c r="B1711" t="s">
        <v>1377</v>
      </c>
    </row>
    <row r="1712" spans="1:2" x14ac:dyDescent="0.25">
      <c r="A1712">
        <v>69</v>
      </c>
      <c r="B1712" t="s">
        <v>1377</v>
      </c>
    </row>
    <row r="1713" spans="1:2" x14ac:dyDescent="0.25">
      <c r="A1713">
        <v>69</v>
      </c>
      <c r="B1713" t="s">
        <v>1377</v>
      </c>
    </row>
    <row r="1714" spans="1:2" x14ac:dyDescent="0.25">
      <c r="A1714">
        <v>69</v>
      </c>
      <c r="B1714" t="s">
        <v>1377</v>
      </c>
    </row>
    <row r="1715" spans="1:2" x14ac:dyDescent="0.25">
      <c r="A1715">
        <v>69</v>
      </c>
      <c r="B1715" t="s">
        <v>1377</v>
      </c>
    </row>
    <row r="1716" spans="1:2" x14ac:dyDescent="0.25">
      <c r="A1716">
        <v>69</v>
      </c>
      <c r="B1716" t="s">
        <v>1377</v>
      </c>
    </row>
    <row r="1717" spans="1:2" x14ac:dyDescent="0.25">
      <c r="A1717">
        <v>69</v>
      </c>
      <c r="B1717" t="s">
        <v>1377</v>
      </c>
    </row>
    <row r="1718" spans="1:2" x14ac:dyDescent="0.25">
      <c r="A1718">
        <v>45</v>
      </c>
      <c r="B1718" t="s">
        <v>1355</v>
      </c>
    </row>
    <row r="1719" spans="1:2" x14ac:dyDescent="0.25">
      <c r="A1719">
        <v>54</v>
      </c>
      <c r="B1719" t="s">
        <v>1363</v>
      </c>
    </row>
    <row r="1720" spans="1:2" x14ac:dyDescent="0.25">
      <c r="A1720">
        <v>51</v>
      </c>
      <c r="B1720" t="s">
        <v>1360</v>
      </c>
    </row>
    <row r="1721" spans="1:2" x14ac:dyDescent="0.25">
      <c r="A1721">
        <v>51</v>
      </c>
      <c r="B1721" t="s">
        <v>1360</v>
      </c>
    </row>
    <row r="1722" spans="1:2" x14ac:dyDescent="0.25">
      <c r="A1722">
        <v>51</v>
      </c>
      <c r="B1722" t="s">
        <v>1360</v>
      </c>
    </row>
    <row r="1723" spans="1:2" x14ac:dyDescent="0.25">
      <c r="A1723">
        <v>51</v>
      </c>
      <c r="B1723" t="s">
        <v>1360</v>
      </c>
    </row>
    <row r="1724" spans="1:2" x14ac:dyDescent="0.25">
      <c r="A1724">
        <v>70</v>
      </c>
      <c r="B1724" t="s">
        <v>1378</v>
      </c>
    </row>
    <row r="1725" spans="1:2" x14ac:dyDescent="0.25">
      <c r="A1725">
        <v>66</v>
      </c>
      <c r="B1725" t="s">
        <v>1375</v>
      </c>
    </row>
    <row r="1726" spans="1:2" x14ac:dyDescent="0.25">
      <c r="A1726">
        <v>66</v>
      </c>
      <c r="B1726" t="s">
        <v>1375</v>
      </c>
    </row>
    <row r="1727" spans="1:2" x14ac:dyDescent="0.25">
      <c r="A1727">
        <v>55</v>
      </c>
      <c r="B1727" t="s">
        <v>1364</v>
      </c>
    </row>
    <row r="1728" spans="1:2" x14ac:dyDescent="0.25">
      <c r="A1728">
        <v>45</v>
      </c>
      <c r="B1728" t="s">
        <v>1355</v>
      </c>
    </row>
    <row r="1729" spans="1:2" x14ac:dyDescent="0.25">
      <c r="A1729">
        <v>45</v>
      </c>
      <c r="B1729" t="s">
        <v>1355</v>
      </c>
    </row>
    <row r="1730" spans="1:2" x14ac:dyDescent="0.25">
      <c r="A1730">
        <v>45</v>
      </c>
      <c r="B1730" t="s">
        <v>1355</v>
      </c>
    </row>
    <row r="1731" spans="1:2" x14ac:dyDescent="0.25">
      <c r="A1731">
        <v>45</v>
      </c>
      <c r="B1731" t="s">
        <v>1355</v>
      </c>
    </row>
    <row r="1732" spans="1:2" x14ac:dyDescent="0.25">
      <c r="A1732">
        <v>45</v>
      </c>
      <c r="B1732" t="s">
        <v>1355</v>
      </c>
    </row>
    <row r="1733" spans="1:2" x14ac:dyDescent="0.25">
      <c r="A1733">
        <v>45</v>
      </c>
      <c r="B1733" t="s">
        <v>1355</v>
      </c>
    </row>
    <row r="1734" spans="1:2" x14ac:dyDescent="0.25">
      <c r="A1734">
        <v>45</v>
      </c>
      <c r="B1734" t="s">
        <v>1355</v>
      </c>
    </row>
    <row r="1735" spans="1:2" x14ac:dyDescent="0.25">
      <c r="A1735">
        <v>45</v>
      </c>
      <c r="B1735" t="s">
        <v>1355</v>
      </c>
    </row>
    <row r="1736" spans="1:2" x14ac:dyDescent="0.25">
      <c r="A1736">
        <v>45</v>
      </c>
      <c r="B1736" t="s">
        <v>1355</v>
      </c>
    </row>
    <row r="1737" spans="1:2" x14ac:dyDescent="0.25">
      <c r="A1737">
        <v>45</v>
      </c>
      <c r="B1737" t="s">
        <v>1355</v>
      </c>
    </row>
    <row r="1738" spans="1:2" x14ac:dyDescent="0.25">
      <c r="A1738">
        <v>55</v>
      </c>
      <c r="B1738" t="s">
        <v>1364</v>
      </c>
    </row>
    <row r="1739" spans="1:2" x14ac:dyDescent="0.25">
      <c r="A1739">
        <v>55</v>
      </c>
      <c r="B1739" t="s">
        <v>1364</v>
      </c>
    </row>
    <row r="1740" spans="1:2" x14ac:dyDescent="0.25">
      <c r="A1740">
        <v>67</v>
      </c>
      <c r="B1740" t="s">
        <v>1376</v>
      </c>
    </row>
    <row r="1741" spans="1:2" x14ac:dyDescent="0.25">
      <c r="A1741">
        <v>67</v>
      </c>
      <c r="B1741" t="s">
        <v>1376</v>
      </c>
    </row>
    <row r="1742" spans="1:2" x14ac:dyDescent="0.25">
      <c r="A1742">
        <v>67</v>
      </c>
      <c r="B1742" t="s">
        <v>1376</v>
      </c>
    </row>
    <row r="1743" spans="1:2" x14ac:dyDescent="0.25">
      <c r="A1743">
        <v>67</v>
      </c>
      <c r="B1743" t="s">
        <v>1376</v>
      </c>
    </row>
    <row r="1744" spans="1:2" x14ac:dyDescent="0.25">
      <c r="A1744">
        <v>67</v>
      </c>
      <c r="B1744" t="s">
        <v>1376</v>
      </c>
    </row>
    <row r="1745" spans="1:2" x14ac:dyDescent="0.25">
      <c r="A1745">
        <v>67</v>
      </c>
      <c r="B1745" t="s">
        <v>1376</v>
      </c>
    </row>
    <row r="1746" spans="1:2" x14ac:dyDescent="0.25">
      <c r="A1746">
        <v>67</v>
      </c>
      <c r="B1746" t="s">
        <v>1376</v>
      </c>
    </row>
    <row r="1747" spans="1:2" x14ac:dyDescent="0.25">
      <c r="A1747">
        <v>55</v>
      </c>
      <c r="B1747" t="s">
        <v>1364</v>
      </c>
    </row>
    <row r="1748" spans="1:2" x14ac:dyDescent="0.25">
      <c r="A1748">
        <v>55</v>
      </c>
      <c r="B1748" t="s">
        <v>1364</v>
      </c>
    </row>
    <row r="1749" spans="1:2" x14ac:dyDescent="0.25">
      <c r="A1749">
        <v>61</v>
      </c>
      <c r="B1749" t="s">
        <v>1370</v>
      </c>
    </row>
    <row r="1750" spans="1:2" x14ac:dyDescent="0.25">
      <c r="A1750">
        <v>61</v>
      </c>
      <c r="B1750" t="s">
        <v>1370</v>
      </c>
    </row>
    <row r="1751" spans="1:2" x14ac:dyDescent="0.25">
      <c r="A1751">
        <v>55</v>
      </c>
      <c r="B1751" t="s">
        <v>1364</v>
      </c>
    </row>
    <row r="1752" spans="1:2" x14ac:dyDescent="0.25">
      <c r="A1752">
        <v>55</v>
      </c>
      <c r="B1752" t="s">
        <v>1364</v>
      </c>
    </row>
    <row r="1753" spans="1:2" x14ac:dyDescent="0.25">
      <c r="A1753">
        <v>55</v>
      </c>
      <c r="B1753" t="s">
        <v>1364</v>
      </c>
    </row>
    <row r="1754" spans="1:2" x14ac:dyDescent="0.25">
      <c r="A1754">
        <v>70</v>
      </c>
      <c r="B1754" t="s">
        <v>1378</v>
      </c>
    </row>
    <row r="1755" spans="1:2" x14ac:dyDescent="0.25">
      <c r="A1755">
        <v>70</v>
      </c>
      <c r="B1755" t="s">
        <v>1378</v>
      </c>
    </row>
    <row r="1756" spans="1:2" x14ac:dyDescent="0.25">
      <c r="A1756">
        <v>51</v>
      </c>
      <c r="B1756" t="s">
        <v>1360</v>
      </c>
    </row>
    <row r="1757" spans="1:2" x14ac:dyDescent="0.25">
      <c r="A1757">
        <v>51</v>
      </c>
      <c r="B1757" t="s">
        <v>1360</v>
      </c>
    </row>
    <row r="1758" spans="1:2" x14ac:dyDescent="0.25">
      <c r="A1758">
        <v>51</v>
      </c>
      <c r="B1758" t="s">
        <v>1360</v>
      </c>
    </row>
    <row r="1759" spans="1:2" x14ac:dyDescent="0.25">
      <c r="A1759">
        <v>51</v>
      </c>
      <c r="B1759" t="s">
        <v>1360</v>
      </c>
    </row>
    <row r="1760" spans="1:2" x14ac:dyDescent="0.25">
      <c r="A1760">
        <v>51</v>
      </c>
      <c r="B1760" t="s">
        <v>1360</v>
      </c>
    </row>
    <row r="1761" spans="1:2" x14ac:dyDescent="0.25">
      <c r="A1761">
        <v>51</v>
      </c>
      <c r="B1761" t="s">
        <v>1360</v>
      </c>
    </row>
    <row r="1762" spans="1:2" x14ac:dyDescent="0.25">
      <c r="A1762">
        <v>51</v>
      </c>
      <c r="B1762" t="s">
        <v>1360</v>
      </c>
    </row>
    <row r="1763" spans="1:2" x14ac:dyDescent="0.25">
      <c r="A1763">
        <v>51</v>
      </c>
      <c r="B1763" t="s">
        <v>1360</v>
      </c>
    </row>
    <row r="1764" spans="1:2" x14ac:dyDescent="0.25">
      <c r="A1764">
        <v>51</v>
      </c>
      <c r="B1764" t="s">
        <v>1360</v>
      </c>
    </row>
    <row r="1765" spans="1:2" x14ac:dyDescent="0.25">
      <c r="A1765">
        <v>51</v>
      </c>
      <c r="B1765" t="s">
        <v>1360</v>
      </c>
    </row>
    <row r="1766" spans="1:2" x14ac:dyDescent="0.25">
      <c r="A1766">
        <v>51</v>
      </c>
      <c r="B1766" t="s">
        <v>1360</v>
      </c>
    </row>
    <row r="1767" spans="1:2" x14ac:dyDescent="0.25">
      <c r="A1767">
        <v>51</v>
      </c>
      <c r="B1767" t="s">
        <v>1360</v>
      </c>
    </row>
    <row r="1768" spans="1:2" x14ac:dyDescent="0.25">
      <c r="A1768">
        <v>51</v>
      </c>
      <c r="B1768" t="s">
        <v>1360</v>
      </c>
    </row>
    <row r="1769" spans="1:2" x14ac:dyDescent="0.25">
      <c r="A1769">
        <v>51</v>
      </c>
      <c r="B1769" t="s">
        <v>1360</v>
      </c>
    </row>
    <row r="1770" spans="1:2" x14ac:dyDescent="0.25">
      <c r="A1770">
        <v>51</v>
      </c>
      <c r="B1770" t="s">
        <v>1360</v>
      </c>
    </row>
    <row r="1771" spans="1:2" x14ac:dyDescent="0.25">
      <c r="A1771">
        <v>51</v>
      </c>
      <c r="B1771" t="s">
        <v>1360</v>
      </c>
    </row>
    <row r="1772" spans="1:2" x14ac:dyDescent="0.25">
      <c r="A1772">
        <v>51</v>
      </c>
      <c r="B1772" t="s">
        <v>1360</v>
      </c>
    </row>
    <row r="1773" spans="1:2" x14ac:dyDescent="0.25">
      <c r="A1773">
        <v>51</v>
      </c>
      <c r="B1773" t="s">
        <v>1360</v>
      </c>
    </row>
    <row r="1774" spans="1:2" x14ac:dyDescent="0.25">
      <c r="A1774">
        <v>51</v>
      </c>
      <c r="B1774" t="s">
        <v>1360</v>
      </c>
    </row>
    <row r="1775" spans="1:2" x14ac:dyDescent="0.25">
      <c r="A1775">
        <v>51</v>
      </c>
      <c r="B1775" t="s">
        <v>1360</v>
      </c>
    </row>
    <row r="1776" spans="1:2" x14ac:dyDescent="0.25">
      <c r="A1776">
        <v>51</v>
      </c>
      <c r="B1776" t="s">
        <v>1360</v>
      </c>
    </row>
    <row r="1777" spans="1:2" x14ac:dyDescent="0.25">
      <c r="A1777">
        <v>54</v>
      </c>
      <c r="B1777" t="s">
        <v>1363</v>
      </c>
    </row>
    <row r="1778" spans="1:2" x14ac:dyDescent="0.25">
      <c r="A1778">
        <v>55</v>
      </c>
      <c r="B1778" t="s">
        <v>1364</v>
      </c>
    </row>
    <row r="1779" spans="1:2" x14ac:dyDescent="0.25">
      <c r="A1779">
        <v>45</v>
      </c>
      <c r="B1779" t="s">
        <v>1355</v>
      </c>
    </row>
    <row r="1780" spans="1:2" x14ac:dyDescent="0.25">
      <c r="A1780">
        <v>51</v>
      </c>
      <c r="B1780" t="s">
        <v>1360</v>
      </c>
    </row>
    <row r="1781" spans="1:2" x14ac:dyDescent="0.25">
      <c r="A1781">
        <v>45</v>
      </c>
      <c r="B1781" t="s">
        <v>1355</v>
      </c>
    </row>
    <row r="1782" spans="1:2" x14ac:dyDescent="0.25">
      <c r="A1782">
        <v>45</v>
      </c>
      <c r="B1782" t="s">
        <v>1355</v>
      </c>
    </row>
    <row r="1783" spans="1:2" x14ac:dyDescent="0.25">
      <c r="A1783">
        <v>45</v>
      </c>
      <c r="B1783" t="s">
        <v>1355</v>
      </c>
    </row>
    <row r="1784" spans="1:2" x14ac:dyDescent="0.25">
      <c r="A1784">
        <v>72</v>
      </c>
      <c r="B1784" t="s">
        <v>1380</v>
      </c>
    </row>
    <row r="1785" spans="1:2" x14ac:dyDescent="0.25">
      <c r="A1785">
        <v>72</v>
      </c>
      <c r="B1785" t="s">
        <v>1380</v>
      </c>
    </row>
    <row r="1786" spans="1:2" x14ac:dyDescent="0.25">
      <c r="A1786">
        <v>45</v>
      </c>
      <c r="B1786" t="s">
        <v>1355</v>
      </c>
    </row>
    <row r="1787" spans="1:2" x14ac:dyDescent="0.25">
      <c r="A1787">
        <v>51</v>
      </c>
      <c r="B1787" t="s">
        <v>1360</v>
      </c>
    </row>
    <row r="1788" spans="1:2" x14ac:dyDescent="0.25">
      <c r="A1788">
        <v>61</v>
      </c>
      <c r="B1788" t="s">
        <v>1370</v>
      </c>
    </row>
    <row r="1789" spans="1:2" x14ac:dyDescent="0.25">
      <c r="A1789">
        <v>61</v>
      </c>
      <c r="B1789" t="s">
        <v>1370</v>
      </c>
    </row>
    <row r="1790" spans="1:2" x14ac:dyDescent="0.25">
      <c r="A1790">
        <v>55</v>
      </c>
      <c r="B1790" t="s">
        <v>1364</v>
      </c>
    </row>
    <row r="1791" spans="1:2" x14ac:dyDescent="0.25">
      <c r="A1791">
        <v>55</v>
      </c>
      <c r="B1791" t="s">
        <v>1364</v>
      </c>
    </row>
    <row r="1792" spans="1:2" x14ac:dyDescent="0.25">
      <c r="A1792">
        <v>55</v>
      </c>
      <c r="B1792" t="s">
        <v>1364</v>
      </c>
    </row>
    <row r="1793" spans="1:2" x14ac:dyDescent="0.25">
      <c r="A1793">
        <v>55</v>
      </c>
      <c r="B1793" t="s">
        <v>1364</v>
      </c>
    </row>
    <row r="1794" spans="1:2" x14ac:dyDescent="0.25">
      <c r="A1794">
        <v>84</v>
      </c>
      <c r="B1794" t="s">
        <v>1394</v>
      </c>
    </row>
    <row r="1795" spans="1:2" x14ac:dyDescent="0.25">
      <c r="A1795">
        <v>84</v>
      </c>
      <c r="B1795" t="s">
        <v>1394</v>
      </c>
    </row>
    <row r="1796" spans="1:2" x14ac:dyDescent="0.25">
      <c r="A1796">
        <v>84</v>
      </c>
      <c r="B1796" t="s">
        <v>1394</v>
      </c>
    </row>
    <row r="1797" spans="1:2" x14ac:dyDescent="0.25">
      <c r="A1797">
        <v>84</v>
      </c>
      <c r="B1797" t="s">
        <v>1394</v>
      </c>
    </row>
    <row r="1798" spans="1:2" x14ac:dyDescent="0.25">
      <c r="A1798">
        <v>84</v>
      </c>
      <c r="B1798" t="s">
        <v>1394</v>
      </c>
    </row>
    <row r="1799" spans="1:2" x14ac:dyDescent="0.25">
      <c r="A1799">
        <v>84</v>
      </c>
      <c r="B1799" t="s">
        <v>1394</v>
      </c>
    </row>
    <row r="1800" spans="1:2" x14ac:dyDescent="0.25">
      <c r="A1800">
        <v>84</v>
      </c>
      <c r="B1800" t="s">
        <v>1394</v>
      </c>
    </row>
    <row r="1801" spans="1:2" x14ac:dyDescent="0.25">
      <c r="A1801">
        <v>84</v>
      </c>
      <c r="B1801" t="s">
        <v>1394</v>
      </c>
    </row>
    <row r="1802" spans="1:2" x14ac:dyDescent="0.25">
      <c r="A1802">
        <v>84</v>
      </c>
      <c r="B1802" t="s">
        <v>1394</v>
      </c>
    </row>
    <row r="1803" spans="1:2" x14ac:dyDescent="0.25">
      <c r="A1803">
        <v>84</v>
      </c>
      <c r="B1803" t="s">
        <v>1394</v>
      </c>
    </row>
    <row r="1804" spans="1:2" x14ac:dyDescent="0.25">
      <c r="A1804">
        <v>84</v>
      </c>
      <c r="B1804" t="s">
        <v>1394</v>
      </c>
    </row>
    <row r="1805" spans="1:2" x14ac:dyDescent="0.25">
      <c r="A1805">
        <v>84</v>
      </c>
      <c r="B1805" t="s">
        <v>1394</v>
      </c>
    </row>
    <row r="1806" spans="1:2" x14ac:dyDescent="0.25">
      <c r="A1806">
        <v>84</v>
      </c>
      <c r="B1806" t="s">
        <v>1394</v>
      </c>
    </row>
    <row r="1807" spans="1:2" x14ac:dyDescent="0.25">
      <c r="A1807">
        <v>84</v>
      </c>
      <c r="B1807" t="s">
        <v>1394</v>
      </c>
    </row>
    <row r="1808" spans="1:2" x14ac:dyDescent="0.25">
      <c r="A1808">
        <v>84</v>
      </c>
      <c r="B1808" t="s">
        <v>1394</v>
      </c>
    </row>
    <row r="1809" spans="1:2" x14ac:dyDescent="0.25">
      <c r="A1809">
        <v>84</v>
      </c>
      <c r="B1809" t="s">
        <v>1394</v>
      </c>
    </row>
    <row r="1810" spans="1:2" x14ac:dyDescent="0.25">
      <c r="A1810">
        <v>84</v>
      </c>
      <c r="B1810" t="s">
        <v>1394</v>
      </c>
    </row>
    <row r="1811" spans="1:2" x14ac:dyDescent="0.25">
      <c r="A1811">
        <v>84</v>
      </c>
      <c r="B1811" t="s">
        <v>1394</v>
      </c>
    </row>
    <row r="1812" spans="1:2" x14ac:dyDescent="0.25">
      <c r="A1812">
        <v>84</v>
      </c>
      <c r="B1812" t="s">
        <v>1394</v>
      </c>
    </row>
    <row r="1813" spans="1:2" x14ac:dyDescent="0.25">
      <c r="A1813">
        <v>84</v>
      </c>
      <c r="B1813" t="s">
        <v>1394</v>
      </c>
    </row>
    <row r="1814" spans="1:2" x14ac:dyDescent="0.25">
      <c r="A1814">
        <v>84</v>
      </c>
      <c r="B1814" t="s">
        <v>1394</v>
      </c>
    </row>
    <row r="1815" spans="1:2" x14ac:dyDescent="0.25">
      <c r="A1815">
        <v>70</v>
      </c>
      <c r="B1815" t="s">
        <v>1378</v>
      </c>
    </row>
    <row r="1816" spans="1:2" x14ac:dyDescent="0.25">
      <c r="A1816">
        <v>84</v>
      </c>
      <c r="B1816" t="s">
        <v>1394</v>
      </c>
    </row>
    <row r="1817" spans="1:2" x14ac:dyDescent="0.25">
      <c r="A1817">
        <v>84</v>
      </c>
      <c r="B1817" t="s">
        <v>1394</v>
      </c>
    </row>
    <row r="1818" spans="1:2" x14ac:dyDescent="0.25">
      <c r="A1818">
        <v>84</v>
      </c>
      <c r="B1818" t="s">
        <v>1394</v>
      </c>
    </row>
    <row r="1819" spans="1:2" x14ac:dyDescent="0.25">
      <c r="A1819">
        <v>84</v>
      </c>
      <c r="B1819" t="s">
        <v>1394</v>
      </c>
    </row>
    <row r="1820" spans="1:2" x14ac:dyDescent="0.25">
      <c r="A1820">
        <v>84</v>
      </c>
      <c r="B1820" t="s">
        <v>1394</v>
      </c>
    </row>
    <row r="1821" spans="1:2" x14ac:dyDescent="0.25">
      <c r="A1821">
        <v>84</v>
      </c>
      <c r="B1821" t="s">
        <v>1394</v>
      </c>
    </row>
    <row r="1822" spans="1:2" x14ac:dyDescent="0.25">
      <c r="A1822">
        <v>72</v>
      </c>
      <c r="B1822" t="s">
        <v>1380</v>
      </c>
    </row>
    <row r="1823" spans="1:2" x14ac:dyDescent="0.25">
      <c r="A1823">
        <v>74</v>
      </c>
      <c r="B1823" t="s">
        <v>1382</v>
      </c>
    </row>
    <row r="1824" spans="1:2" x14ac:dyDescent="0.25">
      <c r="A1824">
        <v>70</v>
      </c>
      <c r="B1824" t="s">
        <v>1378</v>
      </c>
    </row>
    <row r="1825" spans="1:2" x14ac:dyDescent="0.25">
      <c r="A1825">
        <v>78</v>
      </c>
      <c r="B1825" t="s">
        <v>1384</v>
      </c>
    </row>
    <row r="1826" spans="1:2" x14ac:dyDescent="0.25">
      <c r="A1826">
        <v>78</v>
      </c>
      <c r="B1826" t="s">
        <v>1384</v>
      </c>
    </row>
    <row r="1827" spans="1:2" x14ac:dyDescent="0.25">
      <c r="A1827">
        <v>70</v>
      </c>
      <c r="B1827" t="s">
        <v>1378</v>
      </c>
    </row>
    <row r="1828" spans="1:2" x14ac:dyDescent="0.25">
      <c r="A1828">
        <v>70</v>
      </c>
      <c r="B1828" t="s">
        <v>1378</v>
      </c>
    </row>
    <row r="1829" spans="1:2" x14ac:dyDescent="0.25">
      <c r="A1829">
        <v>70</v>
      </c>
      <c r="B1829" t="s">
        <v>1378</v>
      </c>
    </row>
    <row r="1830" spans="1:2" x14ac:dyDescent="0.25">
      <c r="A1830">
        <v>78</v>
      </c>
      <c r="B1830" t="s">
        <v>1384</v>
      </c>
    </row>
    <row r="1831" spans="1:2" x14ac:dyDescent="0.25">
      <c r="A1831">
        <v>78</v>
      </c>
      <c r="B1831" t="s">
        <v>1384</v>
      </c>
    </row>
    <row r="1832" spans="1:2" x14ac:dyDescent="0.25">
      <c r="A1832">
        <v>70</v>
      </c>
      <c r="B1832" t="s">
        <v>1378</v>
      </c>
    </row>
    <row r="1833" spans="1:2" x14ac:dyDescent="0.25">
      <c r="A1833">
        <v>67</v>
      </c>
      <c r="B1833" t="s">
        <v>1376</v>
      </c>
    </row>
    <row r="1834" spans="1:2" x14ac:dyDescent="0.25">
      <c r="A1834">
        <v>67</v>
      </c>
      <c r="B1834" t="s">
        <v>1376</v>
      </c>
    </row>
    <row r="1835" spans="1:2" x14ac:dyDescent="0.25">
      <c r="A1835">
        <v>67</v>
      </c>
      <c r="B1835" t="s">
        <v>1376</v>
      </c>
    </row>
    <row r="1836" spans="1:2" x14ac:dyDescent="0.25">
      <c r="A1836">
        <v>67</v>
      </c>
      <c r="B1836" t="s">
        <v>1376</v>
      </c>
    </row>
    <row r="1837" spans="1:2" x14ac:dyDescent="0.25">
      <c r="A1837">
        <v>51</v>
      </c>
      <c r="B1837" t="s">
        <v>1360</v>
      </c>
    </row>
    <row r="1838" spans="1:2" x14ac:dyDescent="0.25">
      <c r="A1838">
        <v>51</v>
      </c>
      <c r="B1838" t="s">
        <v>1360</v>
      </c>
    </row>
    <row r="1839" spans="1:2" x14ac:dyDescent="0.25">
      <c r="A1839">
        <v>51</v>
      </c>
      <c r="B1839" t="s">
        <v>1360</v>
      </c>
    </row>
    <row r="1840" spans="1:2" x14ac:dyDescent="0.25">
      <c r="A1840">
        <v>51</v>
      </c>
      <c r="B1840" t="s">
        <v>1360</v>
      </c>
    </row>
    <row r="1841" spans="1:2" x14ac:dyDescent="0.25">
      <c r="A1841">
        <v>51</v>
      </c>
      <c r="B1841" t="s">
        <v>1360</v>
      </c>
    </row>
    <row r="1842" spans="1:2" x14ac:dyDescent="0.25">
      <c r="A1842">
        <v>51</v>
      </c>
      <c r="B1842" t="s">
        <v>1360</v>
      </c>
    </row>
    <row r="1843" spans="1:2" x14ac:dyDescent="0.25">
      <c r="A1843">
        <v>45</v>
      </c>
      <c r="B1843" t="s">
        <v>1355</v>
      </c>
    </row>
    <row r="1844" spans="1:2" x14ac:dyDescent="0.25">
      <c r="A1844">
        <v>70</v>
      </c>
      <c r="B1844" t="s">
        <v>1378</v>
      </c>
    </row>
    <row r="1845" spans="1:2" x14ac:dyDescent="0.25">
      <c r="A1845">
        <v>51</v>
      </c>
      <c r="B1845" t="s">
        <v>1360</v>
      </c>
    </row>
    <row r="1846" spans="1:2" x14ac:dyDescent="0.25">
      <c r="A1846">
        <v>51</v>
      </c>
      <c r="B1846" t="s">
        <v>1360</v>
      </c>
    </row>
    <row r="1847" spans="1:2" x14ac:dyDescent="0.25">
      <c r="A1847">
        <v>73</v>
      </c>
      <c r="B1847" t="s">
        <v>1381</v>
      </c>
    </row>
    <row r="1848" spans="1:2" x14ac:dyDescent="0.25">
      <c r="A1848">
        <v>52</v>
      </c>
      <c r="B1848" t="s">
        <v>1362</v>
      </c>
    </row>
    <row r="1849" spans="1:2" x14ac:dyDescent="0.25">
      <c r="A1849">
        <v>52</v>
      </c>
      <c r="B1849" t="s">
        <v>1362</v>
      </c>
    </row>
    <row r="1850" spans="1:2" x14ac:dyDescent="0.25">
      <c r="A1850">
        <v>52</v>
      </c>
      <c r="B1850" t="s">
        <v>1362</v>
      </c>
    </row>
    <row r="1851" spans="1:2" x14ac:dyDescent="0.25">
      <c r="A1851">
        <v>52</v>
      </c>
      <c r="B1851" t="s">
        <v>1362</v>
      </c>
    </row>
    <row r="1852" spans="1:2" x14ac:dyDescent="0.25">
      <c r="A1852">
        <v>52</v>
      </c>
      <c r="B1852" t="s">
        <v>1362</v>
      </c>
    </row>
    <row r="1853" spans="1:2" x14ac:dyDescent="0.25">
      <c r="A1853">
        <v>67</v>
      </c>
      <c r="B1853" t="s">
        <v>1376</v>
      </c>
    </row>
    <row r="1854" spans="1:2" x14ac:dyDescent="0.25">
      <c r="A1854">
        <v>67</v>
      </c>
      <c r="B1854" t="s">
        <v>1376</v>
      </c>
    </row>
    <row r="1855" spans="1:2" x14ac:dyDescent="0.25">
      <c r="A1855">
        <v>67</v>
      </c>
      <c r="B1855" t="s">
        <v>1376</v>
      </c>
    </row>
    <row r="1856" spans="1:2" x14ac:dyDescent="0.25">
      <c r="A1856">
        <v>67</v>
      </c>
      <c r="B1856" t="s">
        <v>1376</v>
      </c>
    </row>
    <row r="1857" spans="1:2" x14ac:dyDescent="0.25">
      <c r="A1857">
        <v>67</v>
      </c>
      <c r="B1857" t="s">
        <v>1376</v>
      </c>
    </row>
    <row r="1858" spans="1:2" x14ac:dyDescent="0.25">
      <c r="A1858">
        <v>67</v>
      </c>
      <c r="B1858" t="s">
        <v>1376</v>
      </c>
    </row>
    <row r="1859" spans="1:2" x14ac:dyDescent="0.25">
      <c r="A1859">
        <v>67</v>
      </c>
      <c r="B1859" t="s">
        <v>1376</v>
      </c>
    </row>
    <row r="1860" spans="1:2" x14ac:dyDescent="0.25">
      <c r="A1860">
        <v>67</v>
      </c>
      <c r="B1860" t="s">
        <v>1376</v>
      </c>
    </row>
    <row r="1861" spans="1:2" x14ac:dyDescent="0.25">
      <c r="A1861">
        <v>67</v>
      </c>
      <c r="B1861" t="s">
        <v>1376</v>
      </c>
    </row>
    <row r="1862" spans="1:2" x14ac:dyDescent="0.25">
      <c r="A1862">
        <v>67</v>
      </c>
      <c r="B1862" t="s">
        <v>1376</v>
      </c>
    </row>
    <row r="1863" spans="1:2" x14ac:dyDescent="0.25">
      <c r="A1863">
        <v>67</v>
      </c>
      <c r="B1863" t="s">
        <v>1376</v>
      </c>
    </row>
    <row r="1864" spans="1:2" x14ac:dyDescent="0.25">
      <c r="A1864">
        <v>67</v>
      </c>
      <c r="B1864" t="s">
        <v>1376</v>
      </c>
    </row>
    <row r="1865" spans="1:2" x14ac:dyDescent="0.25">
      <c r="A1865">
        <v>67</v>
      </c>
      <c r="B1865" t="s">
        <v>1376</v>
      </c>
    </row>
    <row r="1866" spans="1:2" x14ac:dyDescent="0.25">
      <c r="A1866">
        <v>67</v>
      </c>
      <c r="B1866" t="s">
        <v>1376</v>
      </c>
    </row>
    <row r="1867" spans="1:2" x14ac:dyDescent="0.25">
      <c r="A1867">
        <v>67</v>
      </c>
      <c r="B1867" t="s">
        <v>1376</v>
      </c>
    </row>
    <row r="1868" spans="1:2" x14ac:dyDescent="0.25">
      <c r="A1868">
        <v>67</v>
      </c>
      <c r="B1868" t="s">
        <v>1376</v>
      </c>
    </row>
    <row r="1869" spans="1:2" x14ac:dyDescent="0.25">
      <c r="A1869">
        <v>67</v>
      </c>
      <c r="B1869" t="s">
        <v>1376</v>
      </c>
    </row>
    <row r="1870" spans="1:2" x14ac:dyDescent="0.25">
      <c r="A1870">
        <v>67</v>
      </c>
      <c r="B1870" t="s">
        <v>1376</v>
      </c>
    </row>
    <row r="1871" spans="1:2" x14ac:dyDescent="0.25">
      <c r="A1871">
        <v>67</v>
      </c>
      <c r="B1871" t="s">
        <v>1376</v>
      </c>
    </row>
    <row r="1872" spans="1:2" x14ac:dyDescent="0.25">
      <c r="A1872">
        <v>67</v>
      </c>
      <c r="B1872" t="s">
        <v>1376</v>
      </c>
    </row>
    <row r="1873" spans="1:2" x14ac:dyDescent="0.25">
      <c r="A1873">
        <v>67</v>
      </c>
      <c r="B1873" t="s">
        <v>1376</v>
      </c>
    </row>
    <row r="1874" spans="1:2" x14ac:dyDescent="0.25">
      <c r="A1874">
        <v>67</v>
      </c>
      <c r="B1874" t="s">
        <v>1376</v>
      </c>
    </row>
    <row r="1875" spans="1:2" x14ac:dyDescent="0.25">
      <c r="A1875">
        <v>67</v>
      </c>
      <c r="B1875" t="s">
        <v>1376</v>
      </c>
    </row>
    <row r="1876" spans="1:2" x14ac:dyDescent="0.25">
      <c r="A1876">
        <v>67</v>
      </c>
      <c r="B1876" t="s">
        <v>1376</v>
      </c>
    </row>
    <row r="1877" spans="1:2" x14ac:dyDescent="0.25">
      <c r="A1877">
        <v>67</v>
      </c>
      <c r="B1877" t="s">
        <v>1376</v>
      </c>
    </row>
    <row r="1878" spans="1:2" x14ac:dyDescent="0.25">
      <c r="A1878">
        <v>67</v>
      </c>
      <c r="B1878" t="s">
        <v>1376</v>
      </c>
    </row>
    <row r="1879" spans="1:2" x14ac:dyDescent="0.25">
      <c r="A1879">
        <v>67</v>
      </c>
      <c r="B1879" t="s">
        <v>1376</v>
      </c>
    </row>
    <row r="1880" spans="1:2" x14ac:dyDescent="0.25">
      <c r="A1880">
        <v>76</v>
      </c>
      <c r="B1880" t="s">
        <v>1383</v>
      </c>
    </row>
    <row r="1881" spans="1:2" x14ac:dyDescent="0.25">
      <c r="A1881">
        <v>55</v>
      </c>
      <c r="B1881" t="s">
        <v>1364</v>
      </c>
    </row>
    <row r="1882" spans="1:2" x14ac:dyDescent="0.25">
      <c r="A1882">
        <v>55</v>
      </c>
      <c r="B1882" t="s">
        <v>1364</v>
      </c>
    </row>
    <row r="1883" spans="1:2" x14ac:dyDescent="0.25">
      <c r="A1883">
        <v>55</v>
      </c>
      <c r="B1883" t="s">
        <v>1364</v>
      </c>
    </row>
    <row r="1884" spans="1:2" x14ac:dyDescent="0.25">
      <c r="A1884">
        <v>54</v>
      </c>
      <c r="B1884" t="s">
        <v>1363</v>
      </c>
    </row>
    <row r="1885" spans="1:2" x14ac:dyDescent="0.25">
      <c r="A1885">
        <v>54</v>
      </c>
      <c r="B1885" t="s">
        <v>1363</v>
      </c>
    </row>
    <row r="1886" spans="1:2" x14ac:dyDescent="0.25">
      <c r="A1886">
        <v>62</v>
      </c>
      <c r="B1886" t="s">
        <v>1371</v>
      </c>
    </row>
    <row r="1887" spans="1:2" x14ac:dyDescent="0.25">
      <c r="A1887">
        <v>54</v>
      </c>
      <c r="B1887" t="s">
        <v>1363</v>
      </c>
    </row>
    <row r="1888" spans="1:2" x14ac:dyDescent="0.25">
      <c r="A1888">
        <v>54</v>
      </c>
      <c r="B1888" t="s">
        <v>1363</v>
      </c>
    </row>
    <row r="1889" spans="1:2" x14ac:dyDescent="0.25">
      <c r="A1889">
        <v>54</v>
      </c>
      <c r="B1889" t="s">
        <v>1363</v>
      </c>
    </row>
    <row r="1890" spans="1:2" x14ac:dyDescent="0.25">
      <c r="A1890">
        <v>55</v>
      </c>
      <c r="B1890" t="s">
        <v>1364</v>
      </c>
    </row>
    <row r="1891" spans="1:2" x14ac:dyDescent="0.25">
      <c r="A1891">
        <v>62</v>
      </c>
      <c r="B1891" t="s">
        <v>1371</v>
      </c>
    </row>
    <row r="1892" spans="1:2" x14ac:dyDescent="0.25">
      <c r="A1892">
        <v>62</v>
      </c>
      <c r="B1892" t="s">
        <v>1371</v>
      </c>
    </row>
    <row r="1893" spans="1:2" x14ac:dyDescent="0.25">
      <c r="A1893">
        <v>51</v>
      </c>
      <c r="B1893" t="s">
        <v>1360</v>
      </c>
    </row>
    <row r="1894" spans="1:2" x14ac:dyDescent="0.25">
      <c r="A1894">
        <v>51</v>
      </c>
      <c r="B1894" t="s">
        <v>1360</v>
      </c>
    </row>
    <row r="1895" spans="1:2" x14ac:dyDescent="0.25">
      <c r="A1895">
        <v>51</v>
      </c>
      <c r="B1895" t="s">
        <v>1360</v>
      </c>
    </row>
    <row r="1896" spans="1:2" x14ac:dyDescent="0.25">
      <c r="A1896">
        <v>51</v>
      </c>
      <c r="B1896" t="s">
        <v>1360</v>
      </c>
    </row>
    <row r="1897" spans="1:2" x14ac:dyDescent="0.25">
      <c r="A1897">
        <v>51</v>
      </c>
      <c r="B1897" t="s">
        <v>1360</v>
      </c>
    </row>
    <row r="1898" spans="1:2" x14ac:dyDescent="0.25">
      <c r="A1898">
        <v>55</v>
      </c>
      <c r="B1898" t="s">
        <v>1364</v>
      </c>
    </row>
    <row r="1899" spans="1:2" x14ac:dyDescent="0.25">
      <c r="A1899">
        <v>55</v>
      </c>
      <c r="B1899" t="s">
        <v>1364</v>
      </c>
    </row>
    <row r="1900" spans="1:2" x14ac:dyDescent="0.25">
      <c r="A1900">
        <v>55</v>
      </c>
      <c r="B1900" t="s">
        <v>1364</v>
      </c>
    </row>
    <row r="1901" spans="1:2" x14ac:dyDescent="0.25">
      <c r="A1901">
        <v>55</v>
      </c>
      <c r="B1901" t="s">
        <v>1364</v>
      </c>
    </row>
    <row r="1902" spans="1:2" x14ac:dyDescent="0.25">
      <c r="A1902">
        <v>55</v>
      </c>
      <c r="B1902" t="s">
        <v>1364</v>
      </c>
    </row>
    <row r="1903" spans="1:2" x14ac:dyDescent="0.25">
      <c r="A1903">
        <v>72</v>
      </c>
      <c r="B1903" t="s">
        <v>1380</v>
      </c>
    </row>
    <row r="1904" spans="1:2" x14ac:dyDescent="0.25">
      <c r="A1904">
        <v>72</v>
      </c>
      <c r="B1904" t="s">
        <v>1380</v>
      </c>
    </row>
    <row r="1905" spans="1:2" x14ac:dyDescent="0.25">
      <c r="A1905">
        <v>70</v>
      </c>
      <c r="B1905" t="s">
        <v>1378</v>
      </c>
    </row>
    <row r="1906" spans="1:2" x14ac:dyDescent="0.25">
      <c r="A1906">
        <v>52</v>
      </c>
      <c r="B1906" t="s">
        <v>1362</v>
      </c>
    </row>
    <row r="1907" spans="1:2" x14ac:dyDescent="0.25">
      <c r="A1907">
        <v>52</v>
      </c>
      <c r="B1907" t="s">
        <v>1362</v>
      </c>
    </row>
    <row r="1908" spans="1:2" x14ac:dyDescent="0.25">
      <c r="A1908">
        <v>61</v>
      </c>
      <c r="B1908" t="s">
        <v>1370</v>
      </c>
    </row>
    <row r="1909" spans="1:2" x14ac:dyDescent="0.25">
      <c r="A1909">
        <v>70</v>
      </c>
      <c r="B1909" t="s">
        <v>1378</v>
      </c>
    </row>
    <row r="1910" spans="1:2" x14ac:dyDescent="0.25">
      <c r="A1910">
        <v>55</v>
      </c>
      <c r="B1910" t="s">
        <v>1364</v>
      </c>
    </row>
    <row r="1911" spans="1:2" x14ac:dyDescent="0.25">
      <c r="A1911">
        <v>55</v>
      </c>
      <c r="B1911" t="s">
        <v>1364</v>
      </c>
    </row>
    <row r="1912" spans="1:2" x14ac:dyDescent="0.25">
      <c r="A1912">
        <v>55</v>
      </c>
      <c r="B1912" t="s">
        <v>1364</v>
      </c>
    </row>
    <row r="1913" spans="1:2" x14ac:dyDescent="0.25">
      <c r="A1913">
        <v>55</v>
      </c>
      <c r="B1913" t="s">
        <v>1364</v>
      </c>
    </row>
    <row r="1914" spans="1:2" x14ac:dyDescent="0.25">
      <c r="A1914">
        <v>55</v>
      </c>
      <c r="B1914" t="s">
        <v>1364</v>
      </c>
    </row>
    <row r="1915" spans="1:2" x14ac:dyDescent="0.25">
      <c r="A1915">
        <v>55</v>
      </c>
      <c r="B1915" t="s">
        <v>1364</v>
      </c>
    </row>
    <row r="1916" spans="1:2" x14ac:dyDescent="0.25">
      <c r="A1916">
        <v>55</v>
      </c>
      <c r="B1916" t="s">
        <v>1364</v>
      </c>
    </row>
    <row r="1917" spans="1:2" x14ac:dyDescent="0.25">
      <c r="A1917">
        <v>55</v>
      </c>
      <c r="B1917" t="s">
        <v>1364</v>
      </c>
    </row>
    <row r="1918" spans="1:2" x14ac:dyDescent="0.25">
      <c r="A1918">
        <v>55</v>
      </c>
      <c r="B1918" t="s">
        <v>1364</v>
      </c>
    </row>
    <row r="1919" spans="1:2" x14ac:dyDescent="0.25">
      <c r="A1919">
        <v>55</v>
      </c>
      <c r="B1919" t="s">
        <v>1364</v>
      </c>
    </row>
    <row r="1920" spans="1:2" x14ac:dyDescent="0.25">
      <c r="A1920">
        <v>55</v>
      </c>
      <c r="B1920" t="s">
        <v>1364</v>
      </c>
    </row>
    <row r="1921" spans="1:2" x14ac:dyDescent="0.25">
      <c r="A1921">
        <v>55</v>
      </c>
      <c r="B1921" t="s">
        <v>1364</v>
      </c>
    </row>
    <row r="1922" spans="1:2" x14ac:dyDescent="0.25">
      <c r="A1922">
        <v>55</v>
      </c>
      <c r="B1922" t="s">
        <v>1364</v>
      </c>
    </row>
    <row r="1923" spans="1:2" x14ac:dyDescent="0.25">
      <c r="A1923">
        <v>55</v>
      </c>
      <c r="B1923" t="s">
        <v>1364</v>
      </c>
    </row>
    <row r="1924" spans="1:2" x14ac:dyDescent="0.25">
      <c r="A1924">
        <v>55</v>
      </c>
      <c r="B1924" t="s">
        <v>1364</v>
      </c>
    </row>
    <row r="1925" spans="1:2" x14ac:dyDescent="0.25">
      <c r="A1925">
        <v>55</v>
      </c>
      <c r="B1925" t="s">
        <v>1364</v>
      </c>
    </row>
    <row r="1926" spans="1:2" x14ac:dyDescent="0.25">
      <c r="A1926">
        <v>55</v>
      </c>
      <c r="B1926" t="s">
        <v>1364</v>
      </c>
    </row>
    <row r="1927" spans="1:2" x14ac:dyDescent="0.25">
      <c r="A1927">
        <v>55</v>
      </c>
      <c r="B1927" t="s">
        <v>1364</v>
      </c>
    </row>
    <row r="1928" spans="1:2" x14ac:dyDescent="0.25">
      <c r="A1928">
        <v>55</v>
      </c>
      <c r="B1928" t="s">
        <v>1364</v>
      </c>
    </row>
    <row r="1929" spans="1:2" x14ac:dyDescent="0.25">
      <c r="A1929">
        <v>55</v>
      </c>
      <c r="B1929" t="s">
        <v>1364</v>
      </c>
    </row>
    <row r="1930" spans="1:2" x14ac:dyDescent="0.25">
      <c r="A1930">
        <v>67</v>
      </c>
      <c r="B1930" t="s">
        <v>1376</v>
      </c>
    </row>
    <row r="1931" spans="1:2" x14ac:dyDescent="0.25">
      <c r="A1931">
        <v>67</v>
      </c>
      <c r="B1931" t="s">
        <v>1376</v>
      </c>
    </row>
    <row r="1932" spans="1:2" x14ac:dyDescent="0.25">
      <c r="A1932">
        <v>67</v>
      </c>
      <c r="B1932" t="s">
        <v>1376</v>
      </c>
    </row>
    <row r="1933" spans="1:2" x14ac:dyDescent="0.25">
      <c r="A1933">
        <v>67</v>
      </c>
      <c r="B1933" t="s">
        <v>1376</v>
      </c>
    </row>
    <row r="1934" spans="1:2" x14ac:dyDescent="0.25">
      <c r="A1934">
        <v>67</v>
      </c>
      <c r="B1934" t="s">
        <v>1376</v>
      </c>
    </row>
    <row r="1935" spans="1:2" x14ac:dyDescent="0.25">
      <c r="A1935">
        <v>67</v>
      </c>
      <c r="B1935" t="s">
        <v>1376</v>
      </c>
    </row>
    <row r="1936" spans="1:2" x14ac:dyDescent="0.25">
      <c r="A1936">
        <v>67</v>
      </c>
      <c r="B1936" t="s">
        <v>1376</v>
      </c>
    </row>
    <row r="1937" spans="1:2" x14ac:dyDescent="0.25">
      <c r="A1937">
        <v>1</v>
      </c>
      <c r="B1937" t="s">
        <v>1395</v>
      </c>
    </row>
    <row r="1938" spans="1:2" x14ac:dyDescent="0.25">
      <c r="A1938">
        <v>1</v>
      </c>
      <c r="B1938" t="s">
        <v>1395</v>
      </c>
    </row>
    <row r="1939" spans="1:2" x14ac:dyDescent="0.25">
      <c r="A1939">
        <v>1</v>
      </c>
      <c r="B1939" t="s">
        <v>1395</v>
      </c>
    </row>
    <row r="1940" spans="1:2" x14ac:dyDescent="0.25">
      <c r="A1940">
        <v>1</v>
      </c>
      <c r="B1940" t="s">
        <v>1395</v>
      </c>
    </row>
    <row r="1941" spans="1:2" x14ac:dyDescent="0.25">
      <c r="A1941">
        <v>1</v>
      </c>
      <c r="B1941" t="s">
        <v>1395</v>
      </c>
    </row>
    <row r="1942" spans="1:2" x14ac:dyDescent="0.25">
      <c r="A1942">
        <v>1</v>
      </c>
      <c r="B1942" t="s">
        <v>1395</v>
      </c>
    </row>
    <row r="1943" spans="1:2" x14ac:dyDescent="0.25">
      <c r="A1943">
        <v>1</v>
      </c>
      <c r="B1943" t="s">
        <v>1395</v>
      </c>
    </row>
    <row r="1947" spans="1:2" x14ac:dyDescent="0.25">
      <c r="A1947">
        <v>72</v>
      </c>
      <c r="B1947" t="s">
        <v>1380</v>
      </c>
    </row>
    <row r="1948" spans="1:2" x14ac:dyDescent="0.25">
      <c r="A1948">
        <v>72</v>
      </c>
      <c r="B1948" t="s">
        <v>1380</v>
      </c>
    </row>
    <row r="1949" spans="1:2" x14ac:dyDescent="0.25">
      <c r="A1949">
        <v>61</v>
      </c>
      <c r="B1949" t="s">
        <v>1370</v>
      </c>
    </row>
    <row r="1950" spans="1:2" x14ac:dyDescent="0.25">
      <c r="A1950">
        <v>61</v>
      </c>
      <c r="B1950" t="s">
        <v>1370</v>
      </c>
    </row>
    <row r="1951" spans="1:2" x14ac:dyDescent="0.25">
      <c r="A1951">
        <v>61</v>
      </c>
      <c r="B1951" t="s">
        <v>1370</v>
      </c>
    </row>
    <row r="1952" spans="1:2" x14ac:dyDescent="0.25">
      <c r="A1952">
        <v>61</v>
      </c>
      <c r="B1952" t="s">
        <v>1370</v>
      </c>
    </row>
    <row r="1953" spans="1:2" x14ac:dyDescent="0.25">
      <c r="A1953">
        <v>61</v>
      </c>
      <c r="B1953" t="s">
        <v>1370</v>
      </c>
    </row>
    <row r="1954" spans="1:2" x14ac:dyDescent="0.25">
      <c r="A1954">
        <v>61</v>
      </c>
      <c r="B1954" t="s">
        <v>1370</v>
      </c>
    </row>
    <row r="1955" spans="1:2" x14ac:dyDescent="0.25">
      <c r="A1955">
        <v>61</v>
      </c>
      <c r="B1955" t="s">
        <v>1370</v>
      </c>
    </row>
    <row r="1956" spans="1:2" x14ac:dyDescent="0.25">
      <c r="A1956">
        <v>61</v>
      </c>
      <c r="B1956" t="s">
        <v>1370</v>
      </c>
    </row>
    <row r="1957" spans="1:2" x14ac:dyDescent="0.25">
      <c r="A1957">
        <v>61</v>
      </c>
      <c r="B1957" t="s">
        <v>1370</v>
      </c>
    </row>
    <row r="1958" spans="1:2" x14ac:dyDescent="0.25">
      <c r="A1958">
        <v>61</v>
      </c>
      <c r="B1958" t="s">
        <v>1370</v>
      </c>
    </row>
    <row r="1959" spans="1:2" x14ac:dyDescent="0.25">
      <c r="A1959">
        <v>61</v>
      </c>
      <c r="B1959" t="s">
        <v>1370</v>
      </c>
    </row>
    <row r="1960" spans="1:2" x14ac:dyDescent="0.25">
      <c r="A1960">
        <v>61</v>
      </c>
      <c r="B1960" t="s">
        <v>1370</v>
      </c>
    </row>
    <row r="1961" spans="1:2" x14ac:dyDescent="0.25">
      <c r="A1961">
        <v>45</v>
      </c>
      <c r="B1961" t="s">
        <v>1355</v>
      </c>
    </row>
    <row r="1962" spans="1:2" x14ac:dyDescent="0.25">
      <c r="A1962">
        <v>45</v>
      </c>
      <c r="B1962" t="s">
        <v>1355</v>
      </c>
    </row>
    <row r="1963" spans="1:2" x14ac:dyDescent="0.25">
      <c r="A1963">
        <v>45</v>
      </c>
      <c r="B1963" t="s">
        <v>1355</v>
      </c>
    </row>
    <row r="1964" spans="1:2" x14ac:dyDescent="0.25">
      <c r="A1964">
        <v>45</v>
      </c>
      <c r="B1964" t="s">
        <v>1355</v>
      </c>
    </row>
    <row r="1965" spans="1:2" x14ac:dyDescent="0.25">
      <c r="A1965">
        <v>51</v>
      </c>
      <c r="B1965" t="s">
        <v>1360</v>
      </c>
    </row>
    <row r="1966" spans="1:2" x14ac:dyDescent="0.25">
      <c r="A1966">
        <v>51</v>
      </c>
      <c r="B1966" t="s">
        <v>1360</v>
      </c>
    </row>
    <row r="1967" spans="1:2" x14ac:dyDescent="0.25">
      <c r="A1967">
        <v>51</v>
      </c>
      <c r="B1967" t="s">
        <v>1360</v>
      </c>
    </row>
    <row r="1968" spans="1:2" x14ac:dyDescent="0.25">
      <c r="A1968">
        <v>51</v>
      </c>
      <c r="B1968" t="s">
        <v>1360</v>
      </c>
    </row>
    <row r="1969" spans="1:2" x14ac:dyDescent="0.25">
      <c r="A1969">
        <v>51</v>
      </c>
      <c r="B1969" t="s">
        <v>1360</v>
      </c>
    </row>
    <row r="1970" spans="1:2" x14ac:dyDescent="0.25">
      <c r="A1970">
        <v>51</v>
      </c>
      <c r="B1970" t="s">
        <v>1360</v>
      </c>
    </row>
    <row r="1971" spans="1:2" x14ac:dyDescent="0.25">
      <c r="A1971">
        <v>51</v>
      </c>
      <c r="B1971" t="s">
        <v>1360</v>
      </c>
    </row>
    <row r="1972" spans="1:2" x14ac:dyDescent="0.25">
      <c r="A1972">
        <v>55</v>
      </c>
      <c r="B1972" t="s">
        <v>1364</v>
      </c>
    </row>
    <row r="1973" spans="1:2" x14ac:dyDescent="0.25">
      <c r="A1973">
        <v>55</v>
      </c>
      <c r="B1973" t="s">
        <v>1364</v>
      </c>
    </row>
    <row r="1974" spans="1:2" x14ac:dyDescent="0.25">
      <c r="A1974">
        <v>50</v>
      </c>
      <c r="B1974" t="s">
        <v>1359</v>
      </c>
    </row>
    <row r="1975" spans="1:2" x14ac:dyDescent="0.25">
      <c r="A1975">
        <v>50</v>
      </c>
      <c r="B1975" t="s">
        <v>1359</v>
      </c>
    </row>
    <row r="1976" spans="1:2" x14ac:dyDescent="0.25">
      <c r="A1976">
        <v>50</v>
      </c>
      <c r="B1976" t="s">
        <v>1359</v>
      </c>
    </row>
    <row r="1977" spans="1:2" x14ac:dyDescent="0.25">
      <c r="A1977">
        <v>10</v>
      </c>
      <c r="B1977" t="s">
        <v>1396</v>
      </c>
    </row>
    <row r="1978" spans="1:2" x14ac:dyDescent="0.25">
      <c r="A1978">
        <v>61</v>
      </c>
      <c r="B1978" t="s">
        <v>1370</v>
      </c>
    </row>
    <row r="1979" spans="1:2" x14ac:dyDescent="0.25">
      <c r="A1979">
        <v>61</v>
      </c>
      <c r="B1979" t="s">
        <v>1370</v>
      </c>
    </row>
    <row r="1980" spans="1:2" x14ac:dyDescent="0.25">
      <c r="A1980">
        <v>61</v>
      </c>
      <c r="B1980" t="s">
        <v>1370</v>
      </c>
    </row>
    <row r="1981" spans="1:2" x14ac:dyDescent="0.25">
      <c r="A1981">
        <v>61</v>
      </c>
      <c r="B1981" t="s">
        <v>1370</v>
      </c>
    </row>
    <row r="1982" spans="1:2" x14ac:dyDescent="0.25">
      <c r="A1982">
        <v>61</v>
      </c>
      <c r="B1982" t="s">
        <v>1370</v>
      </c>
    </row>
    <row r="1983" spans="1:2" x14ac:dyDescent="0.25">
      <c r="A1983">
        <v>61</v>
      </c>
      <c r="B1983" t="s">
        <v>1370</v>
      </c>
    </row>
    <row r="1984" spans="1:2" x14ac:dyDescent="0.25">
      <c r="A1984">
        <v>61</v>
      </c>
      <c r="B1984" t="s">
        <v>1370</v>
      </c>
    </row>
    <row r="1985" spans="1:2" x14ac:dyDescent="0.25">
      <c r="A1985">
        <v>61</v>
      </c>
      <c r="B1985" t="s">
        <v>1370</v>
      </c>
    </row>
    <row r="1986" spans="1:2" x14ac:dyDescent="0.25">
      <c r="A1986">
        <v>61</v>
      </c>
      <c r="B1986" t="s">
        <v>1370</v>
      </c>
    </row>
    <row r="1987" spans="1:2" x14ac:dyDescent="0.25">
      <c r="A1987">
        <v>51</v>
      </c>
      <c r="B1987" t="s">
        <v>1360</v>
      </c>
    </row>
    <row r="1988" spans="1:2" x14ac:dyDescent="0.25">
      <c r="A1988">
        <v>54</v>
      </c>
      <c r="B1988" t="s">
        <v>1363</v>
      </c>
    </row>
    <row r="1989" spans="1:2" x14ac:dyDescent="0.25">
      <c r="A1989">
        <v>54</v>
      </c>
      <c r="B1989" t="s">
        <v>1363</v>
      </c>
    </row>
    <row r="1990" spans="1:2" x14ac:dyDescent="0.25">
      <c r="A1990">
        <v>51</v>
      </c>
      <c r="B1990" t="s">
        <v>1360</v>
      </c>
    </row>
    <row r="1991" spans="1:2" x14ac:dyDescent="0.25">
      <c r="A1991">
        <v>51</v>
      </c>
      <c r="B1991" t="s">
        <v>1360</v>
      </c>
    </row>
    <row r="1992" spans="1:2" x14ac:dyDescent="0.25">
      <c r="A1992">
        <v>51</v>
      </c>
      <c r="B1992" t="s">
        <v>1360</v>
      </c>
    </row>
    <row r="1993" spans="1:2" x14ac:dyDescent="0.25">
      <c r="A1993">
        <v>51</v>
      </c>
      <c r="B1993" t="s">
        <v>1360</v>
      </c>
    </row>
    <row r="1994" spans="1:2" x14ac:dyDescent="0.25">
      <c r="A1994">
        <v>51</v>
      </c>
      <c r="B1994" t="s">
        <v>1360</v>
      </c>
    </row>
    <row r="1995" spans="1:2" x14ac:dyDescent="0.25">
      <c r="A1995">
        <v>51</v>
      </c>
      <c r="B1995" t="s">
        <v>1360</v>
      </c>
    </row>
    <row r="1996" spans="1:2" x14ac:dyDescent="0.25">
      <c r="A1996">
        <v>51</v>
      </c>
      <c r="B1996" t="s">
        <v>1360</v>
      </c>
    </row>
    <row r="1997" spans="1:2" x14ac:dyDescent="0.25">
      <c r="A1997">
        <v>51</v>
      </c>
      <c r="B1997" t="s">
        <v>1360</v>
      </c>
    </row>
    <row r="1998" spans="1:2" x14ac:dyDescent="0.25">
      <c r="A1998">
        <v>51</v>
      </c>
      <c r="B1998" t="s">
        <v>1360</v>
      </c>
    </row>
    <row r="1999" spans="1:2" x14ac:dyDescent="0.25">
      <c r="A1999">
        <v>51</v>
      </c>
      <c r="B1999" t="s">
        <v>1360</v>
      </c>
    </row>
    <row r="2000" spans="1:2" x14ac:dyDescent="0.25">
      <c r="A2000">
        <v>51</v>
      </c>
      <c r="B2000" t="s">
        <v>1360</v>
      </c>
    </row>
    <row r="2001" spans="1:2" x14ac:dyDescent="0.25">
      <c r="A2001">
        <v>51</v>
      </c>
      <c r="B2001" t="s">
        <v>1360</v>
      </c>
    </row>
    <row r="2002" spans="1:2" x14ac:dyDescent="0.25">
      <c r="A2002">
        <v>51</v>
      </c>
      <c r="B2002" t="s">
        <v>1360</v>
      </c>
    </row>
    <row r="2003" spans="1:2" x14ac:dyDescent="0.25">
      <c r="A2003">
        <v>74</v>
      </c>
      <c r="B2003" t="s">
        <v>1382</v>
      </c>
    </row>
    <row r="2004" spans="1:2" x14ac:dyDescent="0.25">
      <c r="A2004">
        <v>67</v>
      </c>
      <c r="B2004" t="s">
        <v>1376</v>
      </c>
    </row>
    <row r="2005" spans="1:2" x14ac:dyDescent="0.25">
      <c r="A2005">
        <v>67</v>
      </c>
      <c r="B2005" t="s">
        <v>1376</v>
      </c>
    </row>
    <row r="2006" spans="1:2" x14ac:dyDescent="0.25">
      <c r="A2006">
        <v>72</v>
      </c>
      <c r="B2006" t="s">
        <v>1380</v>
      </c>
    </row>
    <row r="2007" spans="1:2" x14ac:dyDescent="0.25">
      <c r="A2007">
        <v>72</v>
      </c>
      <c r="B2007" t="s">
        <v>1380</v>
      </c>
    </row>
    <row r="2008" spans="1:2" x14ac:dyDescent="0.25">
      <c r="A2008">
        <v>72</v>
      </c>
      <c r="B2008" t="s">
        <v>1380</v>
      </c>
    </row>
    <row r="2009" spans="1:2" x14ac:dyDescent="0.25">
      <c r="A2009">
        <v>72</v>
      </c>
      <c r="B2009" t="s">
        <v>1380</v>
      </c>
    </row>
    <row r="2010" spans="1:2" x14ac:dyDescent="0.25">
      <c r="A2010">
        <v>89</v>
      </c>
      <c r="B2010" t="s">
        <v>1390</v>
      </c>
    </row>
    <row r="2011" spans="1:2" x14ac:dyDescent="0.25">
      <c r="A2011">
        <v>89</v>
      </c>
      <c r="B2011" t="s">
        <v>1390</v>
      </c>
    </row>
    <row r="2012" spans="1:2" x14ac:dyDescent="0.25">
      <c r="A2012">
        <v>89</v>
      </c>
      <c r="B2012" t="s">
        <v>1390</v>
      </c>
    </row>
    <row r="2013" spans="1:2" x14ac:dyDescent="0.25">
      <c r="A2013">
        <v>55</v>
      </c>
      <c r="B2013" t="s">
        <v>1364</v>
      </c>
    </row>
    <row r="2014" spans="1:2" x14ac:dyDescent="0.25">
      <c r="A2014">
        <v>55</v>
      </c>
      <c r="B2014" t="s">
        <v>1364</v>
      </c>
    </row>
    <row r="2015" spans="1:2" x14ac:dyDescent="0.25">
      <c r="A2015">
        <v>55</v>
      </c>
      <c r="B2015" t="s">
        <v>1364</v>
      </c>
    </row>
    <row r="2016" spans="1:2" x14ac:dyDescent="0.25">
      <c r="A2016">
        <v>67</v>
      </c>
      <c r="B2016" t="s">
        <v>1376</v>
      </c>
    </row>
    <row r="2017" spans="1:2" x14ac:dyDescent="0.25">
      <c r="A2017">
        <v>89</v>
      </c>
      <c r="B2017" t="s">
        <v>1390</v>
      </c>
    </row>
    <row r="2018" spans="1:2" x14ac:dyDescent="0.25">
      <c r="A2018">
        <v>89</v>
      </c>
      <c r="B2018" t="s">
        <v>1390</v>
      </c>
    </row>
    <row r="2019" spans="1:2" x14ac:dyDescent="0.25">
      <c r="A2019">
        <v>89</v>
      </c>
      <c r="B2019" t="s">
        <v>1390</v>
      </c>
    </row>
    <row r="2020" spans="1:2" x14ac:dyDescent="0.25">
      <c r="A2020">
        <v>89</v>
      </c>
      <c r="B2020" t="s">
        <v>1390</v>
      </c>
    </row>
    <row r="2021" spans="1:2" x14ac:dyDescent="0.25">
      <c r="A2021">
        <v>55</v>
      </c>
      <c r="B2021" t="s">
        <v>1364</v>
      </c>
    </row>
    <row r="2022" spans="1:2" x14ac:dyDescent="0.25">
      <c r="A2022">
        <v>55</v>
      </c>
      <c r="B2022" t="s">
        <v>1364</v>
      </c>
    </row>
    <row r="2023" spans="1:2" x14ac:dyDescent="0.25">
      <c r="A2023">
        <v>69</v>
      </c>
      <c r="B2023" t="s">
        <v>1377</v>
      </c>
    </row>
    <row r="2024" spans="1:2" x14ac:dyDescent="0.25">
      <c r="A2024">
        <v>76</v>
      </c>
      <c r="B2024" t="s">
        <v>1383</v>
      </c>
    </row>
    <row r="2025" spans="1:2" x14ac:dyDescent="0.25">
      <c r="A2025">
        <v>76</v>
      </c>
      <c r="B2025" t="s">
        <v>1383</v>
      </c>
    </row>
    <row r="2026" spans="1:2" x14ac:dyDescent="0.25">
      <c r="A2026">
        <v>76</v>
      </c>
      <c r="B2026" t="s">
        <v>1383</v>
      </c>
    </row>
    <row r="2027" spans="1:2" x14ac:dyDescent="0.25">
      <c r="A2027">
        <v>76</v>
      </c>
      <c r="B2027" t="s">
        <v>1383</v>
      </c>
    </row>
    <row r="2028" spans="1:2" x14ac:dyDescent="0.25">
      <c r="A2028">
        <v>76</v>
      </c>
      <c r="B2028" t="s">
        <v>1383</v>
      </c>
    </row>
    <row r="2029" spans="1:2" x14ac:dyDescent="0.25">
      <c r="A2029">
        <v>76</v>
      </c>
      <c r="B2029" t="s">
        <v>1383</v>
      </c>
    </row>
    <row r="2030" spans="1:2" x14ac:dyDescent="0.25">
      <c r="A2030">
        <v>76</v>
      </c>
      <c r="B2030" t="s">
        <v>1383</v>
      </c>
    </row>
    <row r="2031" spans="1:2" x14ac:dyDescent="0.25">
      <c r="A2031">
        <v>76</v>
      </c>
      <c r="B2031" t="s">
        <v>1383</v>
      </c>
    </row>
    <row r="2032" spans="1:2" x14ac:dyDescent="0.25">
      <c r="A2032">
        <v>76</v>
      </c>
      <c r="B2032" t="s">
        <v>1383</v>
      </c>
    </row>
    <row r="2033" spans="1:2" x14ac:dyDescent="0.25">
      <c r="A2033">
        <v>72</v>
      </c>
      <c r="B2033" t="s">
        <v>1380</v>
      </c>
    </row>
    <row r="2034" spans="1:2" x14ac:dyDescent="0.25">
      <c r="A2034">
        <v>72</v>
      </c>
      <c r="B2034" t="s">
        <v>1380</v>
      </c>
    </row>
    <row r="2035" spans="1:2" x14ac:dyDescent="0.25">
      <c r="A2035">
        <v>72</v>
      </c>
      <c r="B2035" t="s">
        <v>1380</v>
      </c>
    </row>
    <row r="2036" spans="1:2" x14ac:dyDescent="0.25">
      <c r="A2036">
        <v>72</v>
      </c>
      <c r="B2036" t="s">
        <v>1380</v>
      </c>
    </row>
    <row r="2037" spans="1:2" x14ac:dyDescent="0.25">
      <c r="A2037">
        <v>62</v>
      </c>
      <c r="B2037" t="s">
        <v>1371</v>
      </c>
    </row>
    <row r="2038" spans="1:2" x14ac:dyDescent="0.25">
      <c r="A2038">
        <v>72</v>
      </c>
      <c r="B2038" t="s">
        <v>1380</v>
      </c>
    </row>
    <row r="2039" spans="1:2" x14ac:dyDescent="0.25">
      <c r="A2039">
        <v>72</v>
      </c>
      <c r="B2039" t="s">
        <v>1380</v>
      </c>
    </row>
    <row r="2040" spans="1:2" x14ac:dyDescent="0.25">
      <c r="A2040">
        <v>72</v>
      </c>
      <c r="B2040" t="s">
        <v>1380</v>
      </c>
    </row>
    <row r="2041" spans="1:2" x14ac:dyDescent="0.25">
      <c r="A2041">
        <v>51</v>
      </c>
      <c r="B2041" t="s">
        <v>1360</v>
      </c>
    </row>
    <row r="2042" spans="1:2" x14ac:dyDescent="0.25">
      <c r="A2042">
        <v>72</v>
      </c>
      <c r="B2042" t="s">
        <v>1380</v>
      </c>
    </row>
    <row r="2043" spans="1:2" x14ac:dyDescent="0.25">
      <c r="A2043">
        <v>45</v>
      </c>
      <c r="B2043" t="s">
        <v>1355</v>
      </c>
    </row>
    <row r="2044" spans="1:2" x14ac:dyDescent="0.25">
      <c r="A2044">
        <v>45</v>
      </c>
      <c r="B2044" t="s">
        <v>1355</v>
      </c>
    </row>
    <row r="2045" spans="1:2" x14ac:dyDescent="0.25">
      <c r="A2045">
        <v>45</v>
      </c>
      <c r="B2045" t="s">
        <v>1355</v>
      </c>
    </row>
    <row r="2046" spans="1:2" x14ac:dyDescent="0.25">
      <c r="A2046">
        <v>72</v>
      </c>
      <c r="B2046" t="s">
        <v>1380</v>
      </c>
    </row>
    <row r="2047" spans="1:2" x14ac:dyDescent="0.25">
      <c r="A2047">
        <v>72</v>
      </c>
      <c r="B2047" t="s">
        <v>1380</v>
      </c>
    </row>
    <row r="2048" spans="1:2" x14ac:dyDescent="0.25">
      <c r="A2048">
        <v>72</v>
      </c>
      <c r="B2048" t="s">
        <v>1380</v>
      </c>
    </row>
    <row r="2049" spans="1:2" x14ac:dyDescent="0.25">
      <c r="A2049">
        <v>72</v>
      </c>
      <c r="B2049" t="s">
        <v>1380</v>
      </c>
    </row>
    <row r="2050" spans="1:2" x14ac:dyDescent="0.25">
      <c r="A2050">
        <v>72</v>
      </c>
      <c r="B2050" t="s">
        <v>1380</v>
      </c>
    </row>
    <row r="2051" spans="1:2" x14ac:dyDescent="0.25">
      <c r="A2051">
        <v>72</v>
      </c>
      <c r="B2051" t="s">
        <v>1380</v>
      </c>
    </row>
    <row r="2052" spans="1:2" x14ac:dyDescent="0.25">
      <c r="A2052">
        <v>72</v>
      </c>
      <c r="B2052" t="s">
        <v>1380</v>
      </c>
    </row>
    <row r="2053" spans="1:2" x14ac:dyDescent="0.25">
      <c r="A2053">
        <v>72</v>
      </c>
      <c r="B2053" t="s">
        <v>1380</v>
      </c>
    </row>
    <row r="2054" spans="1:2" x14ac:dyDescent="0.25">
      <c r="A2054">
        <v>73</v>
      </c>
      <c r="B2054" t="s">
        <v>1381</v>
      </c>
    </row>
    <row r="2055" spans="1:2" x14ac:dyDescent="0.25">
      <c r="A2055">
        <v>73</v>
      </c>
      <c r="B2055" t="s">
        <v>1381</v>
      </c>
    </row>
    <row r="2056" spans="1:2" x14ac:dyDescent="0.25">
      <c r="A2056">
        <v>61</v>
      </c>
      <c r="B2056" t="s">
        <v>1370</v>
      </c>
    </row>
    <row r="2057" spans="1:2" x14ac:dyDescent="0.25">
      <c r="A2057">
        <v>78</v>
      </c>
      <c r="B2057" t="s">
        <v>1384</v>
      </c>
    </row>
    <row r="2058" spans="1:2" x14ac:dyDescent="0.25">
      <c r="A2058">
        <v>78</v>
      </c>
      <c r="B2058" t="s">
        <v>1384</v>
      </c>
    </row>
    <row r="2059" spans="1:2" x14ac:dyDescent="0.25">
      <c r="A2059">
        <v>62</v>
      </c>
      <c r="B2059" t="s">
        <v>1371</v>
      </c>
    </row>
    <row r="2060" spans="1:2" x14ac:dyDescent="0.25">
      <c r="A2060">
        <v>62</v>
      </c>
      <c r="B2060" t="s">
        <v>1371</v>
      </c>
    </row>
    <row r="2061" spans="1:2" x14ac:dyDescent="0.25">
      <c r="A2061">
        <v>62</v>
      </c>
      <c r="B2061" t="s">
        <v>1371</v>
      </c>
    </row>
    <row r="2062" spans="1:2" x14ac:dyDescent="0.25">
      <c r="A2062">
        <v>62</v>
      </c>
      <c r="B2062" t="s">
        <v>1371</v>
      </c>
    </row>
    <row r="2063" spans="1:2" x14ac:dyDescent="0.25">
      <c r="A2063">
        <v>54</v>
      </c>
      <c r="B2063" t="s">
        <v>1363</v>
      </c>
    </row>
    <row r="2064" spans="1:2" x14ac:dyDescent="0.25">
      <c r="A2064">
        <v>54</v>
      </c>
      <c r="B2064" t="s">
        <v>1363</v>
      </c>
    </row>
    <row r="2065" spans="1:2" x14ac:dyDescent="0.25">
      <c r="A2065">
        <v>54</v>
      </c>
      <c r="B2065" t="s">
        <v>1363</v>
      </c>
    </row>
    <row r="2066" spans="1:2" x14ac:dyDescent="0.25">
      <c r="A2066">
        <v>54</v>
      </c>
      <c r="B2066" t="s">
        <v>1363</v>
      </c>
    </row>
    <row r="2067" spans="1:2" x14ac:dyDescent="0.25">
      <c r="A2067">
        <v>54</v>
      </c>
      <c r="B2067" t="s">
        <v>1363</v>
      </c>
    </row>
    <row r="2068" spans="1:2" x14ac:dyDescent="0.25">
      <c r="A2068">
        <v>54</v>
      </c>
      <c r="B2068" t="s">
        <v>1363</v>
      </c>
    </row>
    <row r="2069" spans="1:2" x14ac:dyDescent="0.25">
      <c r="A2069">
        <v>54</v>
      </c>
      <c r="B2069" t="s">
        <v>1363</v>
      </c>
    </row>
    <row r="2070" spans="1:2" x14ac:dyDescent="0.25">
      <c r="A2070">
        <v>54</v>
      </c>
      <c r="B2070" t="s">
        <v>1363</v>
      </c>
    </row>
    <row r="2071" spans="1:2" x14ac:dyDescent="0.25">
      <c r="A2071">
        <v>54</v>
      </c>
      <c r="B2071" t="s">
        <v>1363</v>
      </c>
    </row>
    <row r="2072" spans="1:2" x14ac:dyDescent="0.25">
      <c r="A2072">
        <v>54</v>
      </c>
      <c r="B2072" t="s">
        <v>1363</v>
      </c>
    </row>
    <row r="2073" spans="1:2" x14ac:dyDescent="0.25">
      <c r="A2073">
        <v>54</v>
      </c>
      <c r="B2073" t="s">
        <v>1363</v>
      </c>
    </row>
    <row r="2074" spans="1:2" x14ac:dyDescent="0.25">
      <c r="A2074">
        <v>54</v>
      </c>
      <c r="B2074" t="s">
        <v>1363</v>
      </c>
    </row>
    <row r="2075" spans="1:2" x14ac:dyDescent="0.25">
      <c r="A2075">
        <v>54</v>
      </c>
      <c r="B2075" t="s">
        <v>1363</v>
      </c>
    </row>
    <row r="2076" spans="1:2" x14ac:dyDescent="0.25">
      <c r="A2076">
        <v>54</v>
      </c>
      <c r="B2076" t="s">
        <v>1363</v>
      </c>
    </row>
    <row r="2077" spans="1:2" x14ac:dyDescent="0.25">
      <c r="A2077">
        <v>54</v>
      </c>
      <c r="B2077" t="s">
        <v>1363</v>
      </c>
    </row>
    <row r="2078" spans="1:2" x14ac:dyDescent="0.25">
      <c r="A2078">
        <v>54</v>
      </c>
      <c r="B2078" t="s">
        <v>1363</v>
      </c>
    </row>
    <row r="2079" spans="1:2" x14ac:dyDescent="0.25">
      <c r="A2079">
        <v>54</v>
      </c>
      <c r="B2079" t="s">
        <v>1363</v>
      </c>
    </row>
    <row r="2080" spans="1:2" x14ac:dyDescent="0.25">
      <c r="A2080">
        <v>54</v>
      </c>
      <c r="B2080" t="s">
        <v>1363</v>
      </c>
    </row>
    <row r="2081" spans="1:2" x14ac:dyDescent="0.25">
      <c r="A2081">
        <v>54</v>
      </c>
      <c r="B2081" t="s">
        <v>1363</v>
      </c>
    </row>
    <row r="2082" spans="1:2" x14ac:dyDescent="0.25">
      <c r="A2082">
        <v>54</v>
      </c>
      <c r="B2082" t="s">
        <v>1363</v>
      </c>
    </row>
    <row r="2083" spans="1:2" x14ac:dyDescent="0.25">
      <c r="A2083">
        <v>54</v>
      </c>
      <c r="B2083" t="s">
        <v>1363</v>
      </c>
    </row>
    <row r="2084" spans="1:2" x14ac:dyDescent="0.25">
      <c r="A2084">
        <v>54</v>
      </c>
      <c r="B2084" t="s">
        <v>1363</v>
      </c>
    </row>
    <row r="2085" spans="1:2" x14ac:dyDescent="0.25">
      <c r="A2085">
        <v>54</v>
      </c>
      <c r="B2085" t="s">
        <v>1363</v>
      </c>
    </row>
    <row r="2086" spans="1:2" x14ac:dyDescent="0.25">
      <c r="A2086">
        <v>54</v>
      </c>
      <c r="B2086" t="s">
        <v>1363</v>
      </c>
    </row>
    <row r="2087" spans="1:2" x14ac:dyDescent="0.25">
      <c r="A2087">
        <v>54</v>
      </c>
      <c r="B2087" t="s">
        <v>1363</v>
      </c>
    </row>
    <row r="2088" spans="1:2" x14ac:dyDescent="0.25">
      <c r="A2088">
        <v>54</v>
      </c>
      <c r="B2088" t="s">
        <v>1363</v>
      </c>
    </row>
    <row r="2089" spans="1:2" x14ac:dyDescent="0.25">
      <c r="A2089">
        <v>72</v>
      </c>
      <c r="B2089" t="s">
        <v>1380</v>
      </c>
    </row>
    <row r="2090" spans="1:2" x14ac:dyDescent="0.25">
      <c r="A2090">
        <v>74</v>
      </c>
      <c r="B2090" t="s">
        <v>1382</v>
      </c>
    </row>
    <row r="2091" spans="1:2" x14ac:dyDescent="0.25">
      <c r="A2091">
        <v>74</v>
      </c>
      <c r="B2091" t="s">
        <v>1382</v>
      </c>
    </row>
    <row r="2092" spans="1:2" x14ac:dyDescent="0.25">
      <c r="A2092">
        <v>76</v>
      </c>
      <c r="B2092" t="s">
        <v>1383</v>
      </c>
    </row>
    <row r="2093" spans="1:2" x14ac:dyDescent="0.25">
      <c r="A2093">
        <v>76</v>
      </c>
      <c r="B2093" t="s">
        <v>1383</v>
      </c>
    </row>
    <row r="2094" spans="1:2" x14ac:dyDescent="0.25">
      <c r="A2094">
        <v>76</v>
      </c>
      <c r="B2094" t="s">
        <v>1383</v>
      </c>
    </row>
    <row r="2095" spans="1:2" x14ac:dyDescent="0.25">
      <c r="A2095">
        <v>55</v>
      </c>
      <c r="B2095" t="s">
        <v>1364</v>
      </c>
    </row>
    <row r="2096" spans="1:2" x14ac:dyDescent="0.25">
      <c r="A2096">
        <v>55</v>
      </c>
      <c r="B2096" t="s">
        <v>1364</v>
      </c>
    </row>
    <row r="2097" spans="1:2" x14ac:dyDescent="0.25">
      <c r="A2097">
        <v>56</v>
      </c>
      <c r="B2097" t="s">
        <v>1365</v>
      </c>
    </row>
    <row r="2098" spans="1:2" x14ac:dyDescent="0.25">
      <c r="A2098">
        <v>56</v>
      </c>
      <c r="B2098" t="s">
        <v>1365</v>
      </c>
    </row>
    <row r="2099" spans="1:2" x14ac:dyDescent="0.25">
      <c r="A2099">
        <v>70</v>
      </c>
      <c r="B2099" t="s">
        <v>1378</v>
      </c>
    </row>
    <row r="2100" spans="1:2" x14ac:dyDescent="0.25">
      <c r="A2100">
        <v>70</v>
      </c>
      <c r="B2100" t="s">
        <v>1378</v>
      </c>
    </row>
    <row r="2101" spans="1:2" x14ac:dyDescent="0.25">
      <c r="A2101">
        <v>70</v>
      </c>
      <c r="B2101" t="s">
        <v>1378</v>
      </c>
    </row>
    <row r="2102" spans="1:2" x14ac:dyDescent="0.25">
      <c r="A2102">
        <v>70</v>
      </c>
      <c r="B2102" t="s">
        <v>1378</v>
      </c>
    </row>
    <row r="2103" spans="1:2" x14ac:dyDescent="0.25">
      <c r="A2103">
        <v>70</v>
      </c>
      <c r="B2103" t="s">
        <v>1378</v>
      </c>
    </row>
    <row r="2104" spans="1:2" x14ac:dyDescent="0.25">
      <c r="A2104">
        <v>70</v>
      </c>
      <c r="B2104" t="s">
        <v>1378</v>
      </c>
    </row>
    <row r="2105" spans="1:2" x14ac:dyDescent="0.25">
      <c r="A2105">
        <v>72</v>
      </c>
      <c r="B2105" t="s">
        <v>1380</v>
      </c>
    </row>
    <row r="2106" spans="1:2" x14ac:dyDescent="0.25">
      <c r="A2106">
        <v>61</v>
      </c>
      <c r="B2106" t="s">
        <v>1370</v>
      </c>
    </row>
    <row r="2107" spans="1:2" x14ac:dyDescent="0.25">
      <c r="A2107">
        <v>61</v>
      </c>
      <c r="B2107" t="s">
        <v>1370</v>
      </c>
    </row>
    <row r="2108" spans="1:2" x14ac:dyDescent="0.25">
      <c r="A2108">
        <v>61</v>
      </c>
      <c r="B2108" t="s">
        <v>1370</v>
      </c>
    </row>
    <row r="2109" spans="1:2" x14ac:dyDescent="0.25">
      <c r="A2109">
        <v>61</v>
      </c>
      <c r="B2109" t="s">
        <v>1370</v>
      </c>
    </row>
    <row r="2110" spans="1:2" x14ac:dyDescent="0.25">
      <c r="A2110">
        <v>61</v>
      </c>
      <c r="B2110" t="s">
        <v>1370</v>
      </c>
    </row>
    <row r="2111" spans="1:2" x14ac:dyDescent="0.25">
      <c r="A2111">
        <v>72</v>
      </c>
      <c r="B2111" t="s">
        <v>1380</v>
      </c>
    </row>
    <row r="2112" spans="1:2" x14ac:dyDescent="0.25">
      <c r="A2112">
        <v>61</v>
      </c>
      <c r="B2112" t="s">
        <v>1370</v>
      </c>
    </row>
    <row r="2113" spans="1:2" x14ac:dyDescent="0.25">
      <c r="A2113">
        <v>61</v>
      </c>
      <c r="B2113" t="s">
        <v>1370</v>
      </c>
    </row>
    <row r="2114" spans="1:2" x14ac:dyDescent="0.25">
      <c r="A2114">
        <v>54</v>
      </c>
      <c r="B2114" t="s">
        <v>1363</v>
      </c>
    </row>
    <row r="2115" spans="1:2" x14ac:dyDescent="0.25">
      <c r="A2115">
        <v>54</v>
      </c>
      <c r="B2115" t="s">
        <v>1363</v>
      </c>
    </row>
    <row r="2116" spans="1:2" x14ac:dyDescent="0.25">
      <c r="A2116">
        <v>60</v>
      </c>
      <c r="B2116" t="s">
        <v>1369</v>
      </c>
    </row>
    <row r="2117" spans="1:2" x14ac:dyDescent="0.25">
      <c r="A2117">
        <v>76</v>
      </c>
      <c r="B2117" t="s">
        <v>1383</v>
      </c>
    </row>
    <row r="2118" spans="1:2" x14ac:dyDescent="0.25">
      <c r="A2118">
        <v>55</v>
      </c>
      <c r="B2118" t="s">
        <v>1364</v>
      </c>
    </row>
    <row r="2119" spans="1:2" x14ac:dyDescent="0.25">
      <c r="A2119">
        <v>55</v>
      </c>
      <c r="B2119" t="s">
        <v>1364</v>
      </c>
    </row>
    <row r="2120" spans="1:2" x14ac:dyDescent="0.25">
      <c r="A2120">
        <v>55</v>
      </c>
      <c r="B2120" t="s">
        <v>1364</v>
      </c>
    </row>
    <row r="2121" spans="1:2" x14ac:dyDescent="0.25">
      <c r="A2121">
        <v>55</v>
      </c>
      <c r="B2121" t="s">
        <v>1364</v>
      </c>
    </row>
    <row r="2122" spans="1:2" x14ac:dyDescent="0.25">
      <c r="A2122">
        <v>61</v>
      </c>
      <c r="B2122" t="s">
        <v>1370</v>
      </c>
    </row>
    <row r="2123" spans="1:2" x14ac:dyDescent="0.25">
      <c r="A2123">
        <v>69</v>
      </c>
      <c r="B2123" t="s">
        <v>1377</v>
      </c>
    </row>
    <row r="2124" spans="1:2" x14ac:dyDescent="0.25">
      <c r="A2124">
        <v>52</v>
      </c>
      <c r="B2124" t="s">
        <v>1362</v>
      </c>
    </row>
    <row r="2125" spans="1:2" x14ac:dyDescent="0.25">
      <c r="A2125">
        <v>52</v>
      </c>
      <c r="B2125" t="s">
        <v>1362</v>
      </c>
    </row>
    <row r="2126" spans="1:2" x14ac:dyDescent="0.25">
      <c r="A2126">
        <v>55</v>
      </c>
      <c r="B2126" t="s">
        <v>1364</v>
      </c>
    </row>
    <row r="2127" spans="1:2" x14ac:dyDescent="0.25">
      <c r="A2127">
        <v>78</v>
      </c>
      <c r="B2127" t="s">
        <v>1384</v>
      </c>
    </row>
    <row r="2128" spans="1:2" x14ac:dyDescent="0.25">
      <c r="A2128">
        <v>78</v>
      </c>
      <c r="B2128" t="s">
        <v>1384</v>
      </c>
    </row>
    <row r="2129" spans="1:2" x14ac:dyDescent="0.25">
      <c r="A2129">
        <v>69</v>
      </c>
      <c r="B2129" t="s">
        <v>1377</v>
      </c>
    </row>
    <row r="2130" spans="1:2" x14ac:dyDescent="0.25">
      <c r="A2130">
        <v>69</v>
      </c>
      <c r="B2130" t="s">
        <v>1377</v>
      </c>
    </row>
    <row r="2131" spans="1:2" x14ac:dyDescent="0.25">
      <c r="A2131">
        <v>69</v>
      </c>
      <c r="B2131" t="s">
        <v>1377</v>
      </c>
    </row>
    <row r="2132" spans="1:2" x14ac:dyDescent="0.25">
      <c r="A2132">
        <v>74</v>
      </c>
      <c r="B2132" t="s">
        <v>1382</v>
      </c>
    </row>
    <row r="2133" spans="1:2" x14ac:dyDescent="0.25">
      <c r="A2133">
        <v>74</v>
      </c>
      <c r="B2133" t="s">
        <v>1382</v>
      </c>
    </row>
    <row r="2134" spans="1:2" x14ac:dyDescent="0.25">
      <c r="A2134">
        <v>74</v>
      </c>
      <c r="B2134" t="s">
        <v>1382</v>
      </c>
    </row>
    <row r="2135" spans="1:2" x14ac:dyDescent="0.25">
      <c r="A2135">
        <v>74</v>
      </c>
      <c r="B2135" t="s">
        <v>1382</v>
      </c>
    </row>
    <row r="2136" spans="1:2" x14ac:dyDescent="0.25">
      <c r="A2136">
        <v>74</v>
      </c>
      <c r="B2136" t="s">
        <v>1382</v>
      </c>
    </row>
    <row r="2137" spans="1:2" x14ac:dyDescent="0.25">
      <c r="A2137">
        <v>52</v>
      </c>
      <c r="B2137" t="s">
        <v>1362</v>
      </c>
    </row>
    <row r="2138" spans="1:2" x14ac:dyDescent="0.25">
      <c r="A2138">
        <v>70</v>
      </c>
      <c r="B2138" t="s">
        <v>1378</v>
      </c>
    </row>
    <row r="2139" spans="1:2" x14ac:dyDescent="0.25">
      <c r="A2139">
        <v>70</v>
      </c>
      <c r="B2139" t="s">
        <v>1378</v>
      </c>
    </row>
    <row r="2140" spans="1:2" x14ac:dyDescent="0.25">
      <c r="A2140">
        <v>55</v>
      </c>
      <c r="B2140" t="s">
        <v>1364</v>
      </c>
    </row>
    <row r="2141" spans="1:2" x14ac:dyDescent="0.25">
      <c r="A2141">
        <v>61</v>
      </c>
      <c r="B2141" t="s">
        <v>1370</v>
      </c>
    </row>
    <row r="2142" spans="1:2" x14ac:dyDescent="0.25">
      <c r="A2142">
        <v>55</v>
      </c>
      <c r="B2142" t="s">
        <v>1364</v>
      </c>
    </row>
    <row r="2143" spans="1:2" x14ac:dyDescent="0.25">
      <c r="A2143">
        <v>55</v>
      </c>
      <c r="B2143" t="s">
        <v>1364</v>
      </c>
    </row>
    <row r="2144" spans="1:2" x14ac:dyDescent="0.25">
      <c r="A2144">
        <v>55</v>
      </c>
      <c r="B2144" t="s">
        <v>1364</v>
      </c>
    </row>
    <row r="2145" spans="1:2" x14ac:dyDescent="0.25">
      <c r="A2145">
        <v>55</v>
      </c>
      <c r="B2145" t="s">
        <v>1364</v>
      </c>
    </row>
    <row r="2146" spans="1:2" x14ac:dyDescent="0.25">
      <c r="A2146">
        <v>51</v>
      </c>
      <c r="B2146" t="s">
        <v>1360</v>
      </c>
    </row>
    <row r="2147" spans="1:2" x14ac:dyDescent="0.25">
      <c r="A2147">
        <v>51</v>
      </c>
      <c r="B2147" t="s">
        <v>1360</v>
      </c>
    </row>
    <row r="2148" spans="1:2" x14ac:dyDescent="0.25">
      <c r="A2148">
        <v>78</v>
      </c>
      <c r="B2148" t="s">
        <v>1384</v>
      </c>
    </row>
    <row r="2149" spans="1:2" x14ac:dyDescent="0.25">
      <c r="A2149">
        <v>78</v>
      </c>
      <c r="B2149" t="s">
        <v>1384</v>
      </c>
    </row>
    <row r="2150" spans="1:2" x14ac:dyDescent="0.25">
      <c r="A2150">
        <v>78</v>
      </c>
      <c r="B2150" t="s">
        <v>1384</v>
      </c>
    </row>
    <row r="2151" spans="1:2" x14ac:dyDescent="0.25">
      <c r="A2151">
        <v>78</v>
      </c>
      <c r="B2151" t="s">
        <v>1384</v>
      </c>
    </row>
    <row r="2152" spans="1:2" x14ac:dyDescent="0.25">
      <c r="A2152">
        <v>51</v>
      </c>
      <c r="B2152" t="s">
        <v>1360</v>
      </c>
    </row>
    <row r="2153" spans="1:2" x14ac:dyDescent="0.25">
      <c r="A2153">
        <v>51</v>
      </c>
      <c r="B2153" t="s">
        <v>1360</v>
      </c>
    </row>
    <row r="2154" spans="1:2" x14ac:dyDescent="0.25">
      <c r="A2154">
        <v>51</v>
      </c>
      <c r="B2154" t="s">
        <v>1360</v>
      </c>
    </row>
    <row r="2155" spans="1:2" x14ac:dyDescent="0.25">
      <c r="A2155">
        <v>61</v>
      </c>
      <c r="B2155" t="s">
        <v>1370</v>
      </c>
    </row>
    <row r="2156" spans="1:2" x14ac:dyDescent="0.25">
      <c r="A2156">
        <v>61</v>
      </c>
      <c r="B2156" t="s">
        <v>1370</v>
      </c>
    </row>
    <row r="2157" spans="1:2" x14ac:dyDescent="0.25">
      <c r="A2157">
        <v>61</v>
      </c>
      <c r="B2157" t="s">
        <v>1370</v>
      </c>
    </row>
    <row r="2158" spans="1:2" x14ac:dyDescent="0.25">
      <c r="A2158">
        <v>61</v>
      </c>
      <c r="B2158" t="s">
        <v>1370</v>
      </c>
    </row>
    <row r="2159" spans="1:2" x14ac:dyDescent="0.25">
      <c r="A2159">
        <v>61</v>
      </c>
      <c r="B2159" t="s">
        <v>1370</v>
      </c>
    </row>
    <row r="2160" spans="1:2" x14ac:dyDescent="0.25">
      <c r="A2160">
        <v>61</v>
      </c>
      <c r="B2160" t="s">
        <v>1370</v>
      </c>
    </row>
    <row r="2161" spans="1:2" x14ac:dyDescent="0.25">
      <c r="A2161">
        <v>61</v>
      </c>
      <c r="B2161" t="s">
        <v>1370</v>
      </c>
    </row>
    <row r="2162" spans="1:2" x14ac:dyDescent="0.25">
      <c r="A2162">
        <v>61</v>
      </c>
      <c r="B2162" t="s">
        <v>1370</v>
      </c>
    </row>
    <row r="2163" spans="1:2" x14ac:dyDescent="0.25">
      <c r="A2163">
        <v>61</v>
      </c>
      <c r="B2163" t="s">
        <v>1370</v>
      </c>
    </row>
    <row r="2164" spans="1:2" x14ac:dyDescent="0.25">
      <c r="A2164">
        <v>61</v>
      </c>
      <c r="B2164" t="s">
        <v>1370</v>
      </c>
    </row>
    <row r="2165" spans="1:2" x14ac:dyDescent="0.25">
      <c r="A2165">
        <v>61</v>
      </c>
      <c r="B2165" t="s">
        <v>1370</v>
      </c>
    </row>
    <row r="2166" spans="1:2" x14ac:dyDescent="0.25">
      <c r="A2166">
        <v>61</v>
      </c>
      <c r="B2166" t="s">
        <v>1370</v>
      </c>
    </row>
    <row r="2167" spans="1:2" x14ac:dyDescent="0.25">
      <c r="A2167">
        <v>61</v>
      </c>
      <c r="B2167" t="s">
        <v>1370</v>
      </c>
    </row>
    <row r="2168" spans="1:2" x14ac:dyDescent="0.25">
      <c r="A2168">
        <v>61</v>
      </c>
      <c r="B2168" t="s">
        <v>1370</v>
      </c>
    </row>
    <row r="2169" spans="1:2" x14ac:dyDescent="0.25">
      <c r="A2169">
        <v>61</v>
      </c>
      <c r="B2169" t="s">
        <v>1370</v>
      </c>
    </row>
    <row r="2170" spans="1:2" x14ac:dyDescent="0.25">
      <c r="A2170">
        <v>61</v>
      </c>
      <c r="B2170" t="s">
        <v>1370</v>
      </c>
    </row>
    <row r="2171" spans="1:2" x14ac:dyDescent="0.25">
      <c r="A2171">
        <v>54</v>
      </c>
      <c r="B2171" t="s">
        <v>1363</v>
      </c>
    </row>
    <row r="2172" spans="1:2" x14ac:dyDescent="0.25">
      <c r="A2172">
        <v>51</v>
      </c>
      <c r="B2172" t="s">
        <v>1360</v>
      </c>
    </row>
    <row r="2173" spans="1:2" x14ac:dyDescent="0.25">
      <c r="A2173">
        <v>51</v>
      </c>
      <c r="B2173" t="s">
        <v>1360</v>
      </c>
    </row>
    <row r="2174" spans="1:2" x14ac:dyDescent="0.25">
      <c r="A2174">
        <v>51</v>
      </c>
      <c r="B2174" t="s">
        <v>1360</v>
      </c>
    </row>
    <row r="2175" spans="1:2" x14ac:dyDescent="0.25">
      <c r="A2175">
        <v>51</v>
      </c>
      <c r="B2175" t="s">
        <v>1360</v>
      </c>
    </row>
    <row r="2176" spans="1:2" x14ac:dyDescent="0.25">
      <c r="A2176">
        <v>51</v>
      </c>
      <c r="B2176" t="s">
        <v>1360</v>
      </c>
    </row>
    <row r="2177" spans="1:2" x14ac:dyDescent="0.25">
      <c r="A2177">
        <v>51</v>
      </c>
      <c r="B2177" t="s">
        <v>1360</v>
      </c>
    </row>
    <row r="2178" spans="1:2" x14ac:dyDescent="0.25">
      <c r="A2178">
        <v>51</v>
      </c>
      <c r="B2178" t="s">
        <v>1360</v>
      </c>
    </row>
    <row r="2179" spans="1:2" x14ac:dyDescent="0.25">
      <c r="A2179">
        <v>51</v>
      </c>
      <c r="B2179" t="s">
        <v>1360</v>
      </c>
    </row>
    <row r="2180" spans="1:2" x14ac:dyDescent="0.25">
      <c r="A2180">
        <v>51</v>
      </c>
      <c r="B2180" t="s">
        <v>1360</v>
      </c>
    </row>
    <row r="2181" spans="1:2" x14ac:dyDescent="0.25">
      <c r="A2181">
        <v>51</v>
      </c>
      <c r="B2181" t="s">
        <v>1360</v>
      </c>
    </row>
    <row r="2182" spans="1:2" x14ac:dyDescent="0.25">
      <c r="A2182">
        <v>51</v>
      </c>
      <c r="B2182" t="s">
        <v>1360</v>
      </c>
    </row>
    <row r="2183" spans="1:2" x14ac:dyDescent="0.25">
      <c r="A2183">
        <v>51</v>
      </c>
      <c r="B2183" t="s">
        <v>1360</v>
      </c>
    </row>
    <row r="2184" spans="1:2" x14ac:dyDescent="0.25">
      <c r="A2184">
        <v>51</v>
      </c>
      <c r="B2184" t="s">
        <v>1360</v>
      </c>
    </row>
    <row r="2185" spans="1:2" x14ac:dyDescent="0.25">
      <c r="A2185">
        <v>51</v>
      </c>
      <c r="B2185" t="s">
        <v>1360</v>
      </c>
    </row>
    <row r="2186" spans="1:2" x14ac:dyDescent="0.25">
      <c r="A2186">
        <v>51</v>
      </c>
      <c r="B2186" t="s">
        <v>1360</v>
      </c>
    </row>
    <row r="2187" spans="1:2" x14ac:dyDescent="0.25">
      <c r="A2187">
        <v>51</v>
      </c>
      <c r="B2187" t="s">
        <v>1360</v>
      </c>
    </row>
    <row r="2188" spans="1:2" x14ac:dyDescent="0.25">
      <c r="A2188">
        <v>51</v>
      </c>
      <c r="B2188" t="s">
        <v>1360</v>
      </c>
    </row>
    <row r="2189" spans="1:2" x14ac:dyDescent="0.25">
      <c r="A2189">
        <v>51</v>
      </c>
      <c r="B2189" t="s">
        <v>1360</v>
      </c>
    </row>
    <row r="2190" spans="1:2" x14ac:dyDescent="0.25">
      <c r="A2190">
        <v>51</v>
      </c>
      <c r="B2190" t="s">
        <v>1360</v>
      </c>
    </row>
    <row r="2191" spans="1:2" x14ac:dyDescent="0.25">
      <c r="A2191">
        <v>73</v>
      </c>
      <c r="B2191" t="s">
        <v>1381</v>
      </c>
    </row>
    <row r="2192" spans="1:2" x14ac:dyDescent="0.25">
      <c r="A2192">
        <v>55</v>
      </c>
      <c r="B2192" t="s">
        <v>1364</v>
      </c>
    </row>
    <row r="2193" spans="1:2" x14ac:dyDescent="0.25">
      <c r="A2193">
        <v>55</v>
      </c>
      <c r="B2193" t="s">
        <v>1364</v>
      </c>
    </row>
    <row r="2194" spans="1:2" x14ac:dyDescent="0.25">
      <c r="A2194">
        <v>55</v>
      </c>
      <c r="B2194" t="s">
        <v>1364</v>
      </c>
    </row>
    <row r="2195" spans="1:2" x14ac:dyDescent="0.25">
      <c r="A2195">
        <v>55</v>
      </c>
      <c r="B2195" t="s">
        <v>1364</v>
      </c>
    </row>
    <row r="2196" spans="1:2" x14ac:dyDescent="0.25">
      <c r="A2196">
        <v>55</v>
      </c>
      <c r="B2196" t="s">
        <v>1364</v>
      </c>
    </row>
    <row r="2197" spans="1:2" x14ac:dyDescent="0.25">
      <c r="A2197">
        <v>55</v>
      </c>
      <c r="B2197" t="s">
        <v>1364</v>
      </c>
    </row>
    <row r="2198" spans="1:2" x14ac:dyDescent="0.25">
      <c r="A2198">
        <v>55</v>
      </c>
      <c r="B2198" t="s">
        <v>1364</v>
      </c>
    </row>
    <row r="2199" spans="1:2" x14ac:dyDescent="0.25">
      <c r="A2199">
        <v>55</v>
      </c>
      <c r="B2199" t="s">
        <v>1364</v>
      </c>
    </row>
    <row r="2200" spans="1:2" x14ac:dyDescent="0.25">
      <c r="A2200">
        <v>89</v>
      </c>
      <c r="B2200" t="s">
        <v>1390</v>
      </c>
    </row>
    <row r="2201" spans="1:2" x14ac:dyDescent="0.25">
      <c r="A2201">
        <v>55</v>
      </c>
      <c r="B2201" t="s">
        <v>1364</v>
      </c>
    </row>
    <row r="2202" spans="1:2" x14ac:dyDescent="0.25">
      <c r="A2202">
        <v>55</v>
      </c>
      <c r="B2202" t="s">
        <v>1364</v>
      </c>
    </row>
    <row r="2203" spans="1:2" x14ac:dyDescent="0.25">
      <c r="A2203">
        <v>55</v>
      </c>
      <c r="B2203" t="s">
        <v>1364</v>
      </c>
    </row>
    <row r="2204" spans="1:2" x14ac:dyDescent="0.25">
      <c r="A2204">
        <v>55</v>
      </c>
      <c r="B2204" t="s">
        <v>1364</v>
      </c>
    </row>
    <row r="2205" spans="1:2" x14ac:dyDescent="0.25">
      <c r="A2205">
        <v>55</v>
      </c>
      <c r="B2205" t="s">
        <v>1364</v>
      </c>
    </row>
    <row r="2206" spans="1:2" x14ac:dyDescent="0.25">
      <c r="A2206">
        <v>69</v>
      </c>
      <c r="B2206" t="s">
        <v>1377</v>
      </c>
    </row>
    <row r="2207" spans="1:2" x14ac:dyDescent="0.25">
      <c r="A2207">
        <v>69</v>
      </c>
      <c r="B2207" t="s">
        <v>1377</v>
      </c>
    </row>
    <row r="2208" spans="1:2" x14ac:dyDescent="0.25">
      <c r="A2208">
        <v>45</v>
      </c>
      <c r="B2208" t="s">
        <v>1355</v>
      </c>
    </row>
    <row r="2209" spans="1:2" x14ac:dyDescent="0.25">
      <c r="A2209">
        <v>45</v>
      </c>
      <c r="B2209" t="s">
        <v>1355</v>
      </c>
    </row>
    <row r="2210" spans="1:2" x14ac:dyDescent="0.25">
      <c r="A2210">
        <v>45</v>
      </c>
      <c r="B2210" t="s">
        <v>1355</v>
      </c>
    </row>
    <row r="2211" spans="1:2" x14ac:dyDescent="0.25">
      <c r="A2211">
        <v>45</v>
      </c>
      <c r="B2211" t="s">
        <v>1355</v>
      </c>
    </row>
    <row r="2212" spans="1:2" x14ac:dyDescent="0.25">
      <c r="A2212">
        <v>45</v>
      </c>
      <c r="B2212" t="s">
        <v>1355</v>
      </c>
    </row>
    <row r="2213" spans="1:2" x14ac:dyDescent="0.25">
      <c r="A2213">
        <v>45</v>
      </c>
      <c r="B2213" t="s">
        <v>1355</v>
      </c>
    </row>
    <row r="2214" spans="1:2" x14ac:dyDescent="0.25">
      <c r="A2214">
        <v>70</v>
      </c>
      <c r="B2214" t="s">
        <v>1378</v>
      </c>
    </row>
    <row r="2215" spans="1:2" x14ac:dyDescent="0.25">
      <c r="A2215">
        <v>76</v>
      </c>
      <c r="B2215" t="s">
        <v>1383</v>
      </c>
    </row>
    <row r="2216" spans="1:2" x14ac:dyDescent="0.25">
      <c r="A2216">
        <v>76</v>
      </c>
      <c r="B2216" t="s">
        <v>1383</v>
      </c>
    </row>
    <row r="2217" spans="1:2" x14ac:dyDescent="0.25">
      <c r="A2217">
        <v>76</v>
      </c>
      <c r="B2217" t="s">
        <v>1383</v>
      </c>
    </row>
    <row r="2218" spans="1:2" x14ac:dyDescent="0.25">
      <c r="A2218">
        <v>76</v>
      </c>
      <c r="B2218" t="s">
        <v>1383</v>
      </c>
    </row>
    <row r="2219" spans="1:2" x14ac:dyDescent="0.25">
      <c r="A2219">
        <v>52</v>
      </c>
      <c r="B2219" t="s">
        <v>1362</v>
      </c>
    </row>
    <row r="2220" spans="1:2" x14ac:dyDescent="0.25">
      <c r="A2220">
        <v>51</v>
      </c>
      <c r="B2220" t="s">
        <v>1360</v>
      </c>
    </row>
    <row r="2221" spans="1:2" x14ac:dyDescent="0.25">
      <c r="A2221">
        <v>51</v>
      </c>
      <c r="B2221" t="s">
        <v>1360</v>
      </c>
    </row>
    <row r="2222" spans="1:2" x14ac:dyDescent="0.25">
      <c r="A2222">
        <v>45</v>
      </c>
      <c r="B2222" t="s">
        <v>1355</v>
      </c>
    </row>
    <row r="2223" spans="1:2" x14ac:dyDescent="0.25">
      <c r="A2223">
        <v>76</v>
      </c>
      <c r="B2223" t="s">
        <v>1383</v>
      </c>
    </row>
    <row r="2224" spans="1:2" x14ac:dyDescent="0.25">
      <c r="A2224">
        <v>76</v>
      </c>
      <c r="B2224" t="s">
        <v>1383</v>
      </c>
    </row>
    <row r="2225" spans="1:2" x14ac:dyDescent="0.25">
      <c r="A2225">
        <v>76</v>
      </c>
      <c r="B2225" t="s">
        <v>1383</v>
      </c>
    </row>
    <row r="2226" spans="1:2" x14ac:dyDescent="0.25">
      <c r="A2226">
        <v>76</v>
      </c>
      <c r="B2226" t="s">
        <v>1383</v>
      </c>
    </row>
    <row r="2227" spans="1:2" x14ac:dyDescent="0.25">
      <c r="A2227">
        <v>76</v>
      </c>
      <c r="B2227" t="s">
        <v>1383</v>
      </c>
    </row>
    <row r="2228" spans="1:2" x14ac:dyDescent="0.25">
      <c r="A2228">
        <v>76</v>
      </c>
      <c r="B2228" t="s">
        <v>1383</v>
      </c>
    </row>
    <row r="2229" spans="1:2" x14ac:dyDescent="0.25">
      <c r="A2229">
        <v>76</v>
      </c>
      <c r="B2229" t="s">
        <v>1383</v>
      </c>
    </row>
    <row r="2230" spans="1:2" x14ac:dyDescent="0.25">
      <c r="A2230">
        <v>76</v>
      </c>
      <c r="B2230" t="s">
        <v>1383</v>
      </c>
    </row>
    <row r="2231" spans="1:2" x14ac:dyDescent="0.25">
      <c r="A2231">
        <v>76</v>
      </c>
      <c r="B2231" t="s">
        <v>1383</v>
      </c>
    </row>
    <row r="2232" spans="1:2" x14ac:dyDescent="0.25">
      <c r="A2232">
        <v>76</v>
      </c>
      <c r="B2232" t="s">
        <v>1383</v>
      </c>
    </row>
    <row r="2233" spans="1:2" x14ac:dyDescent="0.25">
      <c r="A2233">
        <v>76</v>
      </c>
      <c r="B2233" t="s">
        <v>1383</v>
      </c>
    </row>
    <row r="2234" spans="1:2" x14ac:dyDescent="0.25">
      <c r="A2234">
        <v>76</v>
      </c>
      <c r="B2234" t="s">
        <v>1383</v>
      </c>
    </row>
    <row r="2235" spans="1:2" x14ac:dyDescent="0.25">
      <c r="A2235">
        <v>76</v>
      </c>
      <c r="B2235" t="s">
        <v>1383</v>
      </c>
    </row>
    <row r="2236" spans="1:2" x14ac:dyDescent="0.25">
      <c r="A2236">
        <v>76</v>
      </c>
      <c r="B2236" t="s">
        <v>1383</v>
      </c>
    </row>
    <row r="2237" spans="1:2" x14ac:dyDescent="0.25">
      <c r="A2237">
        <v>76</v>
      </c>
      <c r="B2237" t="s">
        <v>1383</v>
      </c>
    </row>
    <row r="2238" spans="1:2" x14ac:dyDescent="0.25">
      <c r="A2238">
        <v>76</v>
      </c>
      <c r="B2238" t="s">
        <v>1383</v>
      </c>
    </row>
    <row r="2239" spans="1:2" x14ac:dyDescent="0.25">
      <c r="A2239">
        <v>76</v>
      </c>
      <c r="B2239" t="s">
        <v>1383</v>
      </c>
    </row>
    <row r="2240" spans="1:2" x14ac:dyDescent="0.25">
      <c r="A2240">
        <v>76</v>
      </c>
      <c r="B2240" t="s">
        <v>1383</v>
      </c>
    </row>
    <row r="2241" spans="1:2" x14ac:dyDescent="0.25">
      <c r="A2241">
        <v>76</v>
      </c>
      <c r="B2241" t="s">
        <v>1383</v>
      </c>
    </row>
    <row r="2242" spans="1:2" x14ac:dyDescent="0.25">
      <c r="A2242">
        <v>76</v>
      </c>
      <c r="B2242" t="s">
        <v>1383</v>
      </c>
    </row>
    <row r="2243" spans="1:2" x14ac:dyDescent="0.25">
      <c r="A2243">
        <v>76</v>
      </c>
      <c r="B2243" t="s">
        <v>1383</v>
      </c>
    </row>
    <row r="2244" spans="1:2" x14ac:dyDescent="0.25">
      <c r="A2244">
        <v>76</v>
      </c>
      <c r="B2244" t="s">
        <v>1383</v>
      </c>
    </row>
    <row r="2245" spans="1:2" x14ac:dyDescent="0.25">
      <c r="A2245">
        <v>76</v>
      </c>
      <c r="B2245" t="s">
        <v>1383</v>
      </c>
    </row>
    <row r="2246" spans="1:2" x14ac:dyDescent="0.25">
      <c r="A2246">
        <v>76</v>
      </c>
      <c r="B2246" t="s">
        <v>1383</v>
      </c>
    </row>
    <row r="2247" spans="1:2" x14ac:dyDescent="0.25">
      <c r="A2247">
        <v>76</v>
      </c>
      <c r="B2247" t="s">
        <v>1383</v>
      </c>
    </row>
    <row r="2248" spans="1:2" x14ac:dyDescent="0.25">
      <c r="A2248">
        <v>76</v>
      </c>
      <c r="B2248" t="s">
        <v>1383</v>
      </c>
    </row>
    <row r="2249" spans="1:2" x14ac:dyDescent="0.25">
      <c r="A2249">
        <v>76</v>
      </c>
      <c r="B2249" t="s">
        <v>1383</v>
      </c>
    </row>
    <row r="2250" spans="1:2" x14ac:dyDescent="0.25">
      <c r="A2250">
        <v>76</v>
      </c>
      <c r="B2250" t="s">
        <v>1383</v>
      </c>
    </row>
    <row r="2251" spans="1:2" x14ac:dyDescent="0.25">
      <c r="A2251">
        <v>76</v>
      </c>
      <c r="B2251" t="s">
        <v>1383</v>
      </c>
    </row>
    <row r="2252" spans="1:2" x14ac:dyDescent="0.25">
      <c r="A2252">
        <v>76</v>
      </c>
      <c r="B2252" t="s">
        <v>1383</v>
      </c>
    </row>
    <row r="2253" spans="1:2" x14ac:dyDescent="0.25">
      <c r="A2253">
        <v>76</v>
      </c>
      <c r="B2253" t="s">
        <v>1383</v>
      </c>
    </row>
    <row r="2254" spans="1:2" x14ac:dyDescent="0.25">
      <c r="A2254">
        <v>45</v>
      </c>
      <c r="B2254" t="s">
        <v>1355</v>
      </c>
    </row>
    <row r="2255" spans="1:2" x14ac:dyDescent="0.25">
      <c r="A2255">
        <v>45</v>
      </c>
      <c r="B2255" t="s">
        <v>1355</v>
      </c>
    </row>
    <row r="2256" spans="1:2" x14ac:dyDescent="0.25">
      <c r="A2256">
        <v>45</v>
      </c>
      <c r="B2256" t="s">
        <v>1355</v>
      </c>
    </row>
    <row r="2257" spans="1:2" x14ac:dyDescent="0.25">
      <c r="A2257">
        <v>45</v>
      </c>
      <c r="B2257" t="s">
        <v>1355</v>
      </c>
    </row>
    <row r="2258" spans="1:2" x14ac:dyDescent="0.25">
      <c r="A2258">
        <v>45</v>
      </c>
      <c r="B2258" t="s">
        <v>1355</v>
      </c>
    </row>
    <row r="2259" spans="1:2" x14ac:dyDescent="0.25">
      <c r="A2259">
        <v>45</v>
      </c>
      <c r="B2259" t="s">
        <v>1355</v>
      </c>
    </row>
    <row r="2260" spans="1:2" x14ac:dyDescent="0.25">
      <c r="A2260">
        <v>76</v>
      </c>
      <c r="B2260" t="s">
        <v>1383</v>
      </c>
    </row>
    <row r="2261" spans="1:2" x14ac:dyDescent="0.25">
      <c r="A2261">
        <v>45</v>
      </c>
      <c r="B2261" t="s">
        <v>1355</v>
      </c>
    </row>
    <row r="2262" spans="1:2" x14ac:dyDescent="0.25">
      <c r="A2262">
        <v>76</v>
      </c>
      <c r="B2262" t="s">
        <v>1383</v>
      </c>
    </row>
    <row r="2263" spans="1:2" x14ac:dyDescent="0.25">
      <c r="A2263">
        <v>45</v>
      </c>
      <c r="B2263" t="s">
        <v>1355</v>
      </c>
    </row>
    <row r="2264" spans="1:2" x14ac:dyDescent="0.25">
      <c r="A2264">
        <v>45</v>
      </c>
      <c r="B2264" t="s">
        <v>1355</v>
      </c>
    </row>
    <row r="2265" spans="1:2" x14ac:dyDescent="0.25">
      <c r="A2265">
        <v>76</v>
      </c>
      <c r="B2265" t="s">
        <v>1383</v>
      </c>
    </row>
    <row r="2266" spans="1:2" x14ac:dyDescent="0.25">
      <c r="A2266">
        <v>76</v>
      </c>
      <c r="B2266" t="s">
        <v>1383</v>
      </c>
    </row>
    <row r="2267" spans="1:2" x14ac:dyDescent="0.25">
      <c r="A2267">
        <v>76</v>
      </c>
      <c r="B2267" t="s">
        <v>1383</v>
      </c>
    </row>
    <row r="2268" spans="1:2" x14ac:dyDescent="0.25">
      <c r="A2268">
        <v>76</v>
      </c>
      <c r="B2268" t="s">
        <v>1383</v>
      </c>
    </row>
    <row r="2269" spans="1:2" x14ac:dyDescent="0.25">
      <c r="A2269">
        <v>76</v>
      </c>
      <c r="B2269" t="s">
        <v>1383</v>
      </c>
    </row>
    <row r="2270" spans="1:2" x14ac:dyDescent="0.25">
      <c r="A2270">
        <v>76</v>
      </c>
      <c r="B2270" t="s">
        <v>1383</v>
      </c>
    </row>
    <row r="2271" spans="1:2" x14ac:dyDescent="0.25">
      <c r="A2271">
        <v>76</v>
      </c>
      <c r="B2271" t="s">
        <v>1383</v>
      </c>
    </row>
    <row r="2272" spans="1:2" x14ac:dyDescent="0.25">
      <c r="A2272">
        <v>76</v>
      </c>
      <c r="B2272" t="s">
        <v>1383</v>
      </c>
    </row>
    <row r="2273" spans="1:2" x14ac:dyDescent="0.25">
      <c r="A2273">
        <v>76</v>
      </c>
      <c r="B2273" t="s">
        <v>1383</v>
      </c>
    </row>
    <row r="2274" spans="1:2" x14ac:dyDescent="0.25">
      <c r="A2274">
        <v>76</v>
      </c>
      <c r="B2274" t="s">
        <v>1383</v>
      </c>
    </row>
    <row r="2275" spans="1:2" x14ac:dyDescent="0.25">
      <c r="A2275">
        <v>76</v>
      </c>
      <c r="B2275" t="s">
        <v>1383</v>
      </c>
    </row>
    <row r="2276" spans="1:2" x14ac:dyDescent="0.25">
      <c r="A2276">
        <v>76</v>
      </c>
      <c r="B2276" t="s">
        <v>1383</v>
      </c>
    </row>
    <row r="2277" spans="1:2" x14ac:dyDescent="0.25">
      <c r="A2277">
        <v>76</v>
      </c>
      <c r="B2277" t="s">
        <v>1383</v>
      </c>
    </row>
    <row r="2278" spans="1:2" x14ac:dyDescent="0.25">
      <c r="A2278">
        <v>76</v>
      </c>
      <c r="B2278" t="s">
        <v>1383</v>
      </c>
    </row>
    <row r="2279" spans="1:2" x14ac:dyDescent="0.25">
      <c r="A2279">
        <v>45</v>
      </c>
      <c r="B2279" t="s">
        <v>1355</v>
      </c>
    </row>
    <row r="2280" spans="1:2" x14ac:dyDescent="0.25">
      <c r="A2280">
        <v>76</v>
      </c>
      <c r="B2280" t="s">
        <v>1383</v>
      </c>
    </row>
    <row r="2281" spans="1:2" x14ac:dyDescent="0.25">
      <c r="A2281">
        <v>76</v>
      </c>
      <c r="B2281" t="s">
        <v>1383</v>
      </c>
    </row>
    <row r="2282" spans="1:2" x14ac:dyDescent="0.25">
      <c r="A2282">
        <v>76</v>
      </c>
      <c r="B2282" t="s">
        <v>1383</v>
      </c>
    </row>
    <row r="2283" spans="1:2" x14ac:dyDescent="0.25">
      <c r="A2283">
        <v>76</v>
      </c>
      <c r="B2283" t="s">
        <v>1383</v>
      </c>
    </row>
    <row r="2284" spans="1:2" x14ac:dyDescent="0.25">
      <c r="A2284">
        <v>76</v>
      </c>
      <c r="B2284" t="s">
        <v>1383</v>
      </c>
    </row>
    <row r="2285" spans="1:2" x14ac:dyDescent="0.25">
      <c r="A2285">
        <v>76</v>
      </c>
      <c r="B2285" t="s">
        <v>1383</v>
      </c>
    </row>
    <row r="2286" spans="1:2" x14ac:dyDescent="0.25">
      <c r="A2286">
        <v>76</v>
      </c>
      <c r="B2286" t="s">
        <v>1383</v>
      </c>
    </row>
    <row r="2287" spans="1:2" x14ac:dyDescent="0.25">
      <c r="A2287">
        <v>76</v>
      </c>
      <c r="B2287" t="s">
        <v>1383</v>
      </c>
    </row>
    <row r="2288" spans="1:2" x14ac:dyDescent="0.25">
      <c r="A2288">
        <v>76</v>
      </c>
      <c r="B2288" t="s">
        <v>1383</v>
      </c>
    </row>
    <row r="2289" spans="1:2" x14ac:dyDescent="0.25">
      <c r="A2289">
        <v>62</v>
      </c>
      <c r="B2289" t="s">
        <v>1371</v>
      </c>
    </row>
    <row r="2290" spans="1:2" x14ac:dyDescent="0.25">
      <c r="A2290">
        <v>62</v>
      </c>
      <c r="B2290" t="s">
        <v>1371</v>
      </c>
    </row>
    <row r="2291" spans="1:2" x14ac:dyDescent="0.25">
      <c r="A2291">
        <v>65</v>
      </c>
      <c r="B2291" t="s">
        <v>1374</v>
      </c>
    </row>
    <row r="2292" spans="1:2" x14ac:dyDescent="0.25">
      <c r="A2292">
        <v>55</v>
      </c>
      <c r="B2292" t="s">
        <v>1364</v>
      </c>
    </row>
    <row r="2293" spans="1:2" x14ac:dyDescent="0.25">
      <c r="A2293">
        <v>55</v>
      </c>
      <c r="B2293" t="s">
        <v>1364</v>
      </c>
    </row>
    <row r="2294" spans="1:2" x14ac:dyDescent="0.25">
      <c r="A2294">
        <v>55</v>
      </c>
      <c r="B2294" t="s">
        <v>1364</v>
      </c>
    </row>
    <row r="2295" spans="1:2" x14ac:dyDescent="0.25">
      <c r="A2295">
        <v>55</v>
      </c>
      <c r="B2295" t="s">
        <v>1364</v>
      </c>
    </row>
    <row r="2296" spans="1:2" x14ac:dyDescent="0.25">
      <c r="A2296">
        <v>55</v>
      </c>
      <c r="B2296" t="s">
        <v>1364</v>
      </c>
    </row>
    <row r="2297" spans="1:2" x14ac:dyDescent="0.25">
      <c r="A2297">
        <v>55</v>
      </c>
      <c r="B2297" t="s">
        <v>1364</v>
      </c>
    </row>
    <row r="2298" spans="1:2" x14ac:dyDescent="0.25">
      <c r="A2298">
        <v>55</v>
      </c>
      <c r="B2298" t="s">
        <v>1364</v>
      </c>
    </row>
    <row r="2299" spans="1:2" x14ac:dyDescent="0.25">
      <c r="A2299">
        <v>55</v>
      </c>
      <c r="B2299" t="s">
        <v>1364</v>
      </c>
    </row>
    <row r="2300" spans="1:2" x14ac:dyDescent="0.25">
      <c r="A2300">
        <v>55</v>
      </c>
      <c r="B2300" t="s">
        <v>1364</v>
      </c>
    </row>
    <row r="2301" spans="1:2" x14ac:dyDescent="0.25">
      <c r="A2301">
        <v>55</v>
      </c>
      <c r="B2301" t="s">
        <v>1364</v>
      </c>
    </row>
    <row r="2302" spans="1:2" x14ac:dyDescent="0.25">
      <c r="A2302">
        <v>55</v>
      </c>
      <c r="B2302" t="s">
        <v>1364</v>
      </c>
    </row>
    <row r="2303" spans="1:2" x14ac:dyDescent="0.25">
      <c r="A2303">
        <v>55</v>
      </c>
      <c r="B2303" t="s">
        <v>1364</v>
      </c>
    </row>
    <row r="2304" spans="1:2" x14ac:dyDescent="0.25">
      <c r="A2304">
        <v>55</v>
      </c>
      <c r="B2304" t="s">
        <v>1364</v>
      </c>
    </row>
    <row r="2305" spans="1:2" x14ac:dyDescent="0.25">
      <c r="A2305">
        <v>59</v>
      </c>
      <c r="B2305" t="s">
        <v>1368</v>
      </c>
    </row>
    <row r="2306" spans="1:2" x14ac:dyDescent="0.25">
      <c r="A2306">
        <v>55</v>
      </c>
      <c r="B2306" t="s">
        <v>1364</v>
      </c>
    </row>
    <row r="2307" spans="1:2" x14ac:dyDescent="0.25">
      <c r="A2307">
        <v>55</v>
      </c>
      <c r="B2307" t="s">
        <v>1364</v>
      </c>
    </row>
    <row r="2308" spans="1:2" x14ac:dyDescent="0.25">
      <c r="A2308">
        <v>55</v>
      </c>
      <c r="B2308" t="s">
        <v>1364</v>
      </c>
    </row>
    <row r="2309" spans="1:2" x14ac:dyDescent="0.25">
      <c r="A2309">
        <v>55</v>
      </c>
      <c r="B2309" t="s">
        <v>1364</v>
      </c>
    </row>
    <row r="2310" spans="1:2" x14ac:dyDescent="0.25">
      <c r="A2310">
        <v>55</v>
      </c>
      <c r="B2310" t="s">
        <v>1364</v>
      </c>
    </row>
    <row r="2311" spans="1:2" x14ac:dyDescent="0.25">
      <c r="A2311">
        <v>55</v>
      </c>
      <c r="B2311" t="s">
        <v>1364</v>
      </c>
    </row>
    <row r="2312" spans="1:2" x14ac:dyDescent="0.25">
      <c r="A2312">
        <v>55</v>
      </c>
      <c r="B2312" t="s">
        <v>1364</v>
      </c>
    </row>
    <row r="2313" spans="1:2" x14ac:dyDescent="0.25">
      <c r="A2313">
        <v>60</v>
      </c>
      <c r="B2313" t="s">
        <v>1369</v>
      </c>
    </row>
    <row r="2314" spans="1:2" x14ac:dyDescent="0.25">
      <c r="A2314">
        <v>60</v>
      </c>
      <c r="B2314" t="s">
        <v>1369</v>
      </c>
    </row>
    <row r="2315" spans="1:2" x14ac:dyDescent="0.25">
      <c r="A2315">
        <v>60</v>
      </c>
      <c r="B2315" t="s">
        <v>1369</v>
      </c>
    </row>
    <row r="2316" spans="1:2" x14ac:dyDescent="0.25">
      <c r="A2316">
        <v>60</v>
      </c>
      <c r="B2316" t="s">
        <v>1369</v>
      </c>
    </row>
    <row r="2317" spans="1:2" x14ac:dyDescent="0.25">
      <c r="A2317">
        <v>60</v>
      </c>
      <c r="B2317" t="s">
        <v>1369</v>
      </c>
    </row>
    <row r="2318" spans="1:2" x14ac:dyDescent="0.25">
      <c r="A2318">
        <v>60</v>
      </c>
      <c r="B2318" t="s">
        <v>1369</v>
      </c>
    </row>
    <row r="2319" spans="1:2" x14ac:dyDescent="0.25">
      <c r="A2319">
        <v>60</v>
      </c>
      <c r="B2319" t="s">
        <v>1369</v>
      </c>
    </row>
    <row r="2320" spans="1:2" x14ac:dyDescent="0.25">
      <c r="A2320">
        <v>60</v>
      </c>
      <c r="B2320" t="s">
        <v>1369</v>
      </c>
    </row>
    <row r="2321" spans="1:2" x14ac:dyDescent="0.25">
      <c r="A2321">
        <v>60</v>
      </c>
      <c r="B2321" t="s">
        <v>1369</v>
      </c>
    </row>
    <row r="2322" spans="1:2" x14ac:dyDescent="0.25">
      <c r="A2322">
        <v>57</v>
      </c>
      <c r="B2322" t="s">
        <v>1366</v>
      </c>
    </row>
    <row r="2323" spans="1:2" x14ac:dyDescent="0.25">
      <c r="A2323">
        <v>57</v>
      </c>
      <c r="B2323" t="s">
        <v>1366</v>
      </c>
    </row>
    <row r="2324" spans="1:2" x14ac:dyDescent="0.25">
      <c r="A2324">
        <v>57</v>
      </c>
      <c r="B2324" t="s">
        <v>1366</v>
      </c>
    </row>
    <row r="2325" spans="1:2" x14ac:dyDescent="0.25">
      <c r="A2325">
        <v>60</v>
      </c>
      <c r="B2325" t="s">
        <v>1369</v>
      </c>
    </row>
    <row r="2326" spans="1:2" x14ac:dyDescent="0.25">
      <c r="A2326">
        <v>60</v>
      </c>
      <c r="B2326" t="s">
        <v>1369</v>
      </c>
    </row>
    <row r="2327" spans="1:2" x14ac:dyDescent="0.25">
      <c r="A2327">
        <v>60</v>
      </c>
      <c r="B2327" t="s">
        <v>1369</v>
      </c>
    </row>
    <row r="2328" spans="1:2" x14ac:dyDescent="0.25">
      <c r="A2328">
        <v>60</v>
      </c>
      <c r="B2328" t="s">
        <v>1369</v>
      </c>
    </row>
    <row r="2329" spans="1:2" x14ac:dyDescent="0.25">
      <c r="A2329">
        <v>60</v>
      </c>
      <c r="B2329" t="s">
        <v>1369</v>
      </c>
    </row>
    <row r="2330" spans="1:2" x14ac:dyDescent="0.25">
      <c r="A2330">
        <v>60</v>
      </c>
      <c r="B2330" t="s">
        <v>1369</v>
      </c>
    </row>
    <row r="2331" spans="1:2" x14ac:dyDescent="0.25">
      <c r="A2331">
        <v>60</v>
      </c>
      <c r="B2331" t="s">
        <v>1369</v>
      </c>
    </row>
    <row r="2332" spans="1:2" x14ac:dyDescent="0.25">
      <c r="A2332">
        <v>60</v>
      </c>
      <c r="B2332" t="s">
        <v>1369</v>
      </c>
    </row>
    <row r="2333" spans="1:2" x14ac:dyDescent="0.25">
      <c r="A2333">
        <v>60</v>
      </c>
      <c r="B2333" t="s">
        <v>1369</v>
      </c>
    </row>
    <row r="2334" spans="1:2" x14ac:dyDescent="0.25">
      <c r="A2334">
        <v>60</v>
      </c>
      <c r="B2334" t="s">
        <v>1369</v>
      </c>
    </row>
    <row r="2335" spans="1:2" x14ac:dyDescent="0.25">
      <c r="A2335">
        <v>60</v>
      </c>
      <c r="B2335" t="s">
        <v>1369</v>
      </c>
    </row>
    <row r="2336" spans="1:2" x14ac:dyDescent="0.25">
      <c r="A2336">
        <v>60</v>
      </c>
      <c r="B2336" t="s">
        <v>1369</v>
      </c>
    </row>
    <row r="2337" spans="1:2" x14ac:dyDescent="0.25">
      <c r="A2337">
        <v>60</v>
      </c>
      <c r="B2337" t="s">
        <v>1369</v>
      </c>
    </row>
    <row r="2338" spans="1:2" x14ac:dyDescent="0.25">
      <c r="A2338">
        <v>60</v>
      </c>
      <c r="B2338" t="s">
        <v>1369</v>
      </c>
    </row>
    <row r="2339" spans="1:2" x14ac:dyDescent="0.25">
      <c r="A2339">
        <v>60</v>
      </c>
      <c r="B2339" t="s">
        <v>1369</v>
      </c>
    </row>
    <row r="2340" spans="1:2" x14ac:dyDescent="0.25">
      <c r="A2340">
        <v>60</v>
      </c>
      <c r="B2340" t="s">
        <v>1369</v>
      </c>
    </row>
    <row r="2341" spans="1:2" x14ac:dyDescent="0.25">
      <c r="A2341">
        <v>60</v>
      </c>
      <c r="B2341" t="s">
        <v>1369</v>
      </c>
    </row>
    <row r="2342" spans="1:2" x14ac:dyDescent="0.25">
      <c r="A2342">
        <v>60</v>
      </c>
      <c r="B2342" t="s">
        <v>1369</v>
      </c>
    </row>
    <row r="2343" spans="1:2" x14ac:dyDescent="0.25">
      <c r="A2343">
        <v>60</v>
      </c>
      <c r="B2343" t="s">
        <v>1369</v>
      </c>
    </row>
    <row r="2344" spans="1:2" x14ac:dyDescent="0.25">
      <c r="A2344">
        <v>60</v>
      </c>
      <c r="B2344" t="s">
        <v>1369</v>
      </c>
    </row>
    <row r="2345" spans="1:2" x14ac:dyDescent="0.25">
      <c r="A2345">
        <v>60</v>
      </c>
      <c r="B2345" t="s">
        <v>1369</v>
      </c>
    </row>
    <row r="2346" spans="1:2" x14ac:dyDescent="0.25">
      <c r="A2346">
        <v>60</v>
      </c>
      <c r="B2346" t="s">
        <v>1369</v>
      </c>
    </row>
    <row r="2347" spans="1:2" x14ac:dyDescent="0.25">
      <c r="A2347">
        <v>61</v>
      </c>
      <c r="B2347" t="s">
        <v>1370</v>
      </c>
    </row>
    <row r="2348" spans="1:2" x14ac:dyDescent="0.25">
      <c r="A2348">
        <v>61</v>
      </c>
      <c r="B2348" t="s">
        <v>1370</v>
      </c>
    </row>
    <row r="2349" spans="1:2" x14ac:dyDescent="0.25">
      <c r="A2349">
        <v>61</v>
      </c>
      <c r="B2349" t="s">
        <v>1370</v>
      </c>
    </row>
    <row r="2350" spans="1:2" x14ac:dyDescent="0.25">
      <c r="A2350">
        <v>61</v>
      </c>
      <c r="B2350" t="s">
        <v>1370</v>
      </c>
    </row>
    <row r="2351" spans="1:2" x14ac:dyDescent="0.25">
      <c r="A2351">
        <v>61</v>
      </c>
      <c r="B2351" t="s">
        <v>1370</v>
      </c>
    </row>
    <row r="2352" spans="1:2" x14ac:dyDescent="0.25">
      <c r="A2352">
        <v>61</v>
      </c>
      <c r="B2352" t="s">
        <v>1370</v>
      </c>
    </row>
    <row r="2353" spans="1:2" x14ac:dyDescent="0.25">
      <c r="A2353">
        <v>61</v>
      </c>
      <c r="B2353" t="s">
        <v>1370</v>
      </c>
    </row>
    <row r="2354" spans="1:2" x14ac:dyDescent="0.25">
      <c r="A2354">
        <v>61</v>
      </c>
      <c r="B2354" t="s">
        <v>1370</v>
      </c>
    </row>
    <row r="2355" spans="1:2" x14ac:dyDescent="0.25">
      <c r="A2355">
        <v>61</v>
      </c>
      <c r="B2355" t="s">
        <v>1370</v>
      </c>
    </row>
    <row r="2356" spans="1:2" x14ac:dyDescent="0.25">
      <c r="A2356">
        <v>61</v>
      </c>
      <c r="B2356" t="s">
        <v>1370</v>
      </c>
    </row>
    <row r="2357" spans="1:2" x14ac:dyDescent="0.25">
      <c r="A2357">
        <v>61</v>
      </c>
      <c r="B2357" t="s">
        <v>1370</v>
      </c>
    </row>
    <row r="2358" spans="1:2" x14ac:dyDescent="0.25">
      <c r="A2358">
        <v>61</v>
      </c>
      <c r="B2358" t="s">
        <v>1370</v>
      </c>
    </row>
    <row r="2359" spans="1:2" x14ac:dyDescent="0.25">
      <c r="A2359">
        <v>62</v>
      </c>
      <c r="B2359" t="s">
        <v>1371</v>
      </c>
    </row>
    <row r="2360" spans="1:2" x14ac:dyDescent="0.25">
      <c r="A2360">
        <v>54</v>
      </c>
      <c r="B2360" t="s">
        <v>1363</v>
      </c>
    </row>
    <row r="2361" spans="1:2" x14ac:dyDescent="0.25">
      <c r="A2361">
        <v>45</v>
      </c>
      <c r="B2361" t="s">
        <v>1355</v>
      </c>
    </row>
    <row r="2362" spans="1:2" x14ac:dyDescent="0.25">
      <c r="A2362">
        <v>45</v>
      </c>
      <c r="B2362" t="s">
        <v>1355</v>
      </c>
    </row>
    <row r="2363" spans="1:2" x14ac:dyDescent="0.25">
      <c r="A2363">
        <v>45</v>
      </c>
      <c r="B2363" t="s">
        <v>1355</v>
      </c>
    </row>
    <row r="2364" spans="1:2" x14ac:dyDescent="0.25">
      <c r="A2364">
        <v>55</v>
      </c>
      <c r="B2364" t="s">
        <v>1364</v>
      </c>
    </row>
    <row r="2365" spans="1:2" x14ac:dyDescent="0.25">
      <c r="A2365">
        <v>59</v>
      </c>
      <c r="B2365" t="s">
        <v>1368</v>
      </c>
    </row>
    <row r="2366" spans="1:2" x14ac:dyDescent="0.25">
      <c r="A2366">
        <v>45</v>
      </c>
      <c r="B2366" t="s">
        <v>1355</v>
      </c>
    </row>
    <row r="2367" spans="1:2" x14ac:dyDescent="0.25">
      <c r="A2367">
        <v>45</v>
      </c>
      <c r="B2367" t="s">
        <v>1355</v>
      </c>
    </row>
    <row r="2368" spans="1:2" x14ac:dyDescent="0.25">
      <c r="A2368">
        <v>51</v>
      </c>
      <c r="B2368" t="s">
        <v>1360</v>
      </c>
    </row>
    <row r="2369" spans="1:2" x14ac:dyDescent="0.25">
      <c r="A2369">
        <v>70</v>
      </c>
      <c r="B2369" t="s">
        <v>1378</v>
      </c>
    </row>
    <row r="2370" spans="1:2" x14ac:dyDescent="0.25">
      <c r="A2370">
        <v>55</v>
      </c>
      <c r="B2370" t="s">
        <v>1364</v>
      </c>
    </row>
    <row r="2371" spans="1:2" x14ac:dyDescent="0.25">
      <c r="A2371">
        <v>76</v>
      </c>
      <c r="B2371" t="s">
        <v>1383</v>
      </c>
    </row>
    <row r="2372" spans="1:2" x14ac:dyDescent="0.25">
      <c r="A2372">
        <v>76</v>
      </c>
      <c r="B2372" t="s">
        <v>1383</v>
      </c>
    </row>
    <row r="2373" spans="1:2" x14ac:dyDescent="0.25">
      <c r="A2373">
        <v>76</v>
      </c>
      <c r="B2373" t="s">
        <v>1383</v>
      </c>
    </row>
    <row r="2374" spans="1:2" x14ac:dyDescent="0.25">
      <c r="A2374">
        <v>76</v>
      </c>
      <c r="B2374" t="s">
        <v>1383</v>
      </c>
    </row>
    <row r="2375" spans="1:2" x14ac:dyDescent="0.25">
      <c r="A2375">
        <v>76</v>
      </c>
      <c r="B2375" t="s">
        <v>1383</v>
      </c>
    </row>
    <row r="2376" spans="1:2" x14ac:dyDescent="0.25">
      <c r="A2376">
        <v>51</v>
      </c>
      <c r="B2376" t="s">
        <v>1360</v>
      </c>
    </row>
    <row r="2377" spans="1:2" x14ac:dyDescent="0.25">
      <c r="A2377">
        <v>61</v>
      </c>
      <c r="B2377" t="s">
        <v>1370</v>
      </c>
    </row>
    <row r="2378" spans="1:2" x14ac:dyDescent="0.25">
      <c r="A2378">
        <v>61</v>
      </c>
      <c r="B2378" t="s">
        <v>1370</v>
      </c>
    </row>
    <row r="2379" spans="1:2" x14ac:dyDescent="0.25">
      <c r="A2379">
        <v>61</v>
      </c>
      <c r="B2379" t="s">
        <v>1370</v>
      </c>
    </row>
    <row r="2380" spans="1:2" x14ac:dyDescent="0.25">
      <c r="A2380">
        <v>61</v>
      </c>
      <c r="B2380" t="s">
        <v>1370</v>
      </c>
    </row>
    <row r="2381" spans="1:2" x14ac:dyDescent="0.25">
      <c r="A2381">
        <v>61</v>
      </c>
      <c r="B2381" t="s">
        <v>1370</v>
      </c>
    </row>
    <row r="2382" spans="1:2" x14ac:dyDescent="0.25">
      <c r="A2382">
        <v>61</v>
      </c>
      <c r="B2382" t="s">
        <v>1370</v>
      </c>
    </row>
    <row r="2383" spans="1:2" x14ac:dyDescent="0.25">
      <c r="A2383">
        <v>61</v>
      </c>
      <c r="B2383" t="s">
        <v>1370</v>
      </c>
    </row>
    <row r="2384" spans="1:2" x14ac:dyDescent="0.25">
      <c r="A2384">
        <v>61</v>
      </c>
      <c r="B2384" t="s">
        <v>1370</v>
      </c>
    </row>
    <row r="2385" spans="1:2" x14ac:dyDescent="0.25">
      <c r="A2385">
        <v>61</v>
      </c>
      <c r="B2385" t="s">
        <v>1370</v>
      </c>
    </row>
    <row r="2386" spans="1:2" x14ac:dyDescent="0.25">
      <c r="A2386">
        <v>61</v>
      </c>
      <c r="B2386" t="s">
        <v>1370</v>
      </c>
    </row>
    <row r="2387" spans="1:2" x14ac:dyDescent="0.25">
      <c r="A2387">
        <v>61</v>
      </c>
      <c r="B2387" t="s">
        <v>1370</v>
      </c>
    </row>
    <row r="2388" spans="1:2" x14ac:dyDescent="0.25">
      <c r="A2388">
        <v>61</v>
      </c>
      <c r="B2388" t="s">
        <v>1370</v>
      </c>
    </row>
    <row r="2389" spans="1:2" x14ac:dyDescent="0.25">
      <c r="A2389">
        <v>61</v>
      </c>
      <c r="B2389" t="s">
        <v>1370</v>
      </c>
    </row>
    <row r="2390" spans="1:2" x14ac:dyDescent="0.25">
      <c r="A2390">
        <v>61</v>
      </c>
      <c r="B2390" t="s">
        <v>1370</v>
      </c>
    </row>
    <row r="2391" spans="1:2" x14ac:dyDescent="0.25">
      <c r="A2391">
        <v>61</v>
      </c>
      <c r="B2391" t="s">
        <v>1370</v>
      </c>
    </row>
    <row r="2392" spans="1:2" x14ac:dyDescent="0.25">
      <c r="A2392">
        <v>61</v>
      </c>
      <c r="B2392" t="s">
        <v>1370</v>
      </c>
    </row>
    <row r="2393" spans="1:2" x14ac:dyDescent="0.25">
      <c r="A2393">
        <v>61</v>
      </c>
      <c r="B2393" t="s">
        <v>1370</v>
      </c>
    </row>
    <row r="2394" spans="1:2" x14ac:dyDescent="0.25">
      <c r="A2394">
        <v>61</v>
      </c>
      <c r="B2394" t="s">
        <v>1370</v>
      </c>
    </row>
    <row r="2395" spans="1:2" x14ac:dyDescent="0.25">
      <c r="A2395">
        <v>61</v>
      </c>
      <c r="B2395" t="s">
        <v>1370</v>
      </c>
    </row>
    <row r="2396" spans="1:2" x14ac:dyDescent="0.25">
      <c r="A2396">
        <v>61</v>
      </c>
      <c r="B2396" t="s">
        <v>1370</v>
      </c>
    </row>
    <row r="2397" spans="1:2" x14ac:dyDescent="0.25">
      <c r="A2397">
        <v>61</v>
      </c>
      <c r="B2397" t="s">
        <v>1370</v>
      </c>
    </row>
    <row r="2398" spans="1:2" x14ac:dyDescent="0.25">
      <c r="A2398">
        <v>55</v>
      </c>
      <c r="B2398" t="s">
        <v>1364</v>
      </c>
    </row>
    <row r="2399" spans="1:2" x14ac:dyDescent="0.25">
      <c r="A2399">
        <v>61</v>
      </c>
      <c r="B2399" t="s">
        <v>1370</v>
      </c>
    </row>
    <row r="2400" spans="1:2" x14ac:dyDescent="0.25">
      <c r="A2400">
        <v>61</v>
      </c>
      <c r="B2400" t="s">
        <v>1370</v>
      </c>
    </row>
    <row r="2401" spans="1:2" x14ac:dyDescent="0.25">
      <c r="A2401">
        <v>61</v>
      </c>
      <c r="B2401" t="s">
        <v>1370</v>
      </c>
    </row>
    <row r="2402" spans="1:2" x14ac:dyDescent="0.25">
      <c r="A2402">
        <v>61</v>
      </c>
      <c r="B2402" t="s">
        <v>1370</v>
      </c>
    </row>
    <row r="2403" spans="1:2" x14ac:dyDescent="0.25">
      <c r="A2403">
        <v>61</v>
      </c>
      <c r="B2403" t="s">
        <v>1370</v>
      </c>
    </row>
    <row r="2404" spans="1:2" x14ac:dyDescent="0.25">
      <c r="A2404">
        <v>61</v>
      </c>
      <c r="B2404" t="s">
        <v>1370</v>
      </c>
    </row>
    <row r="2405" spans="1:2" x14ac:dyDescent="0.25">
      <c r="A2405">
        <v>61</v>
      </c>
      <c r="B2405" t="s">
        <v>1370</v>
      </c>
    </row>
    <row r="2406" spans="1:2" x14ac:dyDescent="0.25">
      <c r="A2406">
        <v>61</v>
      </c>
      <c r="B2406" t="s">
        <v>1370</v>
      </c>
    </row>
    <row r="2407" spans="1:2" x14ac:dyDescent="0.25">
      <c r="A2407">
        <v>61</v>
      </c>
      <c r="B2407" t="s">
        <v>1370</v>
      </c>
    </row>
    <row r="2408" spans="1:2" x14ac:dyDescent="0.25">
      <c r="A2408">
        <v>61</v>
      </c>
      <c r="B2408" t="s">
        <v>1370</v>
      </c>
    </row>
    <row r="2409" spans="1:2" x14ac:dyDescent="0.25">
      <c r="A2409">
        <v>61</v>
      </c>
      <c r="B2409" t="s">
        <v>1370</v>
      </c>
    </row>
    <row r="2410" spans="1:2" x14ac:dyDescent="0.25">
      <c r="A2410">
        <v>61</v>
      </c>
      <c r="B2410" t="s">
        <v>1370</v>
      </c>
    </row>
    <row r="2411" spans="1:2" x14ac:dyDescent="0.25">
      <c r="A2411">
        <v>61</v>
      </c>
      <c r="B2411" t="s">
        <v>1370</v>
      </c>
    </row>
    <row r="2412" spans="1:2" x14ac:dyDescent="0.25">
      <c r="A2412">
        <v>69</v>
      </c>
      <c r="B2412" t="s">
        <v>1377</v>
      </c>
    </row>
    <row r="2413" spans="1:2" x14ac:dyDescent="0.25">
      <c r="A2413">
        <v>61</v>
      </c>
      <c r="B2413" t="s">
        <v>1370</v>
      </c>
    </row>
    <row r="2414" spans="1:2" x14ac:dyDescent="0.25">
      <c r="A2414">
        <v>69</v>
      </c>
      <c r="B2414" t="s">
        <v>1377</v>
      </c>
    </row>
    <row r="2415" spans="1:2" x14ac:dyDescent="0.25">
      <c r="A2415">
        <v>69</v>
      </c>
      <c r="B2415" t="s">
        <v>1377</v>
      </c>
    </row>
    <row r="2416" spans="1:2" x14ac:dyDescent="0.25">
      <c r="A2416">
        <v>69</v>
      </c>
      <c r="B2416" t="s">
        <v>1377</v>
      </c>
    </row>
    <row r="2417" spans="1:2" x14ac:dyDescent="0.25">
      <c r="A2417">
        <v>69</v>
      </c>
      <c r="B2417" t="s">
        <v>1377</v>
      </c>
    </row>
    <row r="2418" spans="1:2" x14ac:dyDescent="0.25">
      <c r="A2418">
        <v>69</v>
      </c>
      <c r="B2418" t="s">
        <v>1377</v>
      </c>
    </row>
    <row r="2419" spans="1:2" x14ac:dyDescent="0.25">
      <c r="A2419">
        <v>69</v>
      </c>
      <c r="B2419" t="s">
        <v>1377</v>
      </c>
    </row>
    <row r="2420" spans="1:2" x14ac:dyDescent="0.25">
      <c r="A2420">
        <v>69</v>
      </c>
      <c r="B2420" t="s">
        <v>1377</v>
      </c>
    </row>
    <row r="2421" spans="1:2" x14ac:dyDescent="0.25">
      <c r="A2421">
        <v>69</v>
      </c>
      <c r="B2421" t="s">
        <v>1377</v>
      </c>
    </row>
    <row r="2422" spans="1:2" x14ac:dyDescent="0.25">
      <c r="A2422">
        <v>61</v>
      </c>
      <c r="B2422" t="s">
        <v>1370</v>
      </c>
    </row>
    <row r="2423" spans="1:2" x14ac:dyDescent="0.25">
      <c r="A2423">
        <v>61</v>
      </c>
      <c r="B2423" t="s">
        <v>1370</v>
      </c>
    </row>
    <row r="2424" spans="1:2" x14ac:dyDescent="0.25">
      <c r="A2424">
        <v>61</v>
      </c>
      <c r="B2424" t="s">
        <v>1370</v>
      </c>
    </row>
    <row r="2425" spans="1:2" x14ac:dyDescent="0.25">
      <c r="A2425">
        <v>61</v>
      </c>
      <c r="B2425" t="s">
        <v>1370</v>
      </c>
    </row>
    <row r="2426" spans="1:2" x14ac:dyDescent="0.25">
      <c r="A2426">
        <v>61</v>
      </c>
      <c r="B2426" t="s">
        <v>1370</v>
      </c>
    </row>
    <row r="2427" spans="1:2" x14ac:dyDescent="0.25">
      <c r="A2427">
        <v>61</v>
      </c>
      <c r="B2427" t="s">
        <v>1370</v>
      </c>
    </row>
    <row r="2428" spans="1:2" x14ac:dyDescent="0.25">
      <c r="A2428">
        <v>61</v>
      </c>
      <c r="B2428" t="s">
        <v>1370</v>
      </c>
    </row>
    <row r="2429" spans="1:2" x14ac:dyDescent="0.25">
      <c r="A2429">
        <v>61</v>
      </c>
      <c r="B2429" t="s">
        <v>1370</v>
      </c>
    </row>
    <row r="2430" spans="1:2" x14ac:dyDescent="0.25">
      <c r="A2430">
        <v>61</v>
      </c>
      <c r="B2430" t="s">
        <v>1370</v>
      </c>
    </row>
    <row r="2431" spans="1:2" x14ac:dyDescent="0.25">
      <c r="A2431">
        <v>61</v>
      </c>
      <c r="B2431" t="s">
        <v>1370</v>
      </c>
    </row>
    <row r="2432" spans="1:2" x14ac:dyDescent="0.25">
      <c r="A2432">
        <v>61</v>
      </c>
      <c r="B2432" t="s">
        <v>1370</v>
      </c>
    </row>
    <row r="2433" spans="1:2" x14ac:dyDescent="0.25">
      <c r="A2433">
        <v>61</v>
      </c>
      <c r="B2433" t="s">
        <v>1370</v>
      </c>
    </row>
    <row r="2434" spans="1:2" x14ac:dyDescent="0.25">
      <c r="A2434">
        <v>61</v>
      </c>
      <c r="B2434" t="s">
        <v>1370</v>
      </c>
    </row>
    <row r="2435" spans="1:2" x14ac:dyDescent="0.25">
      <c r="A2435">
        <v>51</v>
      </c>
      <c r="B2435" t="s">
        <v>1360</v>
      </c>
    </row>
    <row r="2436" spans="1:2" x14ac:dyDescent="0.25">
      <c r="A2436">
        <v>51</v>
      </c>
      <c r="B2436" t="s">
        <v>1360</v>
      </c>
    </row>
    <row r="2437" spans="1:2" x14ac:dyDescent="0.25">
      <c r="A2437">
        <v>51</v>
      </c>
      <c r="B2437" t="s">
        <v>1360</v>
      </c>
    </row>
    <row r="2438" spans="1:2" x14ac:dyDescent="0.25">
      <c r="A2438">
        <v>51</v>
      </c>
      <c r="B2438" t="s">
        <v>1360</v>
      </c>
    </row>
    <row r="2439" spans="1:2" x14ac:dyDescent="0.25">
      <c r="A2439">
        <v>51</v>
      </c>
      <c r="B2439" t="s">
        <v>1360</v>
      </c>
    </row>
    <row r="2440" spans="1:2" x14ac:dyDescent="0.25">
      <c r="A2440">
        <v>72</v>
      </c>
      <c r="B2440" t="s">
        <v>1380</v>
      </c>
    </row>
    <row r="2441" spans="1:2" x14ac:dyDescent="0.25">
      <c r="A2441">
        <v>72</v>
      </c>
      <c r="B2441" t="s">
        <v>1380</v>
      </c>
    </row>
    <row r="2442" spans="1:2" x14ac:dyDescent="0.25">
      <c r="A2442">
        <v>72</v>
      </c>
      <c r="B2442" t="s">
        <v>1380</v>
      </c>
    </row>
    <row r="2443" spans="1:2" x14ac:dyDescent="0.25">
      <c r="A2443">
        <v>72</v>
      </c>
      <c r="B2443" t="s">
        <v>1380</v>
      </c>
    </row>
    <row r="2444" spans="1:2" x14ac:dyDescent="0.25">
      <c r="A2444">
        <v>72</v>
      </c>
      <c r="B2444" t="s">
        <v>1380</v>
      </c>
    </row>
    <row r="2445" spans="1:2" x14ac:dyDescent="0.25">
      <c r="A2445">
        <v>70</v>
      </c>
      <c r="B2445" t="s">
        <v>1378</v>
      </c>
    </row>
    <row r="2446" spans="1:2" x14ac:dyDescent="0.25">
      <c r="A2446">
        <v>72</v>
      </c>
      <c r="B2446" t="s">
        <v>1380</v>
      </c>
    </row>
    <row r="2447" spans="1:2" x14ac:dyDescent="0.25">
      <c r="A2447">
        <v>49</v>
      </c>
      <c r="B2447" t="s">
        <v>1358</v>
      </c>
    </row>
    <row r="2448" spans="1:2" x14ac:dyDescent="0.25">
      <c r="A2448">
        <v>49</v>
      </c>
      <c r="B2448" t="s">
        <v>1358</v>
      </c>
    </row>
    <row r="2449" spans="1:2" x14ac:dyDescent="0.25">
      <c r="A2449">
        <v>55</v>
      </c>
      <c r="B2449" t="s">
        <v>1364</v>
      </c>
    </row>
    <row r="2450" spans="1:2" x14ac:dyDescent="0.25">
      <c r="A2450">
        <v>76</v>
      </c>
      <c r="B2450" t="s">
        <v>1383</v>
      </c>
    </row>
    <row r="2451" spans="1:2" x14ac:dyDescent="0.25">
      <c r="A2451">
        <v>76</v>
      </c>
      <c r="B2451" t="s">
        <v>1383</v>
      </c>
    </row>
    <row r="2452" spans="1:2" x14ac:dyDescent="0.25">
      <c r="A2452">
        <v>76</v>
      </c>
      <c r="B2452" t="s">
        <v>1383</v>
      </c>
    </row>
    <row r="2453" spans="1:2" x14ac:dyDescent="0.25">
      <c r="A2453">
        <v>76</v>
      </c>
      <c r="B2453" t="s">
        <v>1383</v>
      </c>
    </row>
    <row r="2454" spans="1:2" x14ac:dyDescent="0.25">
      <c r="A2454">
        <v>74</v>
      </c>
      <c r="B2454" t="s">
        <v>1382</v>
      </c>
    </row>
    <row r="2455" spans="1:2" x14ac:dyDescent="0.25">
      <c r="A2455">
        <v>74</v>
      </c>
      <c r="B2455" t="s">
        <v>1382</v>
      </c>
    </row>
    <row r="2456" spans="1:2" x14ac:dyDescent="0.25">
      <c r="A2456">
        <v>74</v>
      </c>
      <c r="B2456" t="s">
        <v>1382</v>
      </c>
    </row>
    <row r="2457" spans="1:2" x14ac:dyDescent="0.25">
      <c r="A2457">
        <v>74</v>
      </c>
      <c r="B2457" t="s">
        <v>1382</v>
      </c>
    </row>
    <row r="2458" spans="1:2" x14ac:dyDescent="0.25">
      <c r="A2458">
        <v>74</v>
      </c>
      <c r="B2458" t="s">
        <v>1382</v>
      </c>
    </row>
    <row r="2459" spans="1:2" x14ac:dyDescent="0.25">
      <c r="A2459">
        <v>74</v>
      </c>
      <c r="B2459" t="s">
        <v>1382</v>
      </c>
    </row>
    <row r="2460" spans="1:2" x14ac:dyDescent="0.25">
      <c r="A2460">
        <v>74</v>
      </c>
      <c r="B2460" t="s">
        <v>1382</v>
      </c>
    </row>
    <row r="2461" spans="1:2" x14ac:dyDescent="0.25">
      <c r="A2461">
        <v>74</v>
      </c>
      <c r="B2461" t="s">
        <v>1382</v>
      </c>
    </row>
    <row r="2462" spans="1:2" x14ac:dyDescent="0.25">
      <c r="A2462">
        <v>74</v>
      </c>
      <c r="B2462" t="s">
        <v>1382</v>
      </c>
    </row>
    <row r="2463" spans="1:2" x14ac:dyDescent="0.25">
      <c r="A2463">
        <v>74</v>
      </c>
      <c r="B2463" t="s">
        <v>1382</v>
      </c>
    </row>
    <row r="2464" spans="1:2" x14ac:dyDescent="0.25">
      <c r="A2464">
        <v>74</v>
      </c>
      <c r="B2464" t="s">
        <v>1382</v>
      </c>
    </row>
    <row r="2465" spans="1:2" x14ac:dyDescent="0.25">
      <c r="A2465">
        <v>74</v>
      </c>
      <c r="B2465" t="s">
        <v>1382</v>
      </c>
    </row>
    <row r="2466" spans="1:2" x14ac:dyDescent="0.25">
      <c r="A2466">
        <v>74</v>
      </c>
      <c r="B2466" t="s">
        <v>1382</v>
      </c>
    </row>
    <row r="2467" spans="1:2" x14ac:dyDescent="0.25">
      <c r="A2467">
        <v>74</v>
      </c>
      <c r="B2467" t="s">
        <v>1382</v>
      </c>
    </row>
    <row r="2468" spans="1:2" x14ac:dyDescent="0.25">
      <c r="A2468">
        <v>69</v>
      </c>
      <c r="B2468" t="s">
        <v>1377</v>
      </c>
    </row>
    <row r="2469" spans="1:2" x14ac:dyDescent="0.25">
      <c r="A2469">
        <v>51</v>
      </c>
      <c r="B2469" t="s">
        <v>1360</v>
      </c>
    </row>
    <row r="2470" spans="1:2" x14ac:dyDescent="0.25">
      <c r="A2470">
        <v>51</v>
      </c>
      <c r="B2470" t="s">
        <v>1360</v>
      </c>
    </row>
    <row r="2471" spans="1:2" x14ac:dyDescent="0.25">
      <c r="A2471">
        <v>70</v>
      </c>
      <c r="B2471" t="s">
        <v>1378</v>
      </c>
    </row>
  </sheetData>
  <sortState ref="A3:C40">
    <sortCondition ref="B2:B40"/>
    <sortCondition ref="A2:A40"/>
  </sortState>
  <mergeCells count="1">
    <mergeCell ref="A1:B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7649" r:id="rId4" name="btnGruposOrdenar">
          <controlPr defaultSize="0" autoLine="0" r:id="rId5">
            <anchor moveWithCells="1">
              <from>
                <xdr:col>0</xdr:col>
                <xdr:colOff>66675</xdr:colOff>
                <xdr:row>0</xdr:row>
                <xdr:rowOff>57150</xdr:rowOff>
              </from>
              <to>
                <xdr:col>1</xdr:col>
                <xdr:colOff>857250</xdr:colOff>
                <xdr:row>0</xdr:row>
                <xdr:rowOff>466725</xdr:rowOff>
              </to>
            </anchor>
          </controlPr>
        </control>
      </mc:Choice>
      <mc:Fallback>
        <control shapeId="27649" r:id="rId4" name="btnGruposOrdenar"/>
      </mc:Fallback>
    </mc:AlternateContent>
  </controls>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Estáticas!$A$14:$A$26</xm:f>
          </x14:formula1>
          <xm:sqref>C3:C40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Ponto_Ped</vt:lpstr>
      <vt:lpstr>Saldo</vt:lpstr>
      <vt:lpstr>Filtros</vt:lpstr>
      <vt:lpstr>Consumo_Anual</vt:lpstr>
      <vt:lpstr>Excluir_do_Estoque</vt:lpstr>
      <vt:lpstr>Parâmetros</vt:lpstr>
      <vt:lpstr>Estáticas</vt:lpstr>
      <vt:lpstr>Grupos</vt:lpstr>
    </vt:vector>
  </TitlesOfParts>
  <Company>PMSJC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Administrador</cp:lastModifiedBy>
  <dcterms:created xsi:type="dcterms:W3CDTF">2019-01-23T10:22:08Z</dcterms:created>
  <dcterms:modified xsi:type="dcterms:W3CDTF">2019-04-12T18:14:08Z</dcterms:modified>
</cp:coreProperties>
</file>