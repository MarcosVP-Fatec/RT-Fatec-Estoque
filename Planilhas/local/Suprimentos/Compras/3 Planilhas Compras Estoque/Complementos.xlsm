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4"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G:\Suprimentos\Compras\3 Planilhas Compras Estoque\"/>
    </mc:Choice>
  </mc:AlternateContent>
  <xr:revisionPtr revIDLastSave="0" documentId="13_ncr:1_{EC627381-AA66-440E-8B11-5EEE152FDC2F}" xr6:coauthVersionLast="36" xr6:coauthVersionMax="36" xr10:uidLastSave="{00000000-0000-0000-0000-000000000000}"/>
  <bookViews>
    <workbookView xWindow="0" yWindow="0" windowWidth="28800" windowHeight="11625" xr2:uid="{00000000-000D-0000-FFFF-FFFF00000000}"/>
  </bookViews>
  <sheets>
    <sheet name="Complementos" sheetId="1" r:id="rId1"/>
    <sheet name="Estáticas" sheetId="2" r:id="rId2"/>
    <sheet name="Parâmetros" sheetId="3" r:id="rId3"/>
  </sheets>
  <functionGroups builtInGroupCount="19"/>
  <definedNames>
    <definedName name="Excel_BuiltIn__FilterDatabase_3">#REF!</definedName>
  </definedNames>
  <calcPr calcId="191029"/>
</workbook>
</file>

<file path=xl/calcChain.xml><?xml version="1.0" encoding="utf-8"?>
<calcChain xmlns="http://schemas.openxmlformats.org/spreadsheetml/2006/main">
  <c r="L271" i="1" l="1"/>
  <c r="L270" i="1"/>
  <c r="L269" i="1"/>
  <c r="L268" i="1"/>
  <c r="L267" i="1"/>
  <c r="L165" i="1" l="1"/>
  <c r="L237" i="1" l="1"/>
  <c r="L169" i="1"/>
  <c r="L164" i="1" l="1"/>
  <c r="L45" i="1" l="1"/>
  <c r="L173" i="1" l="1"/>
  <c r="L207" i="1" l="1"/>
  <c r="L170" i="1" l="1"/>
  <c r="L238" i="1" l="1"/>
  <c r="L139" i="1" l="1"/>
  <c r="L219" i="1" l="1"/>
  <c r="L167" i="1" l="1"/>
  <c r="L93" i="1" l="1"/>
  <c r="L60" i="1" l="1"/>
  <c r="L59" i="1" l="1"/>
  <c r="L58" i="1" l="1"/>
  <c r="L19" i="1" l="1"/>
  <c r="L21" i="1" l="1"/>
  <c r="L20" i="1" l="1"/>
  <c r="L260" i="1" l="1"/>
  <c r="L255" i="1" l="1"/>
  <c r="L251" i="1" l="1"/>
  <c r="L261" i="1" l="1"/>
  <c r="L265" i="1" l="1"/>
  <c r="L266" i="1" l="1"/>
  <c r="L191" i="1" l="1"/>
  <c r="L190" i="1" l="1"/>
  <c r="L70" i="1" l="1"/>
  <c r="L234" i="1" l="1"/>
  <c r="L233" i="1" l="1"/>
  <c r="L257" i="1" l="1"/>
  <c r="L221" i="1" l="1"/>
  <c r="L256" i="1" l="1"/>
  <c r="L264" i="1" l="1"/>
  <c r="L253" i="1" l="1"/>
  <c r="L252" i="1" l="1"/>
  <c r="L254" i="1" l="1"/>
  <c r="L263" i="1" l="1"/>
  <c r="L262" i="1" l="1"/>
  <c r="L259" i="1" l="1"/>
  <c r="L258" i="1" l="1"/>
  <c r="L223" i="1" l="1"/>
  <c r="L222" i="1" l="1"/>
  <c r="L42" i="1" l="1"/>
  <c r="L63" i="1" l="1"/>
  <c r="L109" i="1" l="1"/>
  <c r="L117" i="1" l="1"/>
  <c r="L187" i="1" l="1"/>
  <c r="L14" i="1" l="1"/>
  <c r="L4" i="1" l="1"/>
  <c r="L5" i="1" l="1"/>
  <c r="L27" i="1" l="1"/>
  <c r="L162" i="1" l="1"/>
  <c r="L108" i="1" l="1"/>
  <c r="L115" i="1" l="1"/>
  <c r="L123" i="1" l="1"/>
  <c r="L114" i="1" l="1"/>
  <c r="L75" i="1" l="1"/>
  <c r="L23" i="1" l="1"/>
  <c r="L25" i="1" l="1"/>
  <c r="L106" i="1" l="1"/>
  <c r="L46" i="1" l="1"/>
  <c r="L105" i="1" l="1"/>
  <c r="L85" i="1" l="1"/>
  <c r="L39" i="1" l="1"/>
  <c r="L38" i="1" l="1"/>
  <c r="L37" i="1" l="1"/>
  <c r="L138" i="1" l="1"/>
  <c r="L154" i="1" l="1"/>
  <c r="L153" i="1" l="1"/>
  <c r="L152" i="1" l="1"/>
  <c r="L151" i="1" l="1"/>
  <c r="L150" i="1" l="1"/>
  <c r="L208" i="1" l="1"/>
  <c r="L203" i="1" l="1"/>
  <c r="L126" i="1"/>
  <c r="L90" i="1"/>
  <c r="L89" i="1"/>
  <c r="L88" i="1"/>
  <c r="L87" i="1"/>
  <c r="L86" i="1"/>
  <c r="L83" i="1"/>
  <c r="L82" i="1"/>
  <c r="L81" i="1"/>
  <c r="L80" i="1"/>
  <c r="L76" i="1"/>
  <c r="L69" i="1" l="1"/>
  <c r="L74" i="1"/>
  <c r="L68" i="1"/>
  <c r="L67" i="1"/>
  <c r="L73" i="1"/>
  <c r="L66" i="1" l="1"/>
  <c r="L40" i="1" l="1"/>
  <c r="L98" i="1" l="1"/>
  <c r="L65" i="1"/>
  <c r="L12" i="1"/>
  <c r="L13" i="1"/>
  <c r="L241" i="1" l="1"/>
  <c r="L240" i="1"/>
  <c r="L155" i="1"/>
  <c r="L131" i="1"/>
  <c r="L129" i="1"/>
  <c r="L132" i="1"/>
  <c r="L130" i="1"/>
  <c r="L168" i="1"/>
  <c r="L149" i="1" l="1"/>
  <c r="L95" i="1"/>
  <c r="L112" i="1"/>
  <c r="L116" i="1"/>
  <c r="L91" i="1"/>
  <c r="L118" i="1" l="1"/>
  <c r="L217" i="1" l="1"/>
  <c r="L216" i="1" l="1"/>
  <c r="L166" i="1" l="1"/>
  <c r="L205" i="1" l="1"/>
  <c r="L160" i="1" l="1"/>
  <c r="L163" i="1" l="1"/>
  <c r="L202" i="1"/>
  <c r="L201" i="1"/>
  <c r="L179" i="1"/>
  <c r="L180" i="1"/>
  <c r="L174" i="1" l="1"/>
  <c r="L196" i="1"/>
  <c r="L218" i="1"/>
  <c r="L211" i="1"/>
  <c r="L186" i="1"/>
  <c r="L199" i="1"/>
  <c r="L177" i="1" l="1"/>
  <c r="L210" i="1"/>
  <c r="L200" i="1" l="1"/>
  <c r="L195" i="1" l="1"/>
  <c r="L178" i="1" l="1"/>
  <c r="L104" i="1" l="1"/>
  <c r="L110" i="1" l="1"/>
  <c r="L159" i="1" l="1"/>
  <c r="L246" i="1" l="1"/>
  <c r="L245" i="1" l="1"/>
  <c r="L244" i="1" l="1"/>
  <c r="L215" i="1" l="1"/>
  <c r="L55" i="1" l="1"/>
  <c r="L235" i="1" l="1"/>
  <c r="L141" i="1" l="1"/>
  <c r="L224" i="1" l="1"/>
  <c r="L142" i="1" l="1"/>
  <c r="L111" i="1" l="1"/>
  <c r="L161" i="1" l="1"/>
  <c r="L225" i="1" l="1"/>
  <c r="L145" i="1" l="1"/>
  <c r="L6" i="1" l="1"/>
  <c r="L9" i="1" l="1"/>
  <c r="L71" i="1" l="1"/>
  <c r="L102" i="1" l="1"/>
  <c r="L96" i="1"/>
  <c r="L84" i="1"/>
  <c r="L51" i="1"/>
  <c r="L52" i="1"/>
  <c r="L34" i="1"/>
  <c r="L35" i="1"/>
  <c r="L31" i="1"/>
  <c r="L30" i="1"/>
  <c r="L29" i="1"/>
  <c r="L28" i="1"/>
  <c r="L17" i="1"/>
  <c r="L18" i="1"/>
  <c r="L22" i="1"/>
  <c r="L24" i="1"/>
  <c r="L26" i="1"/>
  <c r="L197" i="1" l="1"/>
  <c r="L206" i="1"/>
  <c r="L47" i="1" l="1"/>
  <c r="L36" i="1" l="1"/>
  <c r="L147" i="1" l="1"/>
  <c r="L41" i="1" l="1"/>
  <c r="L133" i="1" l="1"/>
  <c r="L220" i="1" l="1"/>
  <c r="L250" i="1" l="1"/>
  <c r="L228" i="1" l="1"/>
  <c r="L227" i="1" l="1"/>
  <c r="L226" i="1" l="1"/>
  <c r="L236" i="1" l="1"/>
  <c r="L214" i="1" l="1"/>
  <c r="L213" i="1" l="1"/>
  <c r="L249" i="1" l="1"/>
  <c r="L248" i="1" l="1"/>
  <c r="L247" i="1" l="1"/>
  <c r="L243" i="1" l="1"/>
  <c r="L242" i="1" l="1"/>
  <c r="L192" i="1"/>
  <c r="L99" i="1" l="1"/>
  <c r="L100" i="1" l="1"/>
  <c r="L113" i="1" l="1"/>
  <c r="L61" i="1" l="1"/>
  <c r="L156" i="1" l="1"/>
  <c r="L157" i="1"/>
  <c r="L53" i="1" l="1"/>
  <c r="L212" i="1"/>
  <c r="L15" i="1"/>
  <c r="L56" i="1"/>
  <c r="L32" i="1"/>
  <c r="L146" i="1" l="1"/>
  <c r="L176" i="1"/>
  <c r="L54" i="1" l="1"/>
  <c r="L101" i="1"/>
  <c r="L11" i="1"/>
  <c r="L16" i="1"/>
  <c r="L50" i="1"/>
  <c r="L148" i="1"/>
  <c r="L103" i="1" l="1"/>
  <c r="L198" i="1" l="1"/>
  <c r="L181" i="1" l="1"/>
  <c r="L209" i="1" l="1"/>
  <c r="L183" i="1" l="1"/>
  <c r="L182" i="1"/>
  <c r="L127" i="1"/>
  <c r="L94" i="1"/>
  <c r="L171" i="1" l="1"/>
  <c r="L119" i="1" l="1"/>
  <c r="L135" i="1"/>
  <c r="L120" i="1"/>
  <c r="L185" i="1"/>
  <c r="L184" i="1"/>
  <c r="L143" i="1"/>
  <c r="L134" i="1"/>
  <c r="L121" i="1" l="1"/>
  <c r="L136" i="1"/>
  <c r="L107" i="1"/>
  <c r="L137" i="1" l="1"/>
  <c r="L122" i="1" l="1"/>
  <c r="L7" i="1" l="1"/>
  <c r="L97" i="1" l="1"/>
  <c r="L10" i="1" l="1"/>
  <c r="L140" i="1" l="1"/>
  <c r="L79" i="1" l="1"/>
  <c r="L78" i="1" l="1"/>
  <c r="L158" i="1" l="1"/>
  <c r="L232" i="1" l="1"/>
  <c r="L239" i="1" l="1"/>
  <c r="L231" i="1"/>
  <c r="L175" i="1" l="1"/>
  <c r="L72" i="1" l="1"/>
  <c r="L92" i="1" l="1"/>
  <c r="L204" i="1" l="1"/>
  <c r="L43" i="1" l="1"/>
  <c r="L172" i="1" l="1"/>
  <c r="L3" i="1" l="1"/>
  <c r="L8" i="1"/>
  <c r="L33" i="1"/>
  <c r="L44" i="1"/>
  <c r="L48" i="1"/>
  <c r="L49" i="1"/>
  <c r="L57" i="1"/>
  <c r="L62" i="1"/>
  <c r="L64" i="1"/>
  <c r="L77" i="1"/>
  <c r="L124" i="1"/>
  <c r="L125" i="1"/>
  <c r="L128" i="1"/>
  <c r="L144" i="1"/>
  <c r="L188" i="1"/>
  <c r="L189" i="1"/>
  <c r="L193" i="1"/>
  <c r="L194" i="1"/>
  <c r="L229" i="1"/>
  <c r="L2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Marcos</author>
    <author>Administrador</author>
    <author>Priscila Bucinskas de Miranda</author>
    <author>Helena Cardoso Correa povoa</author>
  </authors>
  <commentList>
    <comment ref="A2" authorId="0" shapeId="0" xr:uid="{D70141E7-44F9-47DA-B282-643FD61D599E}">
      <text>
        <r>
          <rPr>
            <sz val="10"/>
            <color indexed="81"/>
            <rFont val="Lucida Console"/>
            <family val="3"/>
          </rPr>
          <t xml:space="preserve">Ordenado por: CÓDIGO_x000D_
_x000D_
          1ª Coluna  ==  CÓDIGO_x000D_
</t>
        </r>
      </text>
    </comment>
    <comment ref="E2" authorId="1" shapeId="0" xr:uid="{00000000-0006-0000-0000-000002000000}">
      <text>
        <r>
          <rPr>
            <b/>
            <sz val="9"/>
            <color indexed="81"/>
            <rFont val="Segoe UI"/>
            <family val="2"/>
          </rPr>
          <t>Marcos:</t>
        </r>
        <r>
          <rPr>
            <sz val="9"/>
            <color indexed="81"/>
            <rFont val="Segoe UI"/>
            <family val="2"/>
          </rPr>
          <t xml:space="preserve">
Esta coluna será adicionada na planilha de Assinaturas para lembrees</t>
        </r>
      </text>
    </comment>
    <comment ref="F2" authorId="1" shapeId="0" xr:uid="{00000000-0006-0000-0000-000003000000}">
      <text>
        <r>
          <rPr>
            <b/>
            <sz val="9"/>
            <color indexed="81"/>
            <rFont val="Segoe UI"/>
            <family val="2"/>
          </rPr>
          <t>Marcos:</t>
        </r>
        <r>
          <rPr>
            <sz val="9"/>
            <color indexed="81"/>
            <rFont val="Segoe UI"/>
            <family val="2"/>
          </rPr>
          <t xml:space="preserve">
Esta coluna será adicinada às RC e Renovações de ATA
</t>
        </r>
      </text>
    </comment>
    <comment ref="J2" authorId="2" shapeId="0" xr:uid="{00000000-0006-0000-0000-000004000000}">
      <text>
        <r>
          <rPr>
            <sz val="9"/>
            <color indexed="81"/>
            <rFont val="Segoe UI"/>
            <family val="2"/>
          </rPr>
          <t xml:space="preserve">VALIDADE em meses.
</t>
        </r>
      </text>
    </comment>
    <comment ref="K2" authorId="1" shapeId="0" xr:uid="{00000000-0006-0000-0000-000005000000}">
      <text>
        <r>
          <rPr>
            <b/>
            <sz val="9"/>
            <color indexed="81"/>
            <rFont val="Segoe UI"/>
            <family val="2"/>
          </rPr>
          <t>Marcos:</t>
        </r>
        <r>
          <rPr>
            <sz val="9"/>
            <color indexed="81"/>
            <rFont val="Segoe UI"/>
            <family val="2"/>
          </rPr>
          <t xml:space="preserve">
Este parâmetro faz com que a apuração da planilha de compra sempre considere as Afs deste código mesmo que seu vencimento seja mais de dois meses.
Por padrão a apuração desconsidera estas Afs pela baixa probabilidade de entrega o que prejudica o cálculo de necessidade de nova compra.</t>
        </r>
      </text>
    </comment>
    <comment ref="H3" authorId="3" shapeId="0" xr:uid="{FE81B795-3A7C-462A-A9BB-BF5D0D04B1D0}">
      <text>
        <r>
          <rPr>
            <sz val="9"/>
            <color indexed="81"/>
            <rFont val="Segoe UI"/>
            <family val="2"/>
          </rPr>
          <t>4680|LENCOL DESCARTAVEL 70 CM X 50 MT|20|3||Infantil|</t>
        </r>
      </text>
    </comment>
    <comment ref="H4" authorId="2" shapeId="0" xr:uid="{00000000-0006-0000-0000-0000DD000000}">
      <text>
        <r>
          <rPr>
            <sz val="9"/>
            <color indexed="81"/>
            <rFont val="Segoe UI"/>
            <family val="2"/>
          </rPr>
          <t>4689|LUVA DE LATEX PARA PROCEDIMENTOS TAM "M"|20|3||Infantil|</t>
        </r>
      </text>
    </comment>
    <comment ref="H5" authorId="2" shapeId="0" xr:uid="{00000000-0006-0000-0000-0000DC000000}">
      <text>
        <r>
          <rPr>
            <sz val="9"/>
            <color indexed="81"/>
            <rFont val="Segoe UI"/>
            <family val="2"/>
          </rPr>
          <t>4690|LUVA DE LATEX PARA PROCEDIMENTOS TAM "G"|20|3||Infantil|</t>
        </r>
      </text>
    </comment>
    <comment ref="H6" authorId="1" shapeId="0" xr:uid="{00000000-0006-0000-0000-000008000000}">
      <text>
        <r>
          <rPr>
            <sz val="10"/>
            <color indexed="81"/>
            <rFont val="Lucida Console"/>
            <family val="3"/>
          </rPr>
          <t>10359|LEITE EM PO INTEGRAL INSTANTANEO ENRIQUECIDO|71|7||Adm|</t>
        </r>
      </text>
    </comment>
    <comment ref="H7" authorId="1" shapeId="0" xr:uid="{00000000-0006-0000-0000-000009000000}">
      <text>
        <r>
          <rPr>
            <sz val="9"/>
            <color indexed="81"/>
            <rFont val="Segoe UI"/>
            <family val="2"/>
          </rPr>
          <t>10412|MARGARINA VEGETAL COM SAL - LIPIDEOS TOTAIS: MINIMO 75% E MAXIMO 85%|71|0||Adm|</t>
        </r>
      </text>
    </comment>
    <comment ref="H8" authorId="2" shapeId="0" xr:uid="{00000000-0006-0000-0000-00000A000000}">
      <text>
        <r>
          <rPr>
            <sz val="9"/>
            <color indexed="81"/>
            <rFont val="Segoe UI"/>
            <family val="2"/>
          </rPr>
          <t>10719|CAFE TORRADO E MOIDO - PT C/ 500 G - EMBALAGEM TIJOLINHO|71|26||Adm|</t>
        </r>
      </text>
    </comment>
    <comment ref="H9" authorId="1" shapeId="0" xr:uid="{00000000-0006-0000-0000-00000B000000}">
      <text>
        <r>
          <rPr>
            <sz val="10"/>
            <color indexed="81"/>
            <rFont val="Lucida Console"/>
            <family val="3"/>
          </rPr>
          <t>10867|ACUCAR REFINADO AMORFO/MICROCRISTALINO PT C/ 1KG|71|20||Adm|</t>
        </r>
      </text>
    </comment>
    <comment ref="H10" authorId="2" shapeId="0" xr:uid="{00000000-0006-0000-0000-00000C000000}">
      <text>
        <r>
          <rPr>
            <sz val="9"/>
            <color indexed="81"/>
            <rFont val="Segoe UI"/>
            <family val="2"/>
          </rPr>
          <t>11264|PERFURADOR P/ PAPEL - 2 FUROS - MEDIO|45|12|CAPACIDADE DE PERFURAÇÃO: 16 A 25 FOLHAS||</t>
        </r>
      </text>
    </comment>
    <comment ref="H11" authorId="1" shapeId="0" xr:uid="{00000000-0006-0000-0000-00000D000000}">
      <text>
        <r>
          <rPr>
            <sz val="9"/>
            <color indexed="81"/>
            <rFont val="Segoe UI"/>
            <family val="2"/>
          </rPr>
          <t>11448|CORRETIVO LIQUIDO A BASE DE AGUA - FR C/ 18 ML|45|9||Adm|</t>
        </r>
      </text>
    </comment>
    <comment ref="H12" authorId="1" shapeId="0" xr:uid="{00000000-0006-0000-0000-0000AF000000}">
      <text>
        <r>
          <rPr>
            <sz val="9"/>
            <color indexed="81"/>
            <rFont val="Segoe UI"/>
            <family val="2"/>
          </rPr>
          <t>12623|CARTOLINA - BRANCA  - 50 X 66 CM - 180 G/M2|57|16|VARIAÇÃO DE +/- 5CM.||</t>
        </r>
      </text>
    </comment>
    <comment ref="H13" authorId="1" shapeId="0" xr:uid="{00000000-0006-0000-0000-0000AE000000}">
      <text>
        <r>
          <rPr>
            <sz val="9"/>
            <color indexed="81"/>
            <rFont val="Segoe UI"/>
            <family val="2"/>
          </rPr>
          <t>12635|CARTOLINA - AMARELA - 50 X 66 CM - 180 G/M2|57|16|VARIAÇÃO DE +/- 5CM.||</t>
        </r>
      </text>
    </comment>
    <comment ref="H14" authorId="2" shapeId="0" xr:uid="{00000000-0006-0000-0000-0000DE000000}">
      <text>
        <r>
          <rPr>
            <sz val="9"/>
            <color indexed="81"/>
            <rFont val="Segoe UI"/>
            <family val="2"/>
          </rPr>
          <t>12652|COPO PLASTICO DESCARTAVEL - 50 ML - PT C/ 100 UNID (CAFE)|52|6||Adm|</t>
        </r>
      </text>
    </comment>
    <comment ref="H15" authorId="1" shapeId="0" xr:uid="{00000000-0006-0000-0000-00000E000000}">
      <text>
        <r>
          <rPr>
            <sz val="9"/>
            <color indexed="81"/>
            <rFont val="Segoe UI"/>
            <family val="2"/>
          </rPr>
          <t>12654|COPO PLASTICO DESCARTAVEL - 180 ML - PT C/ 100 UN (AGUA)|52|6||Adm|</t>
        </r>
      </text>
    </comment>
    <comment ref="H16" authorId="2" shapeId="0" xr:uid="{00000000-0006-0000-0000-00000F000000}">
      <text>
        <r>
          <rPr>
            <sz val="9"/>
            <color indexed="81"/>
            <rFont val="Segoe UI"/>
            <family val="2"/>
          </rPr>
          <t>12685|AGUA SANITARIA - FRASCO C/ 1 L.|72|10|O MATERIAL DEVERÁ SER ENTREGUE COM NO MÁXIMO 30 DIAS DA DATA DE FABRICAÇÃO.|Adm|</t>
        </r>
      </text>
    </comment>
    <comment ref="H17" authorId="2" shapeId="0" xr:uid="{00000000-0006-0000-0000-000010000000}">
      <text>
        <r>
          <rPr>
            <sz val="9"/>
            <color indexed="81"/>
            <rFont val="Segoe UI"/>
            <family val="2"/>
          </rPr>
          <t>12830|ADAPTADOR DE PVC - COLA 1.1/2.|61||A MARCA DEVERÁ VIR LITOGRAFADA NA PEÇA.||</t>
        </r>
      </text>
    </comment>
    <comment ref="H18" authorId="2" shapeId="0" xr:uid="{00000000-0006-0000-0000-000011000000}">
      <text>
        <r>
          <rPr>
            <sz val="9"/>
            <color indexed="81"/>
            <rFont val="Segoe UI"/>
            <family val="2"/>
          </rPr>
          <t>12835|ADAPTADOR DE PVC - COLA 3/4.|61||A MARCA DEVERÁ VIR LITOGRAFADA NA PEÇA.||</t>
        </r>
      </text>
    </comment>
    <comment ref="H19" authorId="2" shapeId="0" xr:uid="{00000000-0006-0000-0000-0000FF000000}">
      <text>
        <r>
          <rPr>
            <sz val="9"/>
            <color indexed="81"/>
            <rFont val="Segoe UI"/>
            <family val="2"/>
          </rPr>
          <t>12853|TRINCHA PARA PINTURA - 1", COM CERDAS 100% NATURAIS|76|11|REFERÊNCIA CÓDIGO 551 DA MARCA TIGRE.||</t>
        </r>
      </text>
    </comment>
    <comment ref="F20" authorId="2" shapeId="0" xr:uid="{00000000-0006-0000-0000-0000FC000000}">
      <text>
        <r>
          <rPr>
            <sz val="10"/>
            <color indexed="81"/>
            <rFont val="Lucida Console"/>
            <family val="3"/>
          </rPr>
          <t>_x000D_
REFERÊNCIA CÓDIGO 1346 DA MARCA TIGRE.</t>
        </r>
      </text>
    </comment>
    <comment ref="H20" authorId="2" shapeId="0" xr:uid="{00000000-0006-0000-0000-0000FD000000}">
      <text>
        <r>
          <rPr>
            <sz val="9"/>
            <color indexed="81"/>
            <rFont val="Segoe UI"/>
            <family val="2"/>
          </rPr>
          <t>12856|TRINCHA PARA PINTURA - 2", COM CERDAS 100% NATURAIS|76|11|REFERÊNCIA CÓDIGO 551 DA MARCA TIGRE.||</t>
        </r>
      </text>
    </comment>
    <comment ref="H21" authorId="2" shapeId="0" xr:uid="{00000000-0006-0000-0000-0000FE000000}">
      <text>
        <r>
          <rPr>
            <sz val="9"/>
            <color indexed="81"/>
            <rFont val="Segoe UI"/>
            <family val="2"/>
          </rPr>
          <t>12857|TRINCHA PARA PINTURA - 3", COM CERDAS 100% NATURAIS|76|11|REFERÊNCIA CÓDIGO 551 DA MARCA TIGRE.||</t>
        </r>
      </text>
    </comment>
    <comment ref="H22" authorId="2" shapeId="0" xr:uid="{00000000-0006-0000-0000-000012000000}">
      <text>
        <r>
          <rPr>
            <sz val="9"/>
            <color indexed="81"/>
            <rFont val="Segoe UI"/>
            <family val="2"/>
          </rPr>
          <t>12881|COTOVELO EM PVC - COLA PARA ESGOTO - 2" X 90º.|61||A MARCA DEVERÁ VIR LITOGRAFADA NA PEÇA.||</t>
        </r>
      </text>
    </comment>
    <comment ref="H23" authorId="2" shapeId="0" xr:uid="{00000000-0006-0000-0000-0000D4000000}">
      <text>
        <r>
          <rPr>
            <sz val="9"/>
            <color indexed="81"/>
            <rFont val="Segoe UI"/>
            <family val="2"/>
          </rPr>
          <t>12884|COTOVELO 90 GRAUS EM PVC RIGIDO SOLDAVEL DE 4" (ESGOTO)|61|8|A MARCA DEVERÁ VIR LITOGRAFADA NA PEÇA.||</t>
        </r>
      </text>
    </comment>
    <comment ref="H24" authorId="2" shapeId="0" xr:uid="{00000000-0006-0000-0000-000013000000}">
      <text>
        <r>
          <rPr>
            <sz val="9"/>
            <color indexed="81"/>
            <rFont val="Segoe UI"/>
            <family val="2"/>
          </rPr>
          <t>12886|COTOVELO EM PVC - COLA - 1.1/2" X 90º|61||A MARCA DEVERÁ VIR LITOGRAFADA NA PEÇA.||</t>
        </r>
      </text>
    </comment>
    <comment ref="H25" authorId="2" shapeId="0" xr:uid="{00000000-0006-0000-0000-0000D3000000}">
      <text>
        <r>
          <rPr>
            <sz val="9"/>
            <color indexed="81"/>
            <rFont val="Segoe UI"/>
            <family val="2"/>
          </rPr>
          <t>12891|COTOVELO 90 GRAUS EM PVC RIGIDO SOLDAVEL DE 32 MM (1")|61|8|A MARCA DEVERÁ VIR LITOGRAFADA NA PEÇA.||</t>
        </r>
      </text>
    </comment>
    <comment ref="H26" authorId="2" shapeId="0" xr:uid="{00000000-0006-0000-0000-000014000000}">
      <text>
        <r>
          <rPr>
            <sz val="9"/>
            <color indexed="81"/>
            <rFont val="Segoe UI"/>
            <family val="2"/>
          </rPr>
          <t>12894|COTOVELO EM PVC - RÍGIDO - COLA 3/4".|61||A MARCA DEVERÁ VIR LITOGRAFADA NA PEÇA.||</t>
        </r>
      </text>
    </comment>
    <comment ref="H27" authorId="2" shapeId="0" xr:uid="{00000000-0006-0000-0000-0000DB000000}">
      <text>
        <r>
          <rPr>
            <sz val="9"/>
            <color indexed="81"/>
            <rFont val="Segoe UI"/>
            <family val="2"/>
          </rPr>
          <t>12948|LUVA DE PVC RIGIDO SOLDAVEL DE 2"|61|8|||</t>
        </r>
      </text>
    </comment>
    <comment ref="H28" authorId="2" shapeId="0" xr:uid="{00000000-0006-0000-0000-000015000000}">
      <text>
        <r>
          <rPr>
            <sz val="9"/>
            <color indexed="81"/>
            <rFont val="Segoe UI"/>
            <family val="2"/>
          </rPr>
          <t>12956|LUVA DE PVC - COLA - 3/4".|61||A MARCA DEVERÁ VIR LITOGRAFADA NA PEÇA.||</t>
        </r>
      </text>
    </comment>
    <comment ref="H29" authorId="2" shapeId="0" xr:uid="{00000000-0006-0000-0000-000016000000}">
      <text>
        <r>
          <rPr>
            <sz val="9"/>
            <color indexed="81"/>
            <rFont val="Segoe UI"/>
            <family val="2"/>
          </rPr>
          <t>13072|TÊ DE PVC RÍGIDO - COLA - 3/4"|61||A MARCA DEVERÁ VIR LITOGRAFADA NA PEÇA.||</t>
        </r>
      </text>
    </comment>
    <comment ref="H30" authorId="2" shapeId="0" xr:uid="{00000000-0006-0000-0000-000017000000}">
      <text>
        <r>
          <rPr>
            <sz val="9"/>
            <color indexed="81"/>
            <rFont val="Segoe UI"/>
            <family val="2"/>
          </rPr>
          <t>13095|TÊ DE PVC SOLDÁVEL - 1.1/2" - MARROM|61||A MARCA DEVERÁ VIR LITOGRAFADA NA PEÇA.||</t>
        </r>
      </text>
    </comment>
    <comment ref="H31" authorId="1" shapeId="0" xr:uid="{00000000-0006-0000-0000-000018000000}">
      <text>
        <r>
          <rPr>
            <sz val="10"/>
            <color indexed="81"/>
            <rFont val="Lucida Console"/>
            <family val="3"/>
          </rPr>
          <t>13120|REGISTRO DE GAVETA - 3/4" SEM CANOPLA|61||#LITOGRAFIA||</t>
        </r>
      </text>
    </comment>
    <comment ref="H32" authorId="1" shapeId="0" xr:uid="{00000000-0006-0000-0000-000019000000}">
      <text>
        <r>
          <rPr>
            <sz val="9"/>
            <color indexed="81"/>
            <rFont val="Segoe UI"/>
            <family val="2"/>
          </rPr>
          <t>13180|CADEADO DE LATAO - 30 MM|51|12||Adm|</t>
        </r>
      </text>
    </comment>
    <comment ref="H33" authorId="2" shapeId="0" xr:uid="{00000000-0006-0000-0000-00001A000000}">
      <text>
        <r>
          <rPr>
            <sz val="9"/>
            <color indexed="81"/>
            <rFont val="Segoe UI"/>
            <family val="2"/>
          </rPr>
          <t>13221|PARAFUSO GALVANIZADO P/ FIXACAO DE TELHAS MODULADAS - 5/16 X 110 MM|67|1|||</t>
        </r>
      </text>
    </comment>
    <comment ref="H34" authorId="2" shapeId="0" xr:uid="{00000000-0006-0000-0000-00001B000000}">
      <text>
        <r>
          <rPr>
            <sz val="9"/>
            <color indexed="81"/>
            <rFont val="Segoe UI"/>
            <family val="2"/>
          </rPr>
          <t>13517|TÊ DE PVC RÍGIDO - COLA - PARA ESGOTO - 2".|61||A MARCA DEVERÁ VIR LITOGRAFADA NA PEÇA.||</t>
        </r>
      </text>
    </comment>
    <comment ref="H35" authorId="2" shapeId="0" xr:uid="{00000000-0006-0000-0000-00001C000000}">
      <text>
        <r>
          <rPr>
            <sz val="9"/>
            <color indexed="81"/>
            <rFont val="Segoe UI"/>
            <family val="2"/>
          </rPr>
          <t>13518|TÊ DE PVC RÍGIDO - SOLDÁVEL PARA ESGOTO - 4".|61||A MARCA DEVERÁ VIR LITOGRAFADA NA PEÇA.||</t>
        </r>
      </text>
    </comment>
    <comment ref="H36" authorId="1" shapeId="0" xr:uid="{00000000-0006-0000-0000-00001D000000}">
      <text>
        <r>
          <rPr>
            <sz val="10"/>
            <color indexed="81"/>
            <rFont val="Lucida Console"/>
            <family val="3"/>
          </rPr>
          <t>13556|TUBO DE FERRO GALVANIZADO 4" BR C/ 6 M|69|10|REDONDO, ESPESSURA 1/8” (UM OITAVO DE POLEGADA), DIAMETRO EXTERNO 4” (QUATRO POLEGADAS), NORMA ABNT NBR 5580/02.||</t>
        </r>
      </text>
    </comment>
    <comment ref="H37" authorId="2" shapeId="0" xr:uid="{00000000-0006-0000-0000-0000CC000000}">
      <text>
        <r>
          <rPr>
            <sz val="9"/>
            <color indexed="81"/>
            <rFont val="Segoe UI"/>
            <family val="2"/>
          </rPr>
          <t>13558|TUBO DE PVC RIGIDO SOLDAVEL 2" X 06 M (P/ESGOTO)|61|2|A MARCA DEVERÁ SER LITOGRAFADA NO PRODUTO.||</t>
        </r>
      </text>
    </comment>
    <comment ref="H38" authorId="2" shapeId="0" xr:uid="{00000000-0006-0000-0000-0000CD000000}">
      <text>
        <r>
          <rPr>
            <sz val="9"/>
            <color indexed="81"/>
            <rFont val="Segoe UI"/>
            <family val="2"/>
          </rPr>
          <t>13559|TUBO DE PVC RIGIDO SOLDAVEL DE 100 MM - 4" X 6 M (P/ESGOTO)|61|2|A MARCA DEVERÁ SER LITOGRAFADA NO PRODUTO.||</t>
        </r>
      </text>
    </comment>
    <comment ref="H39" authorId="2" shapeId="0" xr:uid="{00000000-0006-0000-0000-0000CE000000}">
      <text>
        <r>
          <rPr>
            <sz val="9"/>
            <color indexed="81"/>
            <rFont val="Segoe UI"/>
            <family val="2"/>
          </rPr>
          <t>13560|TUBO DE PVC RIGIDO SOLDAVEL DE 32 MM - 1" X 06 M  - CLASSE|61|2|A MARCA DEVERÁ SER LITOGRAFADA NO PRODUTO.||</t>
        </r>
      </text>
    </comment>
    <comment ref="H40" authorId="1" shapeId="0" xr:uid="{00000000-0006-0000-0000-0000B2000000}">
      <text>
        <r>
          <rPr>
            <sz val="9"/>
            <color indexed="81"/>
            <rFont val="Segoe UI"/>
            <family val="2"/>
          </rPr>
          <t>13655|PASTA DE CARTOLINA PLASTIFICADA MOD. C/ FERRAGEM - PRETA -|45|11|“GRAMPO TRILHO” OU “ROMEU E JULIETA” DE METAL PODENDO SER FIXO OU MÓVEL.||</t>
        </r>
      </text>
    </comment>
    <comment ref="H41" authorId="2" shapeId="0" xr:uid="{00000000-0006-0000-0000-00001E000000}">
      <text>
        <r>
          <rPr>
            <sz val="9"/>
            <color indexed="81"/>
            <rFont val="Segoe UI"/>
            <family val="2"/>
          </rPr>
          <t>13768|CAIXA PARA ARQUIVO MORTO EM POLIONDA|45|11|COR AZUL||</t>
        </r>
      </text>
    </comment>
    <comment ref="H42" authorId="2" shapeId="0" xr:uid="{00000000-0006-0000-0000-0000E3000000}">
      <text>
        <r>
          <rPr>
            <sz val="9"/>
            <color indexed="81"/>
            <rFont val="Segoe UI"/>
            <family val="2"/>
          </rPr>
          <t>13991|CESTO DE PLASTICO P/ LIXO, 6 LITROS - FECHADO|72|6|COR AZUL. VARIAÇÃO +/- 1 LITRO.||</t>
        </r>
      </text>
    </comment>
    <comment ref="H43" authorId="2" shapeId="0" xr:uid="{00000000-0006-0000-0000-00001F000000}">
      <text>
        <r>
          <rPr>
            <sz val="9"/>
            <color indexed="81"/>
            <rFont val="Segoe UI"/>
            <family val="2"/>
          </rPr>
          <t>14013|ABRACADEIRA GALVANIZADA TIPO D DE 3/4"|55|46|||</t>
        </r>
      </text>
    </comment>
    <comment ref="H44" authorId="1" shapeId="0" xr:uid="{00000000-0006-0000-0000-000020000000}">
      <text>
        <r>
          <rPr>
            <sz val="10"/>
            <color indexed="81"/>
            <rFont val="Lucida Console"/>
            <family val="3"/>
          </rPr>
          <t>14662|CIMENTO COMUM CPII-32 - SACO C/ 50KG - O MATERIAL DEVERA SER ENTREGUE EM LOTE PALETIZADO PROTEGIDO COM FILME PLASTICO.|51|3|||</t>
        </r>
      </text>
    </comment>
    <comment ref="H45" authorId="3" shapeId="0" xr:uid="{2BC34326-91D1-4AB6-9BA3-776A100D8AF2}">
      <text>
        <r>
          <rPr>
            <sz val="9"/>
            <color indexed="81"/>
            <rFont val="Segoe UI"/>
            <family val="2"/>
          </rPr>
          <t>15167|LUMINARIA FECHADA TIPO CALHA P/ LAMPADA FLUORESCENTE 2 X 40|55|49|MODELO COMERCIAL, OU DE SOBREPOR, OU TRAPÉZIO||</t>
        </r>
      </text>
    </comment>
    <comment ref="H46" authorId="2" shapeId="0" xr:uid="{00000000-0006-0000-0000-0000D1000000}">
      <text>
        <r>
          <rPr>
            <sz val="9"/>
            <color indexed="81"/>
            <rFont val="Segoe UI"/>
            <family val="2"/>
          </rPr>
          <t>15761|COTOVELO 45 GRAUS EM PVC RIGIDO SOLDAVEL 2"|61|8|A MARCA DEVERÁ VIR LITOGRAFADA NA PEÇA.||</t>
        </r>
      </text>
    </comment>
    <comment ref="H47" authorId="2" shapeId="0" xr:uid="{00000000-0006-0000-0000-000021000000}">
      <text>
        <r>
          <rPr>
            <sz val="9"/>
            <color indexed="81"/>
            <rFont val="Segoe UI"/>
            <family val="2"/>
          </rPr>
          <t>15813|TIJOLO COMUM DE BARRO MEDINDO 20 X 9 X 4 CM|51|6|+/- 2CM||</t>
        </r>
      </text>
    </comment>
    <comment ref="H48" authorId="1" shapeId="0" xr:uid="{00000000-0006-0000-0000-000022000000}">
      <text>
        <r>
          <rPr>
            <sz val="10"/>
            <color indexed="81"/>
            <rFont val="Lucida Console"/>
            <family val="3"/>
          </rPr>
          <t>16363|CHAPA DE MADEIRA RESINADA C/ 2,20 X 1,10 M ESP. 10,0 MM|74|8|||</t>
        </r>
      </text>
    </comment>
    <comment ref="H49" authorId="1" shapeId="0" xr:uid="{00000000-0006-0000-0000-000023000000}">
      <text>
        <r>
          <rPr>
            <sz val="10"/>
            <color indexed="81"/>
            <rFont val="Lucida Console"/>
            <family val="3"/>
          </rPr>
          <t>16365|CHAPA DE MADEIRA RESINADA C/ 2,20 X 1,10 M ESP. 15,0 MM|74|8|||</t>
        </r>
      </text>
    </comment>
    <comment ref="H50" authorId="2" shapeId="0" xr:uid="{00000000-0006-0000-0000-000024000000}">
      <text>
        <r>
          <rPr>
            <sz val="9"/>
            <color indexed="81"/>
            <rFont val="Segoe UI"/>
            <family val="2"/>
          </rPr>
          <t>16528|GARRAFA TERMICA - 1 LITRO, TAMPA EM FORMATO DE ROSCA|73|4|COR AZUL OU PRETA|Adm|</t>
        </r>
      </text>
    </comment>
    <comment ref="H51" authorId="2" shapeId="0" xr:uid="{00000000-0006-0000-0000-000025000000}">
      <text>
        <r>
          <rPr>
            <sz val="9"/>
            <color indexed="81"/>
            <rFont val="Segoe UI"/>
            <family val="2"/>
          </rPr>
          <t>16956|PLUG EM PVC RÍGIDO - ROSQUEÁVEL  - 3/4".|61||A MARCA DEVERÁ VIR LITOGRAFADA NA PEÇA.||</t>
        </r>
      </text>
    </comment>
    <comment ref="H52" authorId="2" shapeId="0" xr:uid="{00000000-0006-0000-0000-000026000000}">
      <text>
        <r>
          <rPr>
            <sz val="9"/>
            <color indexed="81"/>
            <rFont val="Segoe UI"/>
            <family val="2"/>
          </rPr>
          <t>16978|PLUG EM PVC RÍGIDO - ROSQUEÁVEL  - 1/2".|61||A MARCA DEVERÁ VIR LITOGRAFADA NA PEÇA.||</t>
        </r>
      </text>
    </comment>
    <comment ref="H53" authorId="1" shapeId="0" xr:uid="{00000000-0006-0000-0000-000027000000}">
      <text>
        <r>
          <rPr>
            <sz val="9"/>
            <color indexed="81"/>
            <rFont val="Segoe UI"/>
            <family val="2"/>
          </rPr>
          <t>17115|GUARDANAPO DE PAPEL 23 X 22 CM|79|1||Adm|</t>
        </r>
      </text>
    </comment>
    <comment ref="H54" authorId="1" shapeId="0" xr:uid="{00000000-0006-0000-0000-000028000000}">
      <text>
        <r>
          <rPr>
            <sz val="9"/>
            <color indexed="81"/>
            <rFont val="Segoe UI"/>
            <family val="2"/>
          </rPr>
          <t>17132|ELASTICO - EMBALAGEM COM 100GR|45|12||Adm|</t>
        </r>
      </text>
    </comment>
    <comment ref="H55" authorId="2" shapeId="0" xr:uid="{00000000-0006-0000-0000-000029000000}">
      <text>
        <r>
          <rPr>
            <sz val="10"/>
            <color indexed="81"/>
            <rFont val="Lucida Console"/>
            <family val="3"/>
          </rPr>
          <t>17135|GRAMPO TRILHO P/ PASTA 80 MM|45|12|EM METAL.||</t>
        </r>
      </text>
    </comment>
    <comment ref="H56" authorId="1" shapeId="0" xr:uid="{00000000-0006-0000-0000-00002A000000}">
      <text>
        <r>
          <rPr>
            <sz val="9"/>
            <color indexed="81"/>
            <rFont val="Segoe UI"/>
            <family val="2"/>
          </rPr>
          <t>17136|GRAMPO 26/6 P/ GRAMPEADOR CX C/ 5000 UNIDADES|45|12||Adm|</t>
        </r>
      </text>
    </comment>
    <comment ref="H57" authorId="2" shapeId="0" xr:uid="{00000000-0006-0000-0000-00002B000000}">
      <text>
        <r>
          <rPr>
            <sz val="9"/>
            <color indexed="81"/>
            <rFont val="Segoe UI"/>
            <family val="2"/>
          </rPr>
          <t>17299|PAPEL MONOLUCIDO - 120 G/M2 660 X 960 MM  - PACOTE C/ 250|57|18|COR BRANCA||</t>
        </r>
      </text>
    </comment>
    <comment ref="H58" authorId="2" shapeId="0" xr:uid="{00000000-0006-0000-0000-000000010000}">
      <text>
        <r>
          <rPr>
            <sz val="9"/>
            <color indexed="81"/>
            <rFont val="Segoe UI"/>
            <family val="2"/>
          </rPr>
          <t>17362|PAPEL CELOFANE - 90 X 100 CM - AMARELO|57|15|(AS MEDIDAS PODERÃO VARIAR +/- 5 CM)||</t>
        </r>
      </text>
    </comment>
    <comment ref="H59" authorId="2" shapeId="0" xr:uid="{00000000-0006-0000-0000-000001010000}">
      <text>
        <r>
          <rPr>
            <sz val="9"/>
            <color indexed="81"/>
            <rFont val="Segoe UI"/>
            <family val="2"/>
          </rPr>
          <t>17370|PAPEL CELOFANE - 90 X 100 CM - VERDE|57|15|(AS MEDIDAS PODERÃO VARIAR +/- 5 CM)||</t>
        </r>
      </text>
    </comment>
    <comment ref="H60" authorId="2" shapeId="0" xr:uid="{00000000-0006-0000-0000-000002010000}">
      <text>
        <r>
          <rPr>
            <sz val="9"/>
            <color indexed="81"/>
            <rFont val="Segoe UI"/>
            <family val="2"/>
          </rPr>
          <t>17371|PAPEL CELOFANE - 90 X 100 CM - VERMELHO|57|15|(AS MEDIDAS PODERÃO VARIAR +/- 5 CM)||</t>
        </r>
      </text>
    </comment>
    <comment ref="H61" authorId="1" shapeId="0" xr:uid="{00000000-0006-0000-0000-00002C000000}">
      <text>
        <r>
          <rPr>
            <sz val="10"/>
            <color indexed="81"/>
            <rFont val="Lucida Console"/>
            <family val="3"/>
          </rPr>
          <t>17454|PAPEL ESPELHO - 65 X 50 CM - ROSA|57|2|VARIAÇÃO DE +/- 5CM. GRAMATURA ENTRE 60 E 75 G/M2.||</t>
        </r>
      </text>
    </comment>
    <comment ref="H62" authorId="2" shapeId="0" xr:uid="{00000000-0006-0000-0000-00002D000000}">
      <text>
        <r>
          <rPr>
            <sz val="9"/>
            <color indexed="81"/>
            <rFont val="Segoe UI"/>
            <family val="2"/>
          </rPr>
          <t>19842|PROTETOR DE CABELO TIPO REDE EM NYLON PRETA|62|12||Infantil|</t>
        </r>
      </text>
    </comment>
    <comment ref="H63" authorId="2" shapeId="0" xr:uid="{00000000-0006-0000-0000-0000E2000000}">
      <text>
        <r>
          <rPr>
            <sz val="9"/>
            <color indexed="81"/>
            <rFont val="Segoe UI"/>
            <family val="2"/>
          </rPr>
          <t>20167|LONA PLASTICA - 4 X 100M - PRETA|79|5|ESPESSURA MÍNIMA 110 MICRAS||</t>
        </r>
      </text>
    </comment>
    <comment ref="H64" authorId="2" shapeId="0" xr:uid="{00000000-0006-0000-0000-00002E000000}">
      <text>
        <r>
          <rPr>
            <sz val="10"/>
            <color indexed="81"/>
            <rFont val="Lucida Console"/>
            <family val="3"/>
          </rPr>
          <t>23687|CARTOLINA - AZUL CLARO - 50 X 66 CM - 180 G/M2|57|16|VARIAÇÃO DE +/- 5CM.||</t>
        </r>
      </text>
    </comment>
    <comment ref="H65" authorId="1" shapeId="0" xr:uid="{00000000-0006-0000-0000-0000B0000000}">
      <text>
        <r>
          <rPr>
            <sz val="9"/>
            <color indexed="81"/>
            <rFont val="Segoe UI"/>
            <family val="2"/>
          </rPr>
          <t>23692|CARTOLINA - ROSA - 50 X 66 CM - 180 G/M2|57|16|VARIAÇÃO DE +/- 5CM.||</t>
        </r>
      </text>
    </comment>
    <comment ref="H66" authorId="1" shapeId="0" xr:uid="{00000000-0006-0000-0000-0000B3000000}">
      <text>
        <r>
          <rPr>
            <sz val="9"/>
            <color indexed="81"/>
            <rFont val="Segoe UI"/>
            <family val="2"/>
          </rPr>
          <t>23986|PAPEL CREPOM - RL C/ 48 X 200 CM - AMARELO OURO|57|2|VARIAÇÃO +/- 5CM. GRAMATURA MÍNIMA 18 G/M2.||</t>
        </r>
      </text>
    </comment>
    <comment ref="H67" authorId="1" shapeId="0" xr:uid="{00000000-0006-0000-0000-0000B5000000}">
      <text>
        <r>
          <rPr>
            <sz val="9"/>
            <color indexed="81"/>
            <rFont val="Segoe UI"/>
            <family val="2"/>
          </rPr>
          <t>23989|PAPEL CREPOM - RL C/ 48 X 200 CM - LARANJA|57|2|VARIAÇÃO +/- 5CM. GRAMATURA MÍNIMA 18 G/M2.||</t>
        </r>
      </text>
    </comment>
    <comment ref="H68" authorId="1" shapeId="0" xr:uid="{00000000-0006-0000-0000-0000B6000000}">
      <text>
        <r>
          <rPr>
            <sz val="9"/>
            <color indexed="81"/>
            <rFont val="Segoe UI"/>
            <family val="2"/>
          </rPr>
          <t>23993|PAPEL CREPOM - RL C/ 48 X 200 CM - ROSA|57|2|VARIAÇÃO +/- 5CM. GRAMATURA MÍNIMA 18 G/M2.||</t>
        </r>
      </text>
    </comment>
    <comment ref="H69" authorId="1" shapeId="0" xr:uid="{00000000-0006-0000-0000-0000B8000000}">
      <text>
        <r>
          <rPr>
            <sz val="9"/>
            <color indexed="81"/>
            <rFont val="Segoe UI"/>
            <family val="2"/>
          </rPr>
          <t>23996|PAPEL CREPOM - RL C/ 48 X 200 CM - VERMELHO|57|2|VARIAÇÃO +/- 5CM. GRAMATURA MÍNIMA 18 G/M2.||</t>
        </r>
      </text>
    </comment>
    <comment ref="H70" authorId="2" shapeId="0" xr:uid="{00000000-0006-0000-0000-0000F3000000}">
      <text>
        <r>
          <rPr>
            <sz val="9"/>
            <color indexed="81"/>
            <rFont val="Segoe UI"/>
            <family val="2"/>
          </rPr>
          <t>24204|ROLO DE LA DE CARNEIRO P/ PINTURA - 9 CM C/ CABO|76|11|REFERÊNCIA CÓDIGO 1346 DA MARCA TIGRE.||</t>
        </r>
      </text>
    </comment>
    <comment ref="H71" authorId="2" shapeId="0" xr:uid="{00000000-0006-0000-0000-00002F000000}">
      <text>
        <r>
          <rPr>
            <sz val="10"/>
            <color indexed="81"/>
            <rFont val="Lucida Console"/>
            <family val="3"/>
          </rPr>
          <t>24205|ROLO DE LA DE CARNEIRO P/ PINTURA - 23 CM C/ CABO - ALTURA DA LA 19 MM - 100% NATURAL|76|11|CABO TIPO GAIOLA||</t>
        </r>
      </text>
    </comment>
    <comment ref="H72" authorId="1" shapeId="0" xr:uid="{00000000-0006-0000-0000-000030000000}">
      <text>
        <r>
          <rPr>
            <sz val="10"/>
            <color indexed="81"/>
            <rFont val="Lucida Console"/>
            <family val="3"/>
          </rPr>
          <t>24371|BLOCO DE CONCRETO - 15 X 20 X 40 CM|51|7|||</t>
        </r>
      </text>
    </comment>
    <comment ref="H73" authorId="1" shapeId="0" xr:uid="{00000000-0006-0000-0000-0000B4000000}">
      <text>
        <r>
          <rPr>
            <sz val="9"/>
            <color indexed="81"/>
            <rFont val="Segoe UI"/>
            <family val="2"/>
          </rPr>
          <t>24476|PAPEL CREPOM - RL C/ 48 X 200 CM - AZUL ESCURO|57|2|VARIAÇÃO +/- 5CM. GRAMATURA MÍNIMA 18 G/M2.||</t>
        </r>
      </text>
    </comment>
    <comment ref="H74" authorId="1" shapeId="0" xr:uid="{00000000-0006-0000-0000-0000B7000000}">
      <text>
        <r>
          <rPr>
            <sz val="9"/>
            <color indexed="81"/>
            <rFont val="Segoe UI"/>
            <family val="2"/>
          </rPr>
          <t>24477|PAPEL CREPOM - RL C/ 48 X 200 CM - VERDE ESCURO|57|2|VARIAÇÃO +/- 5CM. GRAMATURA MÍNIMA 18 G/M2.||</t>
        </r>
      </text>
    </comment>
    <comment ref="H75" authorId="2" shapeId="0" xr:uid="{00000000-0006-0000-0000-0000D5000000}">
      <text>
        <r>
          <rPr>
            <sz val="9"/>
            <color indexed="81"/>
            <rFont val="Segoe UI"/>
            <family val="2"/>
          </rPr>
          <t>25523|COTOVELO EM PVC AZUL-COLA E ROSCA DE 3/4"|61|8|A MARCA DEVERÁ VIR LITOGRAFADA NA PEÇA.||</t>
        </r>
      </text>
    </comment>
    <comment ref="H76" authorId="1" shapeId="0" xr:uid="{00000000-0006-0000-0000-0000B9000000}">
      <text>
        <r>
          <rPr>
            <sz val="9"/>
            <color indexed="81"/>
            <rFont val="Segoe UI"/>
            <family val="2"/>
          </rPr>
          <t>25559|PAPEL LAMINADO - 50 X 60 CM - DOURADO - AS MEDIDAS PODERAO VARIAR +/- 5 CM|57|2|VARIAÇÃO +/- 5 CM. GRAMATURA ENTRE 60 E 85 G/M2.||</t>
        </r>
      </text>
    </comment>
    <comment ref="H77" authorId="1" shapeId="0" xr:uid="{00000000-0006-0000-0000-000031000000}">
      <text>
        <r>
          <rPr>
            <sz val="10"/>
            <color indexed="81"/>
            <rFont val="Lucida Console"/>
            <family val="3"/>
          </rPr>
          <t>26215|CHAPA DE MADEIRA COMPENSADA NAVAL C/ 2,20 X 1,60 M ESP.|74|9|||</t>
        </r>
      </text>
    </comment>
    <comment ref="H78" authorId="1" shapeId="0" xr:uid="{00000000-0006-0000-0000-000032000000}">
      <text>
        <r>
          <rPr>
            <sz val="10"/>
            <color indexed="81"/>
            <rFont val="Lucida Console"/>
            <family val="3"/>
          </rPr>
          <t>26504|ENCOSTO EM MADEIRA  EM LAMINADO MELAMINICO 10MM LISO 30 X 16CM - VERDE CLARO|78|6||Infantil|</t>
        </r>
      </text>
    </comment>
    <comment ref="H79" authorId="1" shapeId="0" xr:uid="{00000000-0006-0000-0000-000033000000}">
      <text>
        <r>
          <rPr>
            <sz val="10"/>
            <color indexed="81"/>
            <rFont val="Lucida Console"/>
            <family val="3"/>
          </rPr>
          <t>26506|ASSENTO EM MADEIRA  REVESTIDO C/ LAMINADO MELAMINICO 10 MM|78|6||Infantil|</t>
        </r>
      </text>
    </comment>
    <comment ref="H80" authorId="1" shapeId="0" xr:uid="{00000000-0006-0000-0000-0000BA000000}">
      <text>
        <r>
          <rPr>
            <sz val="9"/>
            <color indexed="81"/>
            <rFont val="Segoe UI"/>
            <family val="2"/>
          </rPr>
          <t>27137|PAPEL LAMINADO - 50 X 60 CM - VERDE|57|2|VARIAÇÃO +/- 5 CM. GRAMATURA ENTRE 60 E 85 G/M2.||</t>
        </r>
      </text>
    </comment>
    <comment ref="H81" authorId="1" shapeId="0" xr:uid="{00000000-0006-0000-0000-0000BB000000}">
      <text>
        <r>
          <rPr>
            <sz val="9"/>
            <color indexed="81"/>
            <rFont val="Segoe UI"/>
            <family val="2"/>
          </rPr>
          <t>27138|PAPEL LAMINADO - 50 X 60 CM - AZUL|57|2|VARIAÇÃO +/- 5 CM. GRAMATURA ENTRE 60 E 85 G/M2.||</t>
        </r>
      </text>
    </comment>
    <comment ref="H82" authorId="1" shapeId="0" xr:uid="{00000000-0006-0000-0000-0000BC000000}">
      <text>
        <r>
          <rPr>
            <sz val="9"/>
            <color indexed="81"/>
            <rFont val="Segoe UI"/>
            <family val="2"/>
          </rPr>
          <t>27139|PAPEL LAMINADO - 50 X 60 CM - VERMELHO|57|2|VARIAÇÃO +/- 5 CM. GRAMATURA ENTRE 60 E 85 G/M2.||</t>
        </r>
      </text>
    </comment>
    <comment ref="H83" authorId="1" shapeId="0" xr:uid="{00000000-0006-0000-0000-0000BD000000}">
      <text>
        <r>
          <rPr>
            <sz val="9"/>
            <color indexed="81"/>
            <rFont val="Segoe UI"/>
            <family val="2"/>
          </rPr>
          <t>27140|PAPEL LAMINADO - 50 X 60 CM - PRATA|57|2|VARIAÇÃO +/- 5 CM. GRAMATURA ENTRE 60 E 85 G/M2.||</t>
        </r>
      </text>
    </comment>
    <comment ref="H84" authorId="1" shapeId="0" xr:uid="{00000000-0006-0000-0000-000034000000}">
      <text>
        <r>
          <rPr>
            <sz val="10"/>
            <color indexed="81"/>
            <rFont val="Lucida Console"/>
            <family val="3"/>
          </rPr>
          <t>28181|ADAPTADOR DE PVC RIGIDO DE 2" SOLDAVEL|61||#LITOGRAFIA||</t>
        </r>
      </text>
    </comment>
    <comment ref="H85" authorId="2" shapeId="0" xr:uid="{00000000-0006-0000-0000-0000CF000000}">
      <text>
        <r>
          <rPr>
            <sz val="9"/>
            <color indexed="81"/>
            <rFont val="Segoe UI"/>
            <family val="2"/>
          </rPr>
          <t>28184|ADAPTADOR EM PVC RIGIDO SOLDAVEL DE 1"|61|8|A MARCA DEVERÁ VIR LITOGRAFADA NA PEÇA.||</t>
        </r>
      </text>
    </comment>
    <comment ref="H86" authorId="1" shapeId="0" xr:uid="{00000000-0006-0000-0000-0000BE000000}">
      <text>
        <r>
          <rPr>
            <sz val="9"/>
            <color indexed="81"/>
            <rFont val="Segoe UI"/>
            <family val="2"/>
          </rPr>
          <t>29956|PAPEL CAMURCA - 60 X 40 CM - BRANCO|57|15|VARIAÇÃO +/- 5CM. GRAMATURA ENTRE 85 E 110 G/M2.||</t>
        </r>
      </text>
    </comment>
    <comment ref="H87" authorId="1" shapeId="0" xr:uid="{00000000-0006-0000-0000-0000BF000000}">
      <text>
        <r>
          <rPr>
            <sz val="9"/>
            <color indexed="81"/>
            <rFont val="Segoe UI"/>
            <family val="2"/>
          </rPr>
          <t>29959|PAPEL CAMURCA - 60 X 40 CM - PRETO|57|15|VARIAÇÃO +/- 5CM. GRAMATURA ENTRE 85 E 110 G/M2.||</t>
        </r>
      </text>
    </comment>
    <comment ref="H88" authorId="1" shapeId="0" xr:uid="{00000000-0006-0000-0000-0000C0000000}">
      <text>
        <r>
          <rPr>
            <sz val="9"/>
            <color indexed="81"/>
            <rFont val="Segoe UI"/>
            <family val="2"/>
          </rPr>
          <t>29961|PAPEL CAMURCA - 60 X 40 CM - VERMELHO|57|15|VARIAÇÃO +/- 5CM. GRAMATURA ENTRE 85 E 110 G/M2.||</t>
        </r>
      </text>
    </comment>
    <comment ref="H89" authorId="1" shapeId="0" xr:uid="{00000000-0006-0000-0000-0000C1000000}">
      <text>
        <r>
          <rPr>
            <sz val="9"/>
            <color indexed="81"/>
            <rFont val="Segoe UI"/>
            <family val="2"/>
          </rPr>
          <t>29962|PAPEL CAMURCA - 60 X 40 CM - MARROM|57|15|VARIAÇÃO +/- 5CM. GRAMATURA ENTRE 85 E 110 G/M2.||</t>
        </r>
      </text>
    </comment>
    <comment ref="H90" authorId="1" shapeId="0" xr:uid="{00000000-0006-0000-0000-0000C2000000}">
      <text>
        <r>
          <rPr>
            <sz val="9"/>
            <color indexed="81"/>
            <rFont val="Segoe UI"/>
            <family val="2"/>
          </rPr>
          <t>29964|PAPEL CAMURCA - 60 X 40 - ROSA - AS MEDIDAS PODERAO VARIAR +/- 5 CM|57|15|VARIAÇÃO +/- 5CM. GRAMATURA ENTRE 85 E 110 G/M2.||</t>
        </r>
      </text>
    </comment>
    <comment ref="H91" authorId="1" shapeId="0" xr:uid="{00000000-0006-0000-0000-000062000000}">
      <text>
        <r>
          <rPr>
            <sz val="9"/>
            <color indexed="81"/>
            <rFont val="Segoe UI"/>
            <family val="2"/>
          </rPr>
          <t>31321|CABO FLEXIVEL - 2,5 MM2 - PRETO|55|19|#ROLO100M||</t>
        </r>
      </text>
    </comment>
    <comment ref="H92" authorId="1" shapeId="0" xr:uid="{00000000-0006-0000-0000-000035000000}">
      <text>
        <r>
          <rPr>
            <sz val="10"/>
            <color indexed="81"/>
            <rFont val="Lucida Console"/>
            <family val="3"/>
          </rPr>
          <t>32534|BLOCO DE CONCRETO - 20 X 20 X 40 CM|51|7|||</t>
        </r>
      </text>
    </comment>
    <comment ref="H93" authorId="2" shapeId="0" xr:uid="{00000000-0006-0000-0000-000003010000}">
      <text>
        <r>
          <rPr>
            <sz val="9"/>
            <color indexed="81"/>
            <rFont val="Segoe UI"/>
            <family val="2"/>
          </rPr>
          <t>32927|PAPEL CELOFANE - 90 X 100 CM - AZUL|57|15|(AS MEDIDAS PODERÃO VARIAR +/- 5 CM)||</t>
        </r>
      </text>
    </comment>
    <comment ref="H94" authorId="1" shapeId="0" xr:uid="{00000000-0006-0000-0000-000036000000}">
      <text>
        <r>
          <rPr>
            <sz val="10"/>
            <color indexed="81"/>
            <rFont val="Lucida Console"/>
            <family val="3"/>
          </rPr>
          <t>40086|TELHA DE BARRO COZIDO - TIPO ROMANA|51|17|||</t>
        </r>
      </text>
    </comment>
    <comment ref="H95" authorId="1" shapeId="0" xr:uid="{00000000-0006-0000-0000-000063000000}">
      <text>
        <r>
          <rPr>
            <sz val="9"/>
            <color indexed="81"/>
            <rFont val="Segoe UI"/>
            <family val="2"/>
          </rPr>
          <t>40685|CABO FLEXIVEL - 6 MM2 - VERDE|55|19|#ROLO100M||</t>
        </r>
      </text>
    </comment>
    <comment ref="H96" authorId="1" shapeId="0" xr:uid="{00000000-0006-0000-0000-000037000000}">
      <text>
        <r>
          <rPr>
            <sz val="10"/>
            <color indexed="81"/>
            <rFont val="Lucida Console"/>
            <family val="3"/>
          </rPr>
          <t>40882|BUCHA DE REDUÇÃO EM PVC RÍGIDO SOLDÁVEL 60 X 50 MM|61||#LITOGRAFIA||</t>
        </r>
      </text>
    </comment>
    <comment ref="H97" authorId="2" shapeId="0" xr:uid="{00000000-0006-0000-0000-000038000000}">
      <text>
        <r>
          <rPr>
            <sz val="9"/>
            <color indexed="81"/>
            <rFont val="Segoe UI"/>
            <family val="2"/>
          </rPr>
          <t>46420|ESTILETE DE METAL C/ LAMINA ESTREITA|45|0|CORPO EM METAL COM APROXIMADAMENTE 135 MM DE COMPRIMENTO, LÂMINA 9 MM DE LARGURA. APRESENTAR AMOSTRA||</t>
        </r>
      </text>
    </comment>
    <comment ref="H98" authorId="1" shapeId="0" xr:uid="{00000000-0006-0000-0000-0000B1000000}">
      <text>
        <r>
          <rPr>
            <sz val="9"/>
            <color indexed="81"/>
            <rFont val="Segoe UI"/>
            <family val="2"/>
          </rPr>
          <t>47447|CARTOLINA - VERDE CLARO - 50 X 66 CM - GRAMATURA 180G/M2|57|16|VARIAÇÃO DE +/- 5CM.||</t>
        </r>
      </text>
    </comment>
    <comment ref="H99" authorId="2" shapeId="0" xr:uid="{00000000-0006-0000-0000-000039000000}">
      <text>
        <r>
          <rPr>
            <sz val="9"/>
            <color indexed="81"/>
            <rFont val="Segoe UI"/>
            <family val="2"/>
          </rPr>
          <t>49254|PLASTICO OLEADO, TIPO FLANELADO - NAS CORES AZUL CLARO E BR|72|7|ROLO COM 30 METROS||</t>
        </r>
      </text>
    </comment>
    <comment ref="H100" authorId="2" shapeId="0" xr:uid="{00000000-0006-0000-0000-00003A000000}">
      <text>
        <r>
          <rPr>
            <sz val="9"/>
            <color indexed="81"/>
            <rFont val="Segoe UI"/>
            <family val="2"/>
          </rPr>
          <t>49695|MACANETA ALAVANCA CROMADA P/ PORTA DE MADEIRA|51|8|EIXO MEDINDO 8 MM||</t>
        </r>
      </text>
    </comment>
    <comment ref="H101" authorId="1" shapeId="0" xr:uid="{00000000-0006-0000-0000-00003B000000}">
      <text>
        <r>
          <rPr>
            <sz val="9"/>
            <color indexed="81"/>
            <rFont val="Segoe UI"/>
            <family val="2"/>
          </rPr>
          <t>51579|GRAMPEADOR GRANDE, TAMANHO 26/6|45|12||Adm|</t>
        </r>
      </text>
    </comment>
    <comment ref="H102" authorId="2" shapeId="0" xr:uid="{00000000-0006-0000-0000-00003C000000}">
      <text>
        <r>
          <rPr>
            <sz val="9"/>
            <color indexed="81"/>
            <rFont val="Segoe UI"/>
            <family val="2"/>
          </rPr>
          <t>52994|LUVA DE REDUCAO EM PVC DE 1.1/2" X 1.1/4"|61||A MARCA DEVERÁ VIR LITOGRAFADA NA PEÇA.||</t>
        </r>
      </text>
    </comment>
    <comment ref="H103" authorId="1" shapeId="0" xr:uid="{00000000-0006-0000-0000-00003D000000}">
      <text>
        <r>
          <rPr>
            <sz val="9"/>
            <color indexed="81"/>
            <rFont val="Segoe UI"/>
            <family val="2"/>
          </rPr>
          <t>53446|REJUNTE BRANCO - SACO COM 01 KG|51|19|||</t>
        </r>
      </text>
    </comment>
    <comment ref="H104" authorId="1" shapeId="0" xr:uid="{00000000-0006-0000-0000-00003E000000}">
      <text>
        <r>
          <rPr>
            <sz val="9"/>
            <color indexed="81"/>
            <rFont val="Segoe UI"/>
            <family val="2"/>
          </rPr>
          <t>53813|FERRO TIPO U DE 2" X 1/8|51|13|BARRA COM 6 METROS.||</t>
        </r>
      </text>
    </comment>
    <comment ref="H105" authorId="2" shapeId="0" xr:uid="{00000000-0006-0000-0000-0000D0000000}">
      <text>
        <r>
          <rPr>
            <sz val="9"/>
            <color indexed="81"/>
            <rFont val="Segoe UI"/>
            <family val="2"/>
          </rPr>
          <t>54586|COTOVELO 45 GRAUS EM PVC - RIGIDO SOLDAVEL - 6"- (150 MM) -|61|2|A MARCA DEVERÁ VIR LITOGRAFADA NA PEÇA.||</t>
        </r>
      </text>
    </comment>
    <comment ref="H106" authorId="2" shapeId="0" xr:uid="{00000000-0006-0000-0000-0000D2000000}">
      <text>
        <r>
          <rPr>
            <sz val="9"/>
            <color indexed="81"/>
            <rFont val="Segoe UI"/>
            <family val="2"/>
          </rPr>
          <t>54587|COTOVELO 90 GRAUS EM PVC - RIGIDO SOLDAVEL - 6"- (150 MM) -|61|2|A MARCA DEVERÁ VIR LITOGRAFADA NA PEÇA.||</t>
        </r>
      </text>
    </comment>
    <comment ref="H107" authorId="1" shapeId="0" xr:uid="{00000000-0006-0000-0000-00003F000000}">
      <text>
        <r>
          <rPr>
            <sz val="10"/>
            <color indexed="81"/>
            <rFont val="Lucida Console"/>
            <family val="3"/>
          </rPr>
          <t>58706|PONTALETE DE CEDRINHO 3" X 3" - COM 03 METROS DE COMPRIMENT|74|3|||</t>
        </r>
      </text>
    </comment>
    <comment ref="H108" authorId="2" shapeId="0" xr:uid="{00000000-0006-0000-0000-0000D9000000}">
      <text>
        <r>
          <rPr>
            <sz val="9"/>
            <color indexed="81"/>
            <rFont val="Segoe UI"/>
            <family val="2"/>
          </rPr>
          <t>59069|TE DE REDUCAO EM PVC SOLDAVEL, ROSCA, DE 25 MM - 1/2" - AZU|61|8|A MARCA DEVERÁ VIR LITOGRAFADA NA PEÇA.||</t>
        </r>
      </text>
    </comment>
    <comment ref="H109" authorId="2" shapeId="0" xr:uid="{00000000-0006-0000-0000-0000E1000000}">
      <text>
        <r>
          <rPr>
            <sz val="9"/>
            <color indexed="81"/>
            <rFont val="Segoe UI"/>
            <family val="2"/>
          </rPr>
          <t>59074|BLOCO P/ RECADOS AUTO COLANTE - MED 76 X 102 MM|45|11|CORES NEON SORTIDAS. VARIAÇÃO +/- 3 MM. FOLHAS REPOSICIONÁVEIS, OU SEJA, QUE POSSAM SER RETIRADAS E RECOLOCADAS SEM DANIFICAR PAPÉIS OU OUTRAS SUPERFÍCIES, SEM DEIXAR RESÍDUOS DO ADESIVO.||</t>
        </r>
      </text>
    </comment>
    <comment ref="H110" authorId="2" shapeId="0" xr:uid="{00000000-0006-0000-0000-000040000000}">
      <text>
        <r>
          <rPr>
            <sz val="9"/>
            <color indexed="81"/>
            <rFont val="Segoe UI"/>
            <family val="2"/>
          </rPr>
          <t>60889|ELETRODUTO DE FERRO GALVANIZADO - 3/4"|55|32|GALVANIZAÇÃO A FOGO MÉDIO.||</t>
        </r>
      </text>
    </comment>
    <comment ref="H111" authorId="2" shapeId="0" xr:uid="{00000000-0006-0000-0000-000041000000}">
      <text>
        <r>
          <rPr>
            <sz val="9"/>
            <color indexed="81"/>
            <rFont val="Segoe UI"/>
            <family val="2"/>
          </rPr>
          <t>63991|BALDINHO DE PRAIA EM PLASTICO - COLORIDO, ATOXICO, COM ACES|58|8||Infantil|</t>
        </r>
      </text>
    </comment>
    <comment ref="H112" authorId="1" shapeId="0" xr:uid="{00000000-0006-0000-0000-00006E000000}">
      <text>
        <r>
          <rPr>
            <sz val="9"/>
            <color indexed="81"/>
            <rFont val="Segoe UI"/>
            <family val="2"/>
          </rPr>
          <t>64302|CABO FLEXIVEL - 6 MM2 - PRETO|55|19|#ROLO100M||</t>
        </r>
      </text>
    </comment>
    <comment ref="H113" authorId="1" shapeId="0" xr:uid="{00000000-0006-0000-0000-000042000000}">
      <text>
        <r>
          <rPr>
            <sz val="9"/>
            <color indexed="81"/>
            <rFont val="Segoe UI"/>
            <family val="2"/>
          </rPr>
          <t>64634|DISCO DE LIXA N. 40 - 30 CM DE DIAMETRO - PARA LIXADEIRA DE BANCADA|83|10|SEM FURO PODENDO VARIAR + 0,5 CM||</t>
        </r>
      </text>
    </comment>
    <comment ref="H114" authorId="2" shapeId="0" xr:uid="{00000000-0006-0000-0000-0000D6000000}">
      <text>
        <r>
          <rPr>
            <sz val="9"/>
            <color indexed="81"/>
            <rFont val="Segoe UI"/>
            <family val="2"/>
          </rPr>
          <t>64636|LUVA DE REDUCAO EM PVC RIGIDO - MARROM - SOLDAVEL - 1.1/2"|61|8|A MARCA DEVERÁ VIR LITOGRAFADA NA PEÇA.||</t>
        </r>
      </text>
    </comment>
    <comment ref="H115" authorId="2" shapeId="0" xr:uid="{00000000-0006-0000-0000-0000D8000000}">
      <text>
        <r>
          <rPr>
            <sz val="9"/>
            <color indexed="81"/>
            <rFont val="Segoe UI"/>
            <family val="2"/>
          </rPr>
          <t>64647|TE DE REDUCAO EM PVC RIGIDO - SOLDAVEL - 150 X 100 MM - 6"|61|8|A MARCA DEVERÁ VIR LITOGRAFADA NA PEÇA.||</t>
        </r>
      </text>
    </comment>
    <comment ref="H116" authorId="1" shapeId="0" xr:uid="{00000000-0006-0000-0000-000071000000}">
      <text>
        <r>
          <rPr>
            <sz val="9"/>
            <color indexed="81"/>
            <rFont val="Segoe UI"/>
            <family val="2"/>
          </rPr>
          <t>65748|CABO FLEXIVEL - 2,5 MM2 - VERDE|55|19|#ROLO100M||</t>
        </r>
      </text>
    </comment>
    <comment ref="H117" authorId="2" shapeId="0" xr:uid="{00000000-0006-0000-0000-0000E0000000}">
      <text>
        <r>
          <rPr>
            <sz val="9"/>
            <color indexed="81"/>
            <rFont val="Segoe UI"/>
            <family val="2"/>
          </rPr>
          <t>69222|BLOCO P/ RECADOS AUTO COLANTE - MED. 38 X 51|45|11|CORES NEON SORTIDAS. VARIAÇÃO +/- 3 MM. FOLHAS REPOSICIONÁVEIS, OU SEJA, QUE POSSAM SER RETIRADAS E RECOLOCADAS SEM DANIFICAR PAPÉIS OU OUTRAS SUPERFÍCIES, SEM DEIXAR RESÍDUOS DO ADESIVO.||</t>
        </r>
      </text>
    </comment>
    <comment ref="H118" authorId="1" shapeId="0" xr:uid="{00000000-0006-0000-0000-000075000000}">
      <text>
        <r>
          <rPr>
            <sz val="9"/>
            <color indexed="81"/>
            <rFont val="Segoe UI"/>
            <family val="2"/>
          </rPr>
          <t>74124|CABO FLEXIVEL - 1,5MM - PRETO|55|19|#ROLO100M||</t>
        </r>
      </text>
    </comment>
    <comment ref="H119" authorId="1" shapeId="0" xr:uid="{00000000-0006-0000-0000-000043000000}">
      <text>
        <r>
          <rPr>
            <sz val="10"/>
            <color indexed="81"/>
            <rFont val="Lucida Console"/>
            <family val="3"/>
          </rPr>
          <t>74907|VIGA DE GARAPEIRA BRUTA - MEDIDAS: 06 CM X 16 CM X 5,50 M|74|3|||</t>
        </r>
      </text>
    </comment>
    <comment ref="H120" authorId="1" shapeId="0" xr:uid="{00000000-0006-0000-0000-000044000000}">
      <text>
        <r>
          <rPr>
            <sz val="10"/>
            <color indexed="81"/>
            <rFont val="Lucida Console"/>
            <family val="3"/>
          </rPr>
          <t>74908|VIGA DE GARAPEIRA BRUTA - MEDIDAS: 06 CM X 16 CM X 4,00 M|74|3|||</t>
        </r>
      </text>
    </comment>
    <comment ref="H121" authorId="1" shapeId="0" xr:uid="{00000000-0006-0000-0000-000045000000}">
      <text>
        <r>
          <rPr>
            <sz val="10"/>
            <color indexed="81"/>
            <rFont val="Lucida Console"/>
            <family val="3"/>
          </rPr>
          <t>74909|VIGA DE GARAPEIRA BRUTA - 6 CM X 12 CM X 5,00 M COMPRIMENTO|74|3|||</t>
        </r>
      </text>
    </comment>
    <comment ref="H122" authorId="1" shapeId="0" xr:uid="{00000000-0006-0000-0000-000046000000}">
      <text>
        <r>
          <rPr>
            <sz val="10"/>
            <color indexed="81"/>
            <rFont val="Lucida Console"/>
            <family val="3"/>
          </rPr>
          <t>74911|VIGA DE GARAPEIRA BRUTA - 6 X 12 CM X 4,50 M COMPRIMENTO|74|3|||</t>
        </r>
      </text>
    </comment>
    <comment ref="H123" authorId="2" shapeId="0" xr:uid="{00000000-0006-0000-0000-0000D7000000}">
      <text>
        <r>
          <rPr>
            <sz val="9"/>
            <color indexed="81"/>
            <rFont val="Segoe UI"/>
            <family val="2"/>
          </rPr>
          <t>74979|LUVA DESLIZANTE EM PVC COM ANEL - MARROM - 1 1/2"|61|8|A MARCA DEVERÁ VIR LITOGRAFADA NA PEÇA.||</t>
        </r>
      </text>
    </comment>
    <comment ref="H124" authorId="1" shapeId="0" xr:uid="{00000000-0006-0000-0000-000047000000}">
      <text>
        <r>
          <rPr>
            <sz val="10"/>
            <color indexed="81"/>
            <rFont val="Lucida Console"/>
            <family val="3"/>
          </rPr>
          <t>75324|CHAPA EM MDF, CRU - MED. 2,75 M X 1,83 M X 09 MM|69|1|||</t>
        </r>
      </text>
    </comment>
    <comment ref="H125" authorId="2" shapeId="0" xr:uid="{00000000-0006-0000-0000-000048000000}">
      <text>
        <r>
          <rPr>
            <sz val="10"/>
            <color indexed="81"/>
            <rFont val="Lucida Console"/>
            <family val="3"/>
          </rPr>
          <t>75334|CHAPA EM MDF, BRANCO, 02 FACES - MED. 2,75 M X 1,83 M X 15 MM|69|1|TX||</t>
        </r>
      </text>
    </comment>
    <comment ref="H126" authorId="1" shapeId="0" xr:uid="{00000000-0006-0000-0000-0000C3000000}">
      <text>
        <r>
          <rPr>
            <sz val="9"/>
            <color indexed="81"/>
            <rFont val="Segoe UI"/>
            <family val="2"/>
          </rPr>
          <t>75938|PAPEL CAMURCA - 60 X 40CM - AMARELO|57|15|VARIAÇÃO +/- 5CM. GRAMATURA ENTRE 85 E 110 G/M2.||</t>
        </r>
      </text>
    </comment>
    <comment ref="H127" authorId="1" shapeId="0" xr:uid="{00000000-0006-0000-0000-000049000000}">
      <text>
        <r>
          <rPr>
            <sz val="10"/>
            <color indexed="81"/>
            <rFont val="Lucida Console"/>
            <family val="3"/>
          </rPr>
          <t>76218|TELHA DE FIBROCIMENTO - 0,90 X 8,20 M - TIPO CANALETE|51|17|||</t>
        </r>
      </text>
    </comment>
    <comment ref="H128" authorId="1" shapeId="0" xr:uid="{00000000-0006-0000-0000-00004A000000}">
      <text>
        <r>
          <rPr>
            <sz val="10"/>
            <color indexed="81"/>
            <rFont val="Lucida Console"/>
            <family val="3"/>
          </rPr>
          <t>76583|CHAPA DE MADEIRA COMPENSADO LAMINADO DE VIROLA - MEDIDAS: 2,20 M X 1,60 M X 15 MM|74|9|||</t>
        </r>
      </text>
    </comment>
    <comment ref="H129" authorId="1" shapeId="0" xr:uid="{00000000-0006-0000-0000-000090000000}">
      <text>
        <r>
          <rPr>
            <sz val="10"/>
            <color indexed="81"/>
            <rFont val="Lucida Console"/>
            <family val="3"/>
          </rPr>
          <t>76776|CABO FLEXIVEL BITOLA 4,0 MM2, 750 VOLTS, ISOLACAO DE PVC 70° C, COR PRETA|55|19|#ROLO100M||</t>
        </r>
      </text>
    </comment>
    <comment ref="H130" authorId="1" shapeId="0" xr:uid="{00000000-0006-0000-0000-000091000000}">
      <text>
        <r>
          <rPr>
            <sz val="10"/>
            <color indexed="81"/>
            <rFont val="Lucida Console"/>
            <family val="3"/>
          </rPr>
          <t>76777|CABO FLEXIVEL BITOLA 16,0 MM2, 750 VOLTS, ISOLACAO DE PVC 70° C, COR PRETA|55|19|#ROLO100M||</t>
        </r>
      </text>
    </comment>
    <comment ref="H131" authorId="1" shapeId="0" xr:uid="{00000000-0006-0000-0000-000092000000}">
      <text>
        <r>
          <rPr>
            <sz val="10"/>
            <color indexed="81"/>
            <rFont val="Lucida Console"/>
            <family val="3"/>
          </rPr>
          <t>76780|CABO FLEXIVEL BITOLA 4,0 MM2, 750 VOLTS, ISOLACAO DE PVC 70° C, COR VERDE|55|19|#ROLO100M||</t>
        </r>
      </text>
    </comment>
    <comment ref="H132" authorId="1" shapeId="0" xr:uid="{00000000-0006-0000-0000-000093000000}">
      <text>
        <r>
          <rPr>
            <sz val="10"/>
            <color indexed="81"/>
            <rFont val="Lucida Console"/>
            <family val="3"/>
          </rPr>
          <t>76781|CABO FLEXIVEL BITOLA 16,0 MM2, 750 VOLTS, ISOLACAO DE PVC 70° C, COR VERDE|55|19|#ROLO100M||</t>
        </r>
      </text>
    </comment>
    <comment ref="H133" authorId="2" shapeId="0" xr:uid="{00000000-0006-0000-0000-00004B000000}">
      <text>
        <r>
          <rPr>
            <sz val="9"/>
            <color indexed="81"/>
            <rFont val="Segoe UI"/>
            <family val="2"/>
          </rPr>
          <t>77380|LIXEIRA DE PLASTICO COM TAMPA E PEDAL - CAPACIDADE PARA 10 LITROS|72|6|PODENDO VARIAR EM +/- 1 LITRO, PRODUZIDA EM PLÁSTICO DE ALTA DURABILIDADE E RESISTÊNCIA, EM FORMATO CIRCULAR, LIXEIRA E TAMPA NA COR BRANCA, ARMAÇÃO E PEDAL SUPER RESISTENTES EM AÇO CARBONO GALVANIZADO (ZINCADO), ALÇAS LATERAIS RESISTENTES PARA A FACILITAÇÃO DO TRANSPORTE, RESISTENTE A IMPACTOS BEM COMO A RAIOS ULTRA VIOLETAS E A REPETIDAS LAVAGENS, SEM REBARBAS, EXCELENTE VEDAÇÃO. FABRICADA DE ACORDO COM AS PRINCIPAIS NORMAS DA VIGILÂNCIA SANITÁRIA. GARANTIA DE 12 MESES.||</t>
        </r>
      </text>
    </comment>
    <comment ref="H134" authorId="1" shapeId="0" xr:uid="{00000000-0006-0000-0000-00004C000000}">
      <text>
        <r>
          <rPr>
            <sz val="10"/>
            <color indexed="81"/>
            <rFont val="Lucida Console"/>
            <family val="3"/>
          </rPr>
          <t>77554|VIGA DE GARAPEIRA BRUTA - 6 CM X 12 CM X 5,50 M COMPRIMENTO|74|3|||</t>
        </r>
      </text>
    </comment>
    <comment ref="H135" authorId="1" shapeId="0" xr:uid="{00000000-0006-0000-0000-00004D000000}">
      <text>
        <r>
          <rPr>
            <sz val="10"/>
            <color indexed="81"/>
            <rFont val="Lucida Console"/>
            <family val="3"/>
          </rPr>
          <t>77556|VIGA DE GARAPEIRA BRUTA - MEDIDAS: 06 CM X 16 CM X 4,50 M|74|3|||</t>
        </r>
      </text>
    </comment>
    <comment ref="H136" authorId="1" shapeId="0" xr:uid="{00000000-0006-0000-0000-00004E000000}">
      <text>
        <r>
          <rPr>
            <sz val="10"/>
            <color indexed="81"/>
            <rFont val="Lucida Console"/>
            <family val="3"/>
          </rPr>
          <t>77557|VIGA DE GARAPEIRA BRUTA - 0,06 X 0,16 X 5,00 M COMPRIMENTO|74|3|||</t>
        </r>
      </text>
    </comment>
    <comment ref="H137" authorId="1" shapeId="0" xr:uid="{00000000-0006-0000-0000-00004F000000}">
      <text>
        <r>
          <rPr>
            <sz val="9"/>
            <color indexed="81"/>
            <rFont val="Segoe UI"/>
            <family val="2"/>
          </rPr>
          <t>77562|SARRAFO DE CEDRINHO DE 1ª, 25 X 100 M/M, BRUTO DE 4,00 M COMPRIMENTO|74|2|PERMITIDA VARIAÇÃO PARA COMPRIMENTO ATÉ 5M.
#ELDORADO
#MADEIRAS||</t>
        </r>
      </text>
    </comment>
    <comment ref="H138" authorId="2" shapeId="0" xr:uid="{00000000-0006-0000-0000-0000CB000000}">
      <text>
        <r>
          <rPr>
            <sz val="9"/>
            <color indexed="81"/>
            <rFont val="Segoe UI"/>
            <family val="2"/>
          </rPr>
          <t>77819|BOBINA DE SACO PLASTICO PICOTADO PARA EMBALAGEM - MED. 35 X 45 CM|52|15|COM ESPESSURA DE 0,01 MM POR PAREDE, BOBINAS COM 400 SACOS CADA||</t>
        </r>
      </text>
    </comment>
    <comment ref="H139" authorId="3" shapeId="0" xr:uid="{B0B7BD8D-C3DA-4421-8107-EEB1A93B8679}">
      <text>
        <r>
          <rPr>
            <sz val="9"/>
            <color indexed="81"/>
            <rFont val="Segoe UI"/>
            <family val="2"/>
          </rPr>
          <t>78509|TANQUE DE CONCRETO PRE-MOLDADO P/ LAVAGEM DE ROUPAS DE 0,70 X 0,70M|51|36|VARIAÇÃO DE +/- 0,10 M||</t>
        </r>
      </text>
    </comment>
    <comment ref="H140" authorId="2" shapeId="0" xr:uid="{00000000-0006-0000-0000-000050000000}">
      <text>
        <r>
          <rPr>
            <sz val="9"/>
            <color indexed="81"/>
            <rFont val="Segoe UI"/>
            <family val="2"/>
          </rPr>
          <t>80300|BATENTE DE GARAPEIRA 0,92 X 2,10 M|74|10|LARGURA DE 14 CM E ESPESSURA DE 4 CM.||</t>
        </r>
      </text>
    </comment>
    <comment ref="H141" authorId="2" shapeId="0" xr:uid="{00000000-0006-0000-0000-000051000000}">
      <text>
        <r>
          <rPr>
            <sz val="9"/>
            <color indexed="81"/>
            <rFont val="Segoe UI"/>
            <family val="2"/>
          </rPr>
          <t>81370|CORANTE LIQUIDO PARA FINS ALIMENTICIOS - COR VERMELHA - FRASCO COM 10ML|71|33||Infantil|</t>
        </r>
      </text>
    </comment>
    <comment ref="H142" authorId="2" shapeId="0" xr:uid="{00000000-0006-0000-0000-000052000000}">
      <text>
        <r>
          <rPr>
            <sz val="9"/>
            <color indexed="81"/>
            <rFont val="Segoe UI"/>
            <family val="2"/>
          </rPr>
          <t>81371|CORANTE LIQUIDO PARA FINS ALIMENTICIOS - COR AMARELA - FRASCO COM 10ML|71|33||Infantil|</t>
        </r>
      </text>
    </comment>
    <comment ref="H143" authorId="1" shapeId="0" xr:uid="{00000000-0006-0000-0000-000053000000}">
      <text>
        <r>
          <rPr>
            <sz val="10"/>
            <color indexed="81"/>
            <rFont val="Lucida Console"/>
            <family val="3"/>
          </rPr>
          <t>82185|VIGA DE GARAPEIRA BRUTA - 60MM X 160MM X 6,00 M COMPRIMENTO|74|3|||</t>
        </r>
      </text>
    </comment>
    <comment ref="H144" authorId="2" shapeId="0" xr:uid="{00000000-0006-0000-0000-000054000000}">
      <text>
        <r>
          <rPr>
            <sz val="9"/>
            <color indexed="81"/>
            <rFont val="Segoe UI"/>
            <family val="2"/>
          </rPr>
          <t>83627|SACO PLASTICO - GROSSO - 4 FUROS - TAMANHO OFICIO|45|11|7 MICRAS POR PAREDE (VARIAÇÃO DE +/- 1 MICRA)||</t>
        </r>
      </text>
    </comment>
    <comment ref="H145" authorId="1" shapeId="0" xr:uid="{00000000-0006-0000-0000-000055000000}">
      <text>
        <r>
          <rPr>
            <sz val="10"/>
            <color indexed="81"/>
            <rFont val="Lucida Console"/>
            <family val="3"/>
          </rPr>
          <t>83838|LUVA DE LATEX PARA PROCEDIMENTO, TAM. M.|54|4||Infantil|</t>
        </r>
      </text>
    </comment>
    <comment ref="H146" authorId="1" shapeId="0" xr:uid="{00000000-0006-0000-0000-000056000000}">
      <text>
        <r>
          <rPr>
            <sz val="9"/>
            <color indexed="81"/>
            <rFont val="Segoe UI"/>
            <family val="2"/>
          </rPr>
          <t>83839|LUVA DE LATEX PARA PROCEDIMENTO, TAM. G.|54|4||Infantil|</t>
        </r>
      </text>
    </comment>
    <comment ref="H147" authorId="2" shapeId="0" xr:uid="{00000000-0006-0000-0000-000057000000}">
      <text>
        <r>
          <rPr>
            <sz val="9"/>
            <color indexed="81"/>
            <rFont val="Segoe UI"/>
            <family val="2"/>
          </rPr>
          <t>91250|PLASTICO BOLHA - MEDIDA 1,20 M LARGURA|45|17||Infantil|</t>
        </r>
      </text>
    </comment>
    <comment ref="H148" authorId="1" shapeId="0" xr:uid="{00000000-0006-0000-0000-000058000000}">
      <text>
        <r>
          <rPr>
            <sz val="9"/>
            <color indexed="81"/>
            <rFont val="Segoe UI"/>
            <family val="2"/>
          </rPr>
          <t>91669|SABAO EM PO - EMBALAGEM C/ 01 KG|72|9||Infantil|</t>
        </r>
      </text>
    </comment>
    <comment ref="H149" authorId="1" shapeId="0" xr:uid="{00000000-0006-0000-0000-000094000000}">
      <text>
        <r>
          <rPr>
            <sz val="9"/>
            <color indexed="81"/>
            <rFont val="Segoe UI"/>
            <family val="2"/>
          </rPr>
          <t>92111|CABO FLEXIVEL 25MM, 1KV - COR PRETO|55|19|#BOBINA100M||</t>
        </r>
      </text>
    </comment>
    <comment ref="H150" authorId="2" shapeId="0" xr:uid="{00000000-0006-0000-0000-0000C6000000}">
      <text>
        <r>
          <rPr>
            <sz val="9"/>
            <color indexed="81"/>
            <rFont val="Segoe UI"/>
            <family val="2"/>
          </rPr>
          <t>93453|PAPEL ESPELHO BRILHANTE (DOBRADURA), MEDINDO 48 X 66 CM - COR: AMARELA|57|2|COR VIVA, VIBRANTE, UNIFORME E SEM MANCHAS (VARIAÇÃO +/- 5 CM).||</t>
        </r>
      </text>
    </comment>
    <comment ref="H151" authorId="2" shapeId="0" xr:uid="{00000000-0006-0000-0000-0000C7000000}">
      <text>
        <r>
          <rPr>
            <sz val="9"/>
            <color indexed="81"/>
            <rFont val="Segoe UI"/>
            <family val="2"/>
          </rPr>
          <t>93454|PAPEL ESPELHO BRILHANTE (DOBRADURA), MEDINDO 48 X 66 CM - COR: AZUL ESCURO|57|2|COR VIVA, VIBRANTE, UNIFORME E SEM MANCHAS (VARIAÇÃO +/- 5 CM).||</t>
        </r>
      </text>
    </comment>
    <comment ref="H152" authorId="2" shapeId="0" xr:uid="{00000000-0006-0000-0000-0000C8000000}">
      <text>
        <r>
          <rPr>
            <sz val="9"/>
            <color indexed="81"/>
            <rFont val="Segoe UI"/>
            <family val="2"/>
          </rPr>
          <t>93456|PAPEL ESPELHO BRILHANTE (DOBRADURA), MEDINDO 48 X 66 CM - COR: LARANJA - AS MEDIDAS PODERAO VARIAR +/- 5 CM|57|2|COR VIVA, VIBRANTE, UNIFORME E SEM MANCHAS (VARIAÇÃO +/- 5 CM).||</t>
        </r>
      </text>
    </comment>
    <comment ref="H153" authorId="2" shapeId="0" xr:uid="{00000000-0006-0000-0000-0000C9000000}">
      <text>
        <r>
          <rPr>
            <sz val="9"/>
            <color indexed="81"/>
            <rFont val="Segoe UI"/>
            <family val="2"/>
          </rPr>
          <t>93461|PAPEL ESPELHO BRILHANTE (DOBRADURA), MEDINDO 48 X 66 CM - COR: VERDE ESCURO|57|2|COR VIVA, VIBRANTE, UNIFORME E SEM MANCHAS (VARIAÇÃO +/- 5 CM).||</t>
        </r>
      </text>
    </comment>
    <comment ref="H154" authorId="2" shapeId="0" xr:uid="{00000000-0006-0000-0000-0000CA000000}">
      <text>
        <r>
          <rPr>
            <sz val="9"/>
            <color indexed="81"/>
            <rFont val="Segoe UI"/>
            <family val="2"/>
          </rPr>
          <t>93462|PAPEL ESPELHO BRILHANTE (DOBRADURA), MEDINDO 48 X 66 CM - COR: VERMELHA|57|2|COR VIVA, VIBRANTE, UNIFORME E SEM MANCHAS (VARIAÇÃO +/- 5 CM).||</t>
        </r>
      </text>
    </comment>
    <comment ref="H155" authorId="1" shapeId="0" xr:uid="{00000000-0006-0000-0000-000095000000}">
      <text>
        <r>
          <rPr>
            <sz val="10"/>
            <color indexed="81"/>
            <rFont val="Lucida Console"/>
            <family val="3"/>
          </rPr>
          <t>95513|CABO FLEXIVEL BITOLA 50 MM², ISOLACAO DE PVC 70° C, 1KV, 750V, ANTICHAMA, COR PRETA|55|19|#BOBINA100M||</t>
        </r>
      </text>
    </comment>
    <comment ref="H156" authorId="1" shapeId="0" xr:uid="{00000000-0006-0000-0000-000059000000}">
      <text>
        <r>
          <rPr>
            <sz val="9"/>
            <color indexed="81"/>
            <rFont val="Segoe UI"/>
            <family val="2"/>
          </rPr>
          <t>96516|LUVA DE LATEX - TAMANHO M.|54|4||Adm|</t>
        </r>
      </text>
    </comment>
    <comment ref="H157" authorId="1" shapeId="0" xr:uid="{00000000-0006-0000-0000-00005A000000}">
      <text>
        <r>
          <rPr>
            <sz val="9"/>
            <color indexed="81"/>
            <rFont val="Segoe UI"/>
            <family val="2"/>
          </rPr>
          <t>98080|LUVA DE LATEX - TAMANHO G|54|19||Adm|</t>
        </r>
      </text>
    </comment>
    <comment ref="H158" authorId="1" shapeId="0" xr:uid="{00000000-0006-0000-0000-00005B000000}">
      <text>
        <r>
          <rPr>
            <sz val="10"/>
            <color indexed="81"/>
            <rFont val="Lucida Console"/>
            <family val="3"/>
          </rPr>
          <t>98702|FORRO EM PVC BRANCO LISO, REGUA DE 6M DE COMPRIMENTO, 20CM DE LARGURA - 10MM DE ESPESSURA (ESPESSURA COM TOLERANCIA DE +/- 2MM)|51|24|||</t>
        </r>
      </text>
    </comment>
    <comment ref="H159" authorId="2" shapeId="0" xr:uid="{00000000-0006-0000-0000-00005C000000}">
      <text>
        <r>
          <rPr>
            <sz val="9"/>
            <color indexed="81"/>
            <rFont val="Segoe UI"/>
            <family val="2"/>
          </rPr>
          <t>99787|ELETRODUTO DE ACO CARBONO GALVANIZADO A FOGO - DIAMETRO 1 1/2" - BARRA COM 3 M|55|32|GALVANIZAÇÃO A FOGO MÉDIO.||</t>
        </r>
      </text>
    </comment>
    <comment ref="H160" authorId="1" shapeId="0" xr:uid="{00000000-0006-0000-0000-000096000000}">
      <text>
        <r>
          <rPr>
            <sz val="9"/>
            <color indexed="81"/>
            <rFont val="Segoe UI"/>
            <family val="2"/>
          </rPr>
          <t>99810|CABO DE COBRE FLEXIVEL, BITOLA 10,0MM2, 1KV,  ISOLACAO DE PVC 70ºC, COR PRETA|55|19|#ROLO100M||</t>
        </r>
      </text>
    </comment>
    <comment ref="H161" authorId="1" shapeId="0" xr:uid="{00000000-0006-0000-0000-00005D000000}">
      <text>
        <r>
          <rPr>
            <sz val="9"/>
            <color indexed="81"/>
            <rFont val="Segoe UI"/>
            <family val="2"/>
          </rPr>
          <t>100362|CIMENTO COLA AC3 - SACO C/20 KG|51|3|||</t>
        </r>
      </text>
    </comment>
    <comment ref="H162" authorId="0" shapeId="0" xr:uid="{0D33C58B-E120-4078-AB50-D3870B0E3BE7}">
      <text>
        <r>
          <rPr>
            <sz val="10"/>
            <color indexed="81"/>
            <rFont val="Lucida Console"/>
            <family val="3"/>
          </rPr>
          <t>100802|SILICONE PARA VEDACAO - TUBO COM NO MINIMO 280G|61|9|ACÉTICO PARA CUBAS E JANELAS, INCOLOR.
PRAZO DE VALIDADE 18 MESES. O MATERIAL DEVERÁ SER ENTREGUE COM NO MÁXIMO 3 MESES DA DATA DE FABRICAÇÃO.||</t>
        </r>
      </text>
    </comment>
    <comment ref="H163" authorId="1" shapeId="0" xr:uid="{00000000-0006-0000-0000-000097000000}">
      <text>
        <r>
          <rPr>
            <sz val="9"/>
            <color indexed="81"/>
            <rFont val="Segoe UI"/>
            <family val="2"/>
          </rPr>
          <t>101917|CABO DE COBRE FLEXIVEL, BITOLA 10,0 MM2, 1KV, ISOLACAO DE PVC 70º, COR AZUL CLARO|55|19|#ROLO100M||</t>
        </r>
      </text>
    </comment>
    <comment ref="H164" authorId="3" shapeId="0" xr:uid="{9AB295B8-AE13-49EF-94B7-2DFF99EE930A}">
      <text>
        <r>
          <rPr>
            <sz val="9"/>
            <color indexed="81"/>
            <rFont val="Segoe UI"/>
            <family val="2"/>
          </rPr>
          <t>102588|GRELHA P/RALO EM INOX, 100MM (4")|61|11|REDONDA||</t>
        </r>
      </text>
    </comment>
    <comment ref="H165" authorId="0" shapeId="0" xr:uid="{EDDE768B-44A6-4B2A-8386-325908E8CDB8}">
      <text>
        <r>
          <rPr>
            <sz val="10"/>
            <color indexed="81"/>
            <rFont val="Lucida Console"/>
            <family val="3"/>
          </rPr>
          <t>102723|ELETROCALHA LISA C/TAMPA C/FECHAMENTO POR PARAFUSO, GALVANIZADA, P/ELETROCALHA -  100 X 50MM|69|5|ESPESSURA 0,65 MM (CHAPA #24)||</t>
        </r>
      </text>
    </comment>
    <comment ref="H166" authorId="1" shapeId="0" xr:uid="{00000000-0006-0000-0000-000098000000}">
      <text>
        <r>
          <rPr>
            <sz val="9"/>
            <color indexed="81"/>
            <rFont val="Segoe UI"/>
            <family val="2"/>
          </rPr>
          <t>102791|CABO DE COBRE FLEXIVEL, BITOLA 35,0MM2, 1KV,  ISOLACAO DE PVC 70ºC, COR VERDE|55|19|#BOBINA100M||</t>
        </r>
      </text>
    </comment>
    <comment ref="H167" authorId="2" shapeId="0" xr:uid="{00000000-0006-0000-0000-000004010000}">
      <text>
        <r>
          <rPr>
            <sz val="9"/>
            <color indexed="81"/>
            <rFont val="Segoe UI"/>
            <family val="2"/>
          </rPr>
          <t>102922|DETERGENTE LIQUIDO,  NEUTRO - INCOLOR - FRASCO C/500ML|72|10||Adm|</t>
        </r>
      </text>
    </comment>
    <comment ref="H168" authorId="1" shapeId="0" xr:uid="{00000000-0006-0000-0000-000099000000}">
      <text>
        <r>
          <rPr>
            <sz val="10"/>
            <color indexed="81"/>
            <rFont val="Lucida Console"/>
            <family val="3"/>
          </rPr>
          <t>103251|CABO FLEXIVEL BITOLA 16,0 MM2, 1 KV, ISOLACAO DE PVC 70º,  ANTI-CHAMA. COR AZUL CLARA|55|19|#ROLO100M||</t>
        </r>
      </text>
    </comment>
    <comment ref="H169" authorId="0" shapeId="0" xr:uid="{39872573-A4FF-4E0A-8F17-DB9E52DF2FF5}">
      <text>
        <r>
          <rPr>
            <sz val="10"/>
            <color indexed="81"/>
            <rFont val="Lucida Console"/>
            <family val="3"/>
          </rPr>
          <t>105293|PUXADOR EXTERNO PARA ARMARIO, COM 2 PARAFUSOS - TIPO ALCA - MEDIDA: 14,5 CM X 2,5 CM|51|11|CINZA OU PRATA||</t>
        </r>
      </text>
    </comment>
    <comment ref="H170" authorId="3" shapeId="0" xr:uid="{82E523BD-8D0C-46FA-8191-731DA6F0683D}">
      <text>
        <r>
          <rPr>
            <sz val="9"/>
            <color indexed="81"/>
            <rFont val="Segoe UI"/>
            <family val="2"/>
          </rPr>
          <t>106038|CONECTOR RJ-45 FEMEA, PARA CABO UTP CATEGORIA 6|60|21|CONFORME ESPECIFICAÇÃO TÉCNICA ANEXA||</t>
        </r>
      </text>
    </comment>
    <comment ref="H171" authorId="1" shapeId="0" xr:uid="{00000000-0006-0000-0000-00005E000000}">
      <text>
        <r>
          <rPr>
            <sz val="10"/>
            <color indexed="81"/>
            <rFont val="Lucida Console"/>
            <family val="3"/>
          </rPr>
          <t>106375|TELHA EM CIMENTO REFORCADO|51|17|||</t>
        </r>
      </text>
    </comment>
    <comment ref="H172" authorId="1" shapeId="0" xr:uid="{00000000-0006-0000-0000-00005F000000}">
      <text>
        <r>
          <rPr>
            <sz val="10"/>
            <color indexed="81"/>
            <rFont val="Lucida Console"/>
            <family val="3"/>
          </rPr>
          <t>106376|TELHA EM CIMENTO REFORCADO COM FIO SINTETICO(CRFS)|51|17|||</t>
        </r>
      </text>
    </comment>
    <comment ref="H173" authorId="3" shapeId="0" xr:uid="{A476B472-F554-4F77-95DD-E66130982064}">
      <text>
        <r>
          <rPr>
            <sz val="9"/>
            <color indexed="81"/>
            <rFont val="Segoe UI"/>
            <family val="2"/>
          </rPr>
          <t>107401|BUCHA DE REDUCAO EM PVC RIGIDO SOLDAVEL DE 4" X 2" - ESGOTO".|61|8|A MARCA DEVERÁ VIR LITOGRAFADA NA PEÇA.||</t>
        </r>
      </text>
    </comment>
    <comment ref="H174" authorId="1" shapeId="0" xr:uid="{00000000-0006-0000-0000-00009A000000}">
      <text>
        <r>
          <rPr>
            <sz val="9"/>
            <color indexed="81"/>
            <rFont val="Segoe UI"/>
            <family val="2"/>
          </rPr>
          <t>108463|CABO DE COBRE FLEXIVEL BITOLA 35 MM²,  0,6/1 KV ISOLACAO DE PVC 70° C, COR PRETA|55|19|#BOBINA100M||</t>
        </r>
      </text>
    </comment>
    <comment ref="H175" authorId="1" shapeId="0" xr:uid="{00000000-0006-0000-0000-000060000000}">
      <text>
        <r>
          <rPr>
            <sz val="10"/>
            <color indexed="81"/>
            <rFont val="Lucida Console"/>
            <family val="3"/>
          </rPr>
          <t>109944|CHAPA DE LAMINADO MELAMINICO  PARA LOUSA LISA QUADRICULADA (5X5CM) DE FUNDO BRANCO ACABAMENTO BRILHANTE C/ 3,08 X 1,25 M ESP =1,0MM. COR PADRAO: BRANCOLINE|74|8|||</t>
        </r>
      </text>
    </comment>
    <comment ref="H176" authorId="2" shapeId="0" xr:uid="{00000000-0006-0000-0000-000061000000}">
      <text>
        <r>
          <rPr>
            <sz val="9"/>
            <color indexed="81"/>
            <rFont val="Segoe UI"/>
            <family val="2"/>
          </rPr>
          <t>110578|SABONETE LIQUIDO PEROLADO, FRASCO COM 1 LITRO|72|9||Adm|</t>
        </r>
      </text>
    </comment>
    <comment ref="H177" authorId="1" shapeId="0" xr:uid="{00000000-0006-0000-0000-00009B000000}">
      <text>
        <r>
          <rPr>
            <sz val="10"/>
            <color indexed="81"/>
            <rFont val="Lucida Console"/>
            <family val="3"/>
          </rPr>
          <t>110889|CABO DE COBRE FLEXIVEL BITOLA 150 MM²,  0,6/1 KV ISOLACAO DE PVC 70° C, COR PRETA - ANTI-CHAMA|55|19|#BOBINA100M||</t>
        </r>
      </text>
    </comment>
    <comment ref="H178" authorId="1" shapeId="0" xr:uid="{00000000-0006-0000-0000-00009C000000}">
      <text>
        <r>
          <rPr>
            <sz val="9"/>
            <color indexed="81"/>
            <rFont val="Segoe UI"/>
            <family val="2"/>
          </rPr>
          <t>110890|CABO DE COBRE FLEXIVEL BITOLA  95 MM²,  750 V ISOLACAO DE PVC 70° C, COR VERDE - ANTI-CHAMA.|55|19|#BOBINA100M||</t>
        </r>
      </text>
    </comment>
    <comment ref="H179" authorId="1" shapeId="0" xr:uid="{00000000-0006-0000-0000-00009D000000}">
      <text>
        <r>
          <rPr>
            <sz val="9"/>
            <color indexed="81"/>
            <rFont val="Segoe UI"/>
            <family val="2"/>
          </rPr>
          <t>110891|CABO DE COBRE FLEXIVEL BITOLA 70 MM²,  0,6/1 KV ISOLACAO DE PVC 70° COR AZUL CLARO - ANTI-CHAMA.|55|19|#BOBINA100M||</t>
        </r>
      </text>
    </comment>
    <comment ref="H180" authorId="1" shapeId="0" xr:uid="{00000000-0006-0000-0000-00009E000000}">
      <text>
        <r>
          <rPr>
            <sz val="9"/>
            <color indexed="81"/>
            <rFont val="Segoe UI"/>
            <family val="2"/>
          </rPr>
          <t>112965|CABO DE COBRE FLEXIVEL BITOLA 70 MM²,  0,6/1 KV ISOLACAO DE PVC 70° C, COR PRETO - ANTI-CHAMA|55|19|#BOBINA100M||</t>
        </r>
      </text>
    </comment>
    <comment ref="H181" authorId="2" shapeId="0" xr:uid="{00000000-0006-0000-0000-000064000000}">
      <text>
        <r>
          <rPr>
            <sz val="10"/>
            <color indexed="81"/>
            <rFont val="Lucida Console"/>
            <family val="3"/>
          </rPr>
          <t>113846|REJUNTE BEGE - SACO COM 01 KG|51|19|BEGE CLARO||</t>
        </r>
      </text>
    </comment>
    <comment ref="H182" authorId="1" shapeId="0" xr:uid="{00000000-0006-0000-0000-000065000000}">
      <text>
        <r>
          <rPr>
            <sz val="10"/>
            <color indexed="81"/>
            <rFont val="Lucida Console"/>
            <family val="3"/>
          </rPr>
          <t>114297|TELHA DE CONCRETO, INCLINACAO MINIMA : 30 OU 16, 40º. SOBREPOSICAO TRANSVERSAL: 10 CM, RESISTENCIA A FLEXAO: ACIMA DE 300 KG, SEGUNDO AS NORMAS TECNICAS ABNT: NBR 13858-1 / 13858-2|51|17|||</t>
        </r>
      </text>
    </comment>
    <comment ref="H183" authorId="1" shapeId="0" xr:uid="{00000000-0006-0000-0000-000066000000}">
      <text>
        <r>
          <rPr>
            <sz val="10"/>
            <color indexed="81"/>
            <rFont val="Lucida Console"/>
            <family val="3"/>
          </rPr>
          <t>114299|CUMEEIRA NORMAL ( PARA TELHA DE CONCRETO ), INCLANACAO MINIMA : 30 OU 16,40º. SOBREPOSICAO TRANSVERSAL: 10 CM. RESISTENCIA A FLEXAO : ACIMA DE 300 KG. SEGUNDO AS NORMAS TECNICAS ABNT : NBR 13858-1 / 13858-2|51|17|||</t>
        </r>
      </text>
    </comment>
    <comment ref="H184" authorId="1" shapeId="0" xr:uid="{00000000-0006-0000-0000-000067000000}">
      <text>
        <r>
          <rPr>
            <sz val="10"/>
            <color indexed="81"/>
            <rFont val="Lucida Console"/>
            <family val="3"/>
          </rPr>
          <t>114852|VIGA DE GARAPEIRA BRUTA - 60MM X 160MM X 6,50 M COMPRIMENTO|74|3|||</t>
        </r>
      </text>
    </comment>
    <comment ref="H185" authorId="1" shapeId="0" xr:uid="{00000000-0006-0000-0000-000068000000}">
      <text>
        <r>
          <rPr>
            <sz val="10"/>
            <color indexed="81"/>
            <rFont val="Lucida Console"/>
            <family val="3"/>
          </rPr>
          <t>114853|VIGA DE GARAPEIRA BRUTA - 60MM X 160MM X 7,00 M COMPRIMENTO|74|3|||</t>
        </r>
      </text>
    </comment>
    <comment ref="H186" authorId="1" shapeId="0" xr:uid="{00000000-0006-0000-0000-00009F000000}">
      <text>
        <r>
          <rPr>
            <sz val="9"/>
            <color indexed="81"/>
            <rFont val="Segoe UI"/>
            <family val="2"/>
          </rPr>
          <t>114976|CABO DE COBRE FLEXIVEL BITOLA 240 MM2 ISOLACAO 0,6/1KV , TEMPERATURA 70° C, COR PRETA - ANTICHAMA|55|19|#BOBINA100M||</t>
        </r>
      </text>
    </comment>
    <comment ref="H187" authorId="2" shapeId="0" xr:uid="{00000000-0006-0000-0000-0000DF000000}">
      <text>
        <r>
          <rPr>
            <sz val="9"/>
            <color indexed="81"/>
            <rFont val="Segoe UI"/>
            <family val="2"/>
          </rPr>
          <t>115282|FILME DE POLIETILENO - MED. 500 MM LARGURA X 0,020 MM ESPESSURA X 140 METROS DE COMPRIMENTO|73|10|VARIAÇÃO DE + 0,005 MILIMETROS NA ESPESSURA E DE + 10 METROS NO COMPRIMENTO.||</t>
        </r>
      </text>
    </comment>
    <comment ref="H188" authorId="2" shapeId="0" xr:uid="{00000000-0006-0000-0000-000069000000}">
      <text>
        <r>
          <rPr>
            <sz val="10"/>
            <color indexed="81"/>
            <rFont val="Lucida Console"/>
            <family val="3"/>
          </rPr>
          <t>115807|CHAPA EM MDF CARVALHO 2 FACES, MEDINDO 2,75 X 1,83 M X 15 MM DE ESPESSURA|69|1|SUPERFICIE LISA COM ASPECTO AMADEIRADO||</t>
        </r>
      </text>
    </comment>
    <comment ref="H189" authorId="1" shapeId="0" xr:uid="{00000000-0006-0000-0000-00006A000000}">
      <text>
        <r>
          <rPr>
            <sz val="10"/>
            <color indexed="81"/>
            <rFont val="Lucida Console"/>
            <family val="3"/>
          </rPr>
          <t>118427|TABUA DE CAMBARA DE 1ª, 25 X 300 MM, BRUTA|74|2|||</t>
        </r>
      </text>
    </comment>
    <comment ref="H190" authorId="0" shapeId="0" xr:uid="{61609978-C2BE-472E-92C7-5900449F882A}">
      <text>
        <r>
          <rPr>
            <sz val="10"/>
            <color indexed="81"/>
            <rFont val="Lucida Console"/>
            <family val="3"/>
          </rPr>
          <t>118515|PISO HIDRAULICO, ANTIDERRAPANTE|51|21|MODELO ¼ DE CÍRCULO (MILANO)||</t>
        </r>
      </text>
    </comment>
    <comment ref="H191" authorId="0" shapeId="0" xr:uid="{8DDBE4FB-FB6C-47F9-91AB-ACD322C5D805}">
      <text>
        <r>
          <rPr>
            <sz val="10"/>
            <color indexed="81"/>
            <rFont val="Lucida Console"/>
            <family val="3"/>
          </rPr>
          <t>118577|PISO HIDRAULICO, ANTIDERRAPANTE, COR CINZA.|51|21|MODELO ¼ DE CÍRCULO (MILANO)||</t>
        </r>
      </text>
    </comment>
    <comment ref="H192" authorId="2" shapeId="0" xr:uid="{00000000-0006-0000-0000-00006B000000}">
      <text>
        <r>
          <rPr>
            <sz val="9"/>
            <color indexed="81"/>
            <rFont val="Segoe UI"/>
            <family val="2"/>
          </rPr>
          <t>118660|PLASTICO CRISTAL TRANSPARENTE DE 0,40 MICRONS X 1,40 M LARGURA  X 30 M DE COMPRIMENTO|45|29|EM PVC TOTALMENTE TRANSPARENTE. APRESENTAR AMOSTRA.|Infantil|</t>
        </r>
      </text>
    </comment>
    <comment ref="H193" authorId="3" shapeId="0" xr:uid="{D44B6BF5-AA27-45BE-8B51-440580A81709}">
      <text>
        <r>
          <rPr>
            <sz val="9"/>
            <color indexed="81"/>
            <rFont val="Segoe UI"/>
            <family val="2"/>
          </rPr>
          <t>119554|CHAPA EM MDF ALTO BRILHO - MEDIDAS: 2,75 X 1,86 M X 15 MM DE ESPESSURA|74|9|COR BRANCA, DUPLA FACE, VARIAÇÃO: +/- 0,03 MM (EXCETO ESPESSURA)||</t>
        </r>
      </text>
    </comment>
    <comment ref="H194" authorId="2" shapeId="0" xr:uid="{00000000-0006-0000-0000-00006D000000}">
      <text>
        <r>
          <rPr>
            <sz val="10"/>
            <color indexed="81"/>
            <rFont val="Lucida Console"/>
            <family val="3"/>
          </rPr>
          <t>119621|CHAPA EM MDF ALTO BRILHO - MEDIDAS: 2,75 X 1,86 M X 06 MM DE ESPESSURA|74|9|DUPLA FACE - VARIAÇÃO: +/- 0,03 MM (EXCETO ESPESSURA)||</t>
        </r>
      </text>
    </comment>
    <comment ref="H195" authorId="1" shapeId="0" xr:uid="{00000000-0006-0000-0000-0000A0000000}">
      <text>
        <r>
          <rPr>
            <sz val="9"/>
            <color indexed="81"/>
            <rFont val="Segoe UI"/>
            <family val="2"/>
          </rPr>
          <t>119627|CABO DE COBRE FLEXIVEL BITOLA 10MM², 6,6/1 KV, ISOLACAO DE PVC 70ºC, COR VERDE - ANTICHAMA - ROLO COM 100 METROS|55|19|#ROLO100M||</t>
        </r>
      </text>
    </comment>
    <comment ref="H196" authorId="1" shapeId="0" xr:uid="{00000000-0006-0000-0000-0000A1000000}">
      <text>
        <r>
          <rPr>
            <sz val="9"/>
            <color indexed="81"/>
            <rFont val="Segoe UI"/>
            <family val="2"/>
          </rPr>
          <t>119628|CABO DE COBRE FLEXIVEL BITOLA 25 MM², 0.6/1 KV, ISOLACAO DE PVC 70ºC, COR VERDE - ANTICHAMA - ROLO COM 100 METROS|55|19|#BOBINA100M||</t>
        </r>
      </text>
    </comment>
    <comment ref="H197" authorId="4" shapeId="0" xr:uid="{00000000-0006-0000-0000-00006F000000}">
      <text>
        <r>
          <rPr>
            <sz val="9"/>
            <color indexed="81"/>
            <rFont val="Segoe UI"/>
            <family val="2"/>
          </rPr>
          <t>122818|PISO DE BORRACHA MODELO I, COR AZUL, ISENTO DE SUBSTANCIAS TOXICAS COM ABSORCAO DE IMPACTOS ANTI DERRAPANTES, NA MEDIDA 335 X255 X20 MM, ATENDENDO A NORMA ASTM 2240, COM DUREZA DE 50 SHORE A, RESISTENTE A LUZ SOLAR E ABRASAO NORMA DIN53516&lt;150|51|21|AS MEDIDAS PODERÃO VARIAR +/-  05 MM NA LARGURA E NO COMPRIMENTO E +-/ 02 MM NA ESPESSURA. AS PEÇAS DEVERÃO SER LISAS E UNIFORMES, AFIM DE EVITAR QUE AS CRIANÇAS SE MACHUQUEM. APRESENTAR AMOSTRA E LAUDO TÉCNICO EXPEDIDO POR LABORATÓRIO ACREDITADO PELO INMETRO, COMPROVANDO QUE O PRODUTO É ISENTO DE SUBSTÂNCIAS TÓXICAS.||</t>
        </r>
      </text>
    </comment>
    <comment ref="H198" authorId="1" shapeId="0" xr:uid="{00000000-0006-0000-0000-000070000000}">
      <text>
        <r>
          <rPr>
            <sz val="9"/>
            <color indexed="81"/>
            <rFont val="Segoe UI"/>
            <family val="2"/>
          </rPr>
          <t>123146|CIMENTO COLANTE - SACO COM 20 KG (PARA USO INTERNO E EXTERNO)|51|4|||</t>
        </r>
      </text>
    </comment>
    <comment ref="H199" authorId="1" shapeId="0" xr:uid="{00000000-0006-0000-0000-0000A2000000}">
      <text>
        <r>
          <rPr>
            <sz val="9"/>
            <color indexed="81"/>
            <rFont val="Segoe UI"/>
            <family val="2"/>
          </rPr>
          <t>123370|CABO DE COBRE FLEXIVEL BITOLA 185 MM2 , ISOLACAO 0,6/1 KV, COR PRETA - ANTICHAMA|55|19|#BOBINA100M||</t>
        </r>
      </text>
    </comment>
    <comment ref="H200" authorId="1" shapeId="0" xr:uid="{00000000-0006-0000-0000-0000A3000000}">
      <text>
        <r>
          <rPr>
            <sz val="9"/>
            <color indexed="81"/>
            <rFont val="Segoe UI"/>
            <family val="2"/>
          </rPr>
          <t>123371|CABO DE COBRE FLEXIVEL BITOLA 120 MM2 , ISOLACAO 0,6/1 KV, COR PRETA - ANTICHAMA|55|19|#BOBINA100M||</t>
        </r>
      </text>
    </comment>
    <comment ref="H201" authorId="1" shapeId="0" xr:uid="{00000000-0006-0000-0000-0000A4000000}">
      <text>
        <r>
          <rPr>
            <sz val="9"/>
            <color indexed="81"/>
            <rFont val="Segoe UI"/>
            <family val="2"/>
          </rPr>
          <t>123372|CABO DE COBRE FLEXIVEL BITOLA 95 MM2 , ISOLACAO 0,6/1 KV, COR AZUL - ANTICHAMA|55|19|#BOBINA100M||</t>
        </r>
      </text>
    </comment>
    <comment ref="H202" authorId="1" shapeId="0" xr:uid="{00000000-0006-0000-0000-0000A5000000}">
      <text>
        <r>
          <rPr>
            <sz val="9"/>
            <color indexed="81"/>
            <rFont val="Segoe UI"/>
            <family val="2"/>
          </rPr>
          <t>123373|CABO DE COBRE FLEXIVEL BITOLA 95 MM2 , ISOLACAO 0,6/1 KV, COR PRETA - ANTICHAMA|55|19|#BOBINA100M||</t>
        </r>
      </text>
    </comment>
    <comment ref="H203" authorId="1" shapeId="0" xr:uid="{00000000-0006-0000-0000-0000C4000000}">
      <text>
        <r>
          <rPr>
            <sz val="9"/>
            <color indexed="81"/>
            <rFont val="Segoe UI"/>
            <family val="2"/>
          </rPr>
          <t>124261|PAPEL CAMURCA - 60 X 40 CM - AZUL CLARO|57|15|VARIAÇÃO +/- 5CM. GRAMATURA ENTRE 85 E 110 G/M2.||</t>
        </r>
      </text>
    </comment>
    <comment ref="H204" authorId="1" shapeId="0" xr:uid="{00000000-0006-0000-0000-000072000000}">
      <text>
        <r>
          <rPr>
            <sz val="10"/>
            <color indexed="81"/>
            <rFont val="Lucida Console"/>
            <family val="3"/>
          </rPr>
          <t>124335|LUMINARIA HERMETICA, 02 LAMPADAS FLUORESCENTES TUBULARES DE 40 W, CORPO DE REFLETOR EM CHAPA DE ACO, TRATADA NA COR BRANCA, DIFUSOR MOLDADO EM FORMA DE "U" EM POLIESTIRENO PLANO MARTELADO, ALOJAMENTO PARA REATOR NO PROPRIO CORPO MEDIDAS: 75 X 204 X 1240 MM (VARIACAO DE +/- 20 MM)|55|49|||</t>
        </r>
      </text>
    </comment>
    <comment ref="H205" authorId="1" shapeId="0" xr:uid="{00000000-0006-0000-0000-0000A6000000}">
      <text>
        <r>
          <rPr>
            <sz val="9"/>
            <color indexed="81"/>
            <rFont val="Segoe UI"/>
            <family val="2"/>
          </rPr>
          <t>124980|CABO DE COBRE FLEXIVEL, BITOLA 35,0MM2, 1KV,  ISOLACAO DE PVC 70ºC, COR AZUL CLARO- ANTI-CHAMA|55|19|#BOBINA100M||</t>
        </r>
      </text>
    </comment>
    <comment ref="H206" authorId="4" shapeId="0" xr:uid="{00000000-0006-0000-0000-000073000000}">
      <text>
        <r>
          <rPr>
            <sz val="9"/>
            <color indexed="81"/>
            <rFont val="Segoe UI"/>
            <family val="2"/>
          </rPr>
          <t>125262|PISO DE BORRACHA MODELO I, COR: AMARELO, ISENTO DE SUBSTANCIAS TOXICAS COM ABSORCAO DE IMPACTOS ANTI DERRAPANTE, NA MEDIDA 335 X 255 X 20 MM, ATENDENDO A NORMA ASTM 2240, COM DUREZA DE 50 SHORE A, RESISTENTE A LUZ SOLAR E ABRASAO, NORMA DIN 53516&lt;150.|51|21|AS MEDIDAS PODERÃO VARIAR +/-  05 MM NA LARGURA E NO COMPRIMENTO E +-/ 02 MM NA ESPESSURA. AS PEÇAS DEVERÃO SER LISAS E UNIFORMES, AFIM DE EVITAR QUE AS CRIANÇAS SE MACHUQUEM. APRESENTAR AMOSTRA E LAUDO TÉCNICO EXPEDIDO POR LABORATÓRIO ACREDITADO PELO INMETRO, COMPROVANDO QUE O PRODUTO É ISENTO DE SUBSTÂNCIAS TÓXICAS.||</t>
        </r>
      </text>
    </comment>
    <comment ref="H207" authorId="3" shapeId="0" xr:uid="{3C367B01-EB28-4D96-B1B7-A324AAB44FA8}">
      <text>
        <r>
          <rPr>
            <sz val="9"/>
            <color indexed="81"/>
            <rFont val="Segoe UI"/>
            <family val="2"/>
          </rPr>
          <t>125269|CONECTOR RJ-45 MACHO, PARA CABO UTP CATEGORIA 5E|60|21|CONFORME ESPECIFICAÇÃO TÉCNICA ANEXA||</t>
        </r>
      </text>
    </comment>
    <comment ref="H208" authorId="2" shapeId="0" xr:uid="{00000000-0006-0000-0000-0000C5000000}">
      <text>
        <r>
          <rPr>
            <sz val="9"/>
            <color indexed="81"/>
            <rFont val="Segoe UI"/>
            <family val="2"/>
          </rPr>
          <t>126345|AGUA DESTILADA PARA BATERIA - FRASCO C/ 1 LITRO|89|7||Adm|</t>
        </r>
      </text>
    </comment>
    <comment ref="H209" authorId="1" shapeId="0" xr:uid="{00000000-0006-0000-0000-000074000000}">
      <text>
        <r>
          <rPr>
            <sz val="9"/>
            <color indexed="81"/>
            <rFont val="Segoe UI"/>
            <family val="2"/>
          </rPr>
          <t>127664|CHA DE ERVA MATE TOSTADO - CAIXA COM 250 GR|71|34||Adm|</t>
        </r>
      </text>
    </comment>
    <comment ref="H210" authorId="1" shapeId="0" xr:uid="{00000000-0006-0000-0000-0000A7000000}">
      <text>
        <r>
          <rPr>
            <sz val="10"/>
            <color indexed="81"/>
            <rFont val="Lucida Console"/>
            <family val="3"/>
          </rPr>
          <t>129959|CABO DE COBRE FLEXIVEL BITOLA 120MM², 750 V, ISOLACAO DE PVC - 70°C - COR VERDE|55|19|#BOBINA100M||</t>
        </r>
      </text>
    </comment>
    <comment ref="H211" authorId="1" shapeId="0" xr:uid="{00000000-0006-0000-0000-0000A8000000}">
      <text>
        <r>
          <rPr>
            <sz val="9"/>
            <color indexed="81"/>
            <rFont val="Segoe UI"/>
            <family val="2"/>
          </rPr>
          <t>129960|CABO DE COBRE FLEXIVEL BITOLA 240MM², 750 V, ISOLACAO DE PVC - 70°C - COR AZUL-CLARO|55|19|#BOBINA100M||</t>
        </r>
      </text>
    </comment>
    <comment ref="H212" authorId="1" shapeId="0" xr:uid="{00000000-0006-0000-0000-000076000000}">
      <text>
        <r>
          <rPr>
            <sz val="9"/>
            <color indexed="81"/>
            <rFont val="Segoe UI"/>
            <family val="2"/>
          </rPr>
          <t>130024|COADOR DE PAPEL P/ CAFE N° 103 - CAIXA COM 30 UNIDADES|52|8||Adm|</t>
        </r>
      </text>
    </comment>
    <comment ref="H213" authorId="2" shapeId="0" xr:uid="{00000000-0006-0000-0000-000077000000}">
      <text>
        <r>
          <rPr>
            <sz val="10"/>
            <color indexed="81"/>
            <rFont val="Lucida Console"/>
            <family val="3"/>
          </rPr>
          <t>131926|LAPIS PRETO 6B, MEDINDO 175MM (VARIACAO DE +/-10MM) DE COMPRIMENTO.|45|9|CORPO FEITO  EM MADEIRA INTEIRICA COLADO EM DUAS FACES, ENVERNIZADO COM VERNIZ BRILHANTE. COLAGEM PERFEITA ENTRE AS DUAS PARTES E ADERENCIA DA MINA NA MADEIRA, DE MANEIRA QUE NAO SE SOLTEM DENTRO DO LAPIS, APRESENTANDO RESISTENCIA SUFICIENTE PARA SUPORTAR A PRESSAO NORMAL DE USO. PRODUTO COM CERTIFICACAO DO INMETRO E  SELO FSC. APRESENTAR AMOSTRA.||</t>
        </r>
      </text>
    </comment>
    <comment ref="H214" authorId="2" shapeId="0" xr:uid="{00000000-0006-0000-0000-000078000000}">
      <text>
        <r>
          <rPr>
            <sz val="10"/>
            <color indexed="81"/>
            <rFont val="Lucida Console"/>
            <family val="3"/>
          </rPr>
          <t>131927|LAPIS PRETO N.2 JUMBO TRIANGULAR, MEDINDO: 175MM (VARIACAO +/- 10MM)|45|9|CORPO FEITO  EM MADEIRA INTEIRICA COLADO EM DUAS FACES, ENVERNIZADO COM VERNIZ BRILHANTE. COLAGEM PERFEITA ENTRE AS DUAS PARTES E ADERENCIA DA MINA NA MADEIRA, DE MANEIRA QUE NAO SE SOLTEM DENTRO DO LAPIS, APRESENTANDO RESISTENCIA SUFICIENTE PARA SUPORTAR A PRESSAO NORMAL DE USO. PRODUTO COM CERTIFICACAO DO INMETRO E  SELO FSC. APRESENTAR AMOSTRA.||</t>
        </r>
      </text>
    </comment>
    <comment ref="H215" authorId="2" shapeId="0" xr:uid="{00000000-0006-0000-0000-000079000000}">
      <text>
        <r>
          <rPr>
            <sz val="9"/>
            <color indexed="81"/>
            <rFont val="Segoe UI"/>
            <family val="2"/>
          </rPr>
          <t>131931|GIZAO DE CERA REDONDO, ATOXICO, COM 6 CORES|45|9|IDEAL PARA PRIMEIRA INFÂNCIA.||</t>
        </r>
      </text>
    </comment>
    <comment ref="H216" authorId="1" shapeId="0" xr:uid="{00000000-0006-0000-0000-0000A9000000}">
      <text>
        <r>
          <rPr>
            <sz val="9"/>
            <color indexed="81"/>
            <rFont val="Segoe UI"/>
            <family val="2"/>
          </rPr>
          <t>132229|CABO DE COBRE FLEXIVEL, BITOLA 50MM2, 0,6/1 KV, ISOLACAO DE PVC 70° C, COR AZUL CLARO - ANTI-CHAMA|55|19|#BOBINA100M||</t>
        </r>
      </text>
    </comment>
    <comment ref="H217" authorId="1" shapeId="0" xr:uid="{00000000-0006-0000-0000-0000AA000000}">
      <text>
        <r>
          <rPr>
            <sz val="9"/>
            <color indexed="81"/>
            <rFont val="Segoe UI"/>
            <family val="2"/>
          </rPr>
          <t>132230|CABO DE COBRE FLEXIVEL, BITOLA 50MM2, 750 V, ISOLACAO DE PVC 70° C, COR VERDE - ANTI-CHAMA|55|19|#BOBINA100M||</t>
        </r>
      </text>
    </comment>
    <comment ref="H218" authorId="1" shapeId="0" xr:uid="{00000000-0006-0000-0000-0000AB000000}">
      <text>
        <r>
          <rPr>
            <sz val="9"/>
            <color indexed="81"/>
            <rFont val="Segoe UI"/>
            <family val="2"/>
          </rPr>
          <t>132231|CABO DE COBRE FLEXIVEL BITOLA 25 MM², 0,6/1 KV ISOLACAO DE PVC 70° C, ANTICHAMA, COR AZUL-CLARO|55|19|#BOBINA100M||</t>
        </r>
      </text>
    </comment>
    <comment ref="H219" authorId="3" shapeId="0" xr:uid="{7A016EA9-A25F-4BF4-87E2-F4FE3DD9D4B4}">
      <text>
        <r>
          <rPr>
            <sz val="9"/>
            <color indexed="81"/>
            <rFont val="Segoe UI"/>
            <family val="2"/>
          </rPr>
          <t>132299|GIZAO DE CERA REDONDO, ATOXICO, COM 6 CORES. DIMENSOES MINIMAS: 22 MM DE DIAMETRO E 69 MM DE COMPRIMENTO, COM PESO MINIMO DE 185 GRAMAS, COMPOSICAO: A BASE DE CERA, CARGAS MINERAIS INERTES E PIGMENTOS.|45|16|IDEAL PARA PRIMEIRA INFÂNCIA.|Infantil|</t>
        </r>
      </text>
    </comment>
    <comment ref="H220" authorId="2" shapeId="0" xr:uid="{00000000-0006-0000-0000-00007A000000}">
      <text>
        <r>
          <rPr>
            <sz val="10"/>
            <color indexed="81"/>
            <rFont val="Lucida Console"/>
            <family val="3"/>
          </rPr>
          <t>132300|LAPIS DE COR AQUARELAVEL, CAIXA COM 12 CORES, TINTAS ATOXICAS, SOLUVEIS EM AGUA. DIMENSAO DA CAIXA: 215MM X 95MM X 13MM (VARIACAO +/- 10MM). PRODUTO COM CERTIFICACAO DO INMETRO|45|16|CORPO FEITO  EM MADEIRA INTEIRICA COLADO EM DUAS FACES, ENVERNIZADO COM VERNIZ BRILHANTE. COLAGEM PERFEITA ENTRE AS DUAS PARTES E ADERENCIA DA MINA NA MADEIRA, DE MANEIRA QUE NAO SE SOLTEM DENTRO DO LAPIS, APRESENTANDO RESISTENCIA SUFICIENTE PARA SUPORTAR A PRESSAO NORMAL DE USO. PRODUTO COM CERTIFICACAO DO INMETRO E  SELO FSC. APRESENTAR AMOSTRA.||</t>
        </r>
      </text>
    </comment>
    <comment ref="H221" authorId="2" shapeId="0" xr:uid="{00000000-0006-0000-0000-0000EF000000}">
      <text>
        <r>
          <rPr>
            <sz val="9"/>
            <color indexed="81"/>
            <rFont val="Segoe UI"/>
            <family val="2"/>
          </rPr>
          <t>132308|TRINCHA 2 POLEGADAS (50MM), CABO PLASTICO, CERDA GRIS|45|9|REFERÊNCIA CÓDIGO 713 DA MARCA TIGRE, LARGURA DE 2"||</t>
        </r>
      </text>
    </comment>
    <comment ref="H222" authorId="2" shapeId="0" xr:uid="{00000000-0006-0000-0000-0000E4000000}">
      <text>
        <r>
          <rPr>
            <sz val="9"/>
            <color indexed="81"/>
            <rFont val="Segoe UI"/>
            <family val="2"/>
          </rPr>
          <t>132394|FITA ADESIVA COLORIDA, MEDINDO APROXIMADAMENTE 12MM X 10M. COR: AMARELA. COMPOSICAO: FILME POLIPROPILENO COM ADESIVO ACRILICO A BASE D´AGUA.|45|14|VARIAÇÃO DE +/- 3 MM.||</t>
        </r>
      </text>
    </comment>
    <comment ref="H223" authorId="2" shapeId="0" xr:uid="{00000000-0006-0000-0000-0000E5000000}">
      <text>
        <r>
          <rPr>
            <sz val="9"/>
            <color indexed="81"/>
            <rFont val="Segoe UI"/>
            <family val="2"/>
          </rPr>
          <t>132395|FITA ADESIVA COLORIDA, MEDINDO APROXIMADAMENTE 12MM X 10M. COR: AZUL ESCURA. COMPOSICAO: FILME POLIPROPILENO COM ADESIVO ACRILICO A BASE D´AGUA.|45|14|VARIAÇÃO DE +/- 3 MM.||</t>
        </r>
      </text>
    </comment>
    <comment ref="H224" authorId="2" shapeId="0" xr:uid="{00000000-0006-0000-0000-00007B000000}">
      <text>
        <r>
          <rPr>
            <sz val="9"/>
            <color indexed="81"/>
            <rFont val="Segoe UI"/>
            <family val="2"/>
          </rPr>
          <t>132400|CORANTE LIQUIDO PARA FINS ALIMENTICIOS - COR AZUL - FRASCO COM 10ML.|71|33||Infantil|</t>
        </r>
      </text>
    </comment>
    <comment ref="H225" authorId="1" shapeId="0" xr:uid="{00000000-0006-0000-0000-00007C000000}">
      <text>
        <r>
          <rPr>
            <sz val="10"/>
            <color indexed="81"/>
            <rFont val="Lucida Console"/>
            <family val="3"/>
          </rPr>
          <t>132623|VASO SANITARIO INFANTIL, NA COR BRANCA, MATERIAL EM LOUCA NAS DIMENSOE: 30 X 31 X 41,5 CM (ALTURA/LARGURA/COMPRIMENTO)  MEDIDAS PODENDO VARIAR EM + / - 03 CM|51|35||Infantil|</t>
        </r>
      </text>
    </comment>
    <comment ref="H226" authorId="0" shapeId="0" xr:uid="{BDE43D07-FED1-4009-83AF-BAD3C8301030}">
      <text>
        <r>
          <rPr>
            <sz val="9"/>
            <color indexed="81"/>
            <rFont val="Segoe UI"/>
            <family val="2"/>
          </rPr>
          <t>132646|CANETA HIDROGRAFICA JUMBO COM 12 CORES, PONTA GROSSA, TINTA LAVAVEL|45|10|APRESENTAR AMOSTRA.||</t>
        </r>
      </text>
    </comment>
    <comment ref="H227" authorId="0" shapeId="0" xr:uid="{DF9560CB-65F1-4B4F-B7E1-7DBB6BF624EB}">
      <text>
        <r>
          <rPr>
            <sz val="9"/>
            <color indexed="81"/>
            <rFont val="Segoe UI"/>
            <family val="2"/>
          </rPr>
          <t>132647|CANETA HIDROGRAFICA JUMBO PRETA, PONTA GROSSA, TINTA LAVAVEL.|45|10|APRESENTAR AMOSTRA.||</t>
        </r>
      </text>
    </comment>
    <comment ref="H228" authorId="0" shapeId="0" xr:uid="{33E588C0-464B-4016-912D-DB1BBC37A8AC}">
      <text>
        <r>
          <rPr>
            <sz val="9"/>
            <color indexed="81"/>
            <rFont val="Segoe UI"/>
            <family val="2"/>
          </rPr>
          <t>132649|CANETA HIDROGRAFICA PRETA PONTA DE 2MM.|45|10|APRESENTAR AMOSTRA.||</t>
        </r>
      </text>
    </comment>
    <comment ref="H229" authorId="1" shapeId="0" xr:uid="{00000000-0006-0000-0000-000080000000}">
      <text>
        <r>
          <rPr>
            <sz val="10"/>
            <color indexed="81"/>
            <rFont val="Lucida Console"/>
            <family val="3"/>
          </rPr>
          <t>134246|AREIA MEDIA LAVADA(GRANULAMETRIA 0,6 A 2,4 MM), CONFORME ABNT. O MATERIAL ENTREGUE DEVERA ESTAR APTO A ENSAIOS DE PENEIRAMENTO, CONFORME TABELA 2 - LIMITES DA DISTRIBUICAO GRANULOMETRICA DO AGREGADO MIUDO (ABNT 7211/2005).EQUIVALENCIA APROXIMADA EM TONELADAS: 1,30 A 1,50|51|2|||</t>
        </r>
      </text>
    </comment>
    <comment ref="H230" authorId="1" shapeId="0" xr:uid="{00000000-0006-0000-0000-000081000000}">
      <text>
        <r>
          <rPr>
            <sz val="10"/>
            <color indexed="81"/>
            <rFont val="Lucida Console"/>
            <family val="3"/>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1,45|51|2|||</t>
        </r>
      </text>
    </comment>
    <comment ref="H231" authorId="2" shapeId="0" xr:uid="{00000000-0006-0000-0000-000082000000}">
      <text>
        <r>
          <rPr>
            <sz val="9"/>
            <color indexed="81"/>
            <rFont val="Segoe UI"/>
            <family val="2"/>
          </rPr>
          <t>134373|LAMPADA LED TUBULAR T8.|55|66|AS LÂMPADAS DEVERÃO TER VIDA ÚTIL DE 40.000 H COM GARANTIA DO FABRICANTE E, NO MÍNIMO, 25.000 H COM GARANTIA INMETRO E PROCEL.
COMPATÍVEL PARA SUBSTITUIÇÃO DE LÂMPADAS FLUORESCENTES DE 1,2 METROS, T8 E 10 QUE UTILIZAM BASE SOQUETE DE PRESSÃO G13.||</t>
        </r>
      </text>
    </comment>
    <comment ref="H232" authorId="2" shapeId="0" xr:uid="{00000000-0006-0000-0000-000083000000}">
      <text>
        <r>
          <rPr>
            <sz val="9"/>
            <color indexed="81"/>
            <rFont val="Segoe UI"/>
            <family val="2"/>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PROCEL|55|66|COMPATÍVEL PARA SUBSTITUIÇÃO DE LÂMPADAS FLUORESCENTES DE 600MM, T8 E T10 QUE UTILIZAM BASE SOQUETE DE PRESSÃO G13.||</t>
        </r>
      </text>
    </comment>
    <comment ref="H233" authorId="2" shapeId="0" xr:uid="{00000000-0006-0000-0000-0000F1000000}">
      <text>
        <r>
          <rPr>
            <sz val="9"/>
            <color indexed="81"/>
            <rFont val="Segoe UI"/>
            <family val="2"/>
          </rPr>
          <t>135225|TINTA LATEX ACRILICA SEMIBRILHO, PADRAO PREMIUM, COR AMARELO MELAO MADURO OU SIMILAR, LATA COM 18 LITROS.|76|10|REFERÊNCIA DE COR CÓDIGO C611 SUVINIL OU SIMILAR.||</t>
        </r>
      </text>
    </comment>
    <comment ref="H234" authorId="2" shapeId="0" xr:uid="{00000000-0006-0000-0000-0000F2000000}">
      <text>
        <r>
          <rPr>
            <sz val="9"/>
            <color indexed="81"/>
            <rFont val="Segoe UI"/>
            <family val="2"/>
          </rPr>
          <t>135226|TINTA LATEX ACRILICA SEMIBRILHO, PADRAO PREMIUM, COR AZUL BIONICO OU SIMILAR, LATA COM 18 LITROS.|76|10|REFERÊNCIA DE COR CÓDIGO P659 SUVINIL OU SIMILAR.||</t>
        </r>
      </text>
    </comment>
    <comment ref="H235" authorId="2" shapeId="0" xr:uid="{00000000-0006-0000-0000-000084000000}">
      <text>
        <r>
          <rPr>
            <sz val="10"/>
            <color indexed="81"/>
            <rFont val="Lucida Console"/>
            <family val="3"/>
          </rPr>
          <t>135297|LAPIS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INMETRO.|45|9|CORPO FEITO  EM MADEIRA INTEIRICA COLADO EM DUAS FACES, COLAGEM PERFEITA ENTRE AS DUAS PARTES E ADERENCIA DA MINA NA MADEIRA, DE MANEIRA QUE NAO SE SOLTEM DENTRO DO LAPIS. APRESENTAR AMOSTRA.||</t>
        </r>
      </text>
    </comment>
    <comment ref="H236" authorId="0" shapeId="0" xr:uid="{F5929653-606E-4478-8AF9-1A5517880C23}">
      <text>
        <r>
          <rPr>
            <sz val="9"/>
            <color indexed="81"/>
            <rFont val="Segoe UI"/>
            <family val="2"/>
          </rPr>
          <t>135703|REGUA DE 30 CM EM POLIESTIRENO. COR: TRANSPARENTE, CRISTAL.|45|9|APRESENTAR AMOSTRA.||</t>
        </r>
      </text>
    </comment>
    <comment ref="H237" authorId="0" shapeId="0" xr:uid="{5E94D4AA-C9BA-43BB-80B5-88DFD19A5C99}">
      <text>
        <r>
          <rPr>
            <sz val="10"/>
            <color indexed="81"/>
            <rFont val="Lucida Console"/>
            <family val="3"/>
          </rPr>
          <t>136555|FECHADURA DE SOBREPOR PARA GAVETA, COM CILINDRO, MEDINDO 31 MM DE CORPO, ACABAMENTO NIQUELADO E ROTACAO DA CHAVE DE 180º COM DOIS PONTOS DE EXTRACAO|51|9|INTERNA||</t>
        </r>
      </text>
    </comment>
    <comment ref="H238" authorId="3" shapeId="0" xr:uid="{EBF4C594-0970-46AE-9201-10B49EBA17BC}">
      <text>
        <r>
          <rPr>
            <sz val="9"/>
            <color indexed="81"/>
            <rFont val="Segoe UI"/>
            <family val="2"/>
          </rPr>
          <t>136564|CABO UTP 23 AWG X 4 PARES CATEGORIA 6,CM|60|21|CONFORME ESPECIFICAÇÃO TÉCNICA ANEXA||</t>
        </r>
      </text>
    </comment>
    <comment ref="H239" authorId="2" shapeId="0" xr:uid="{00000000-0006-0000-0000-000086000000}">
      <text>
        <r>
          <rPr>
            <sz val="9"/>
            <color indexed="81"/>
            <rFont val="Segoe UI"/>
            <family val="2"/>
          </rPr>
          <t>136897|LAMPADA LED TUBULAR T8, TENSAO 100-240 V, FLUXO LUMINOSO MINIMO 1850 LM, POTENCIA MAXIMA 20 W, EFICIENCIA ENERGETICA MINIMA DE 92,5 LM/W, BASE G13, COMPRIMENTO 1.200 A 1.214 MM, IRC MINIMO 80, VIDA UTIL MINIMA DE 25.000 H, ANGULO DE FACHO MINIMO DE 120º, TEMPERATURA DE COR DE 5000 A 6500 K, GARANTIA MINIMA 3 ANOS, MODELO COM CERTIFICACAO INMETRO E PROCEL.|55|66|AS LÂMPADAS DEVERÃO TER VIDA ÚTIL DE 40.000 H COM GARANTIA DO FABRICANTE E, NO MÍNIMO, 25.000 H COM GARANTIA INMETRO E PROCEL.
COMPATÍVEL PARA SUBSTITUIÇÃO DE LÂMPADAS FLUORESCENTES DE 1,2 METROS, T8 E 10 QUE UTILIZAM BASE SOQUETE DE PRESSÃO G13.||</t>
        </r>
      </text>
    </comment>
    <comment ref="H240" authorId="1" shapeId="0" xr:uid="{00000000-0006-0000-0000-0000AC000000}">
      <text>
        <r>
          <rPr>
            <sz val="10"/>
            <color indexed="81"/>
            <rFont val="Lucida Console"/>
            <family val="3"/>
          </rPr>
          <t>136910|CABO PP DE COBRE FLEXIVEL COM PRIMEIRA E SEGUNDA CAMADA EM PVC, ISOLACAO DE 500 V,  3 VIAS DE 1,5 MM, SENDO A VIA TERRA NA COR VERDE.|55|19|#ROLO100M||</t>
        </r>
      </text>
    </comment>
    <comment ref="H241" authorId="1" shapeId="0" xr:uid="{00000000-0006-0000-0000-0000AD000000}">
      <text>
        <r>
          <rPr>
            <sz val="10"/>
            <color indexed="81"/>
            <rFont val="Lucida Console"/>
            <family val="3"/>
          </rPr>
          <t>136911|CABO PP DE COBRE FLEXIVEL COM PRIMEIRA E SEGUNDA CAMADA EM PVC, ISOLACAO DE 500 V,  3 VIAS DE 2,5 MM, SENDO A VIA TERRA NA COR VERDE.|55|19|#ROLO100M||</t>
        </r>
      </text>
    </comment>
    <comment ref="H242" authorId="0" shapeId="0" xr:uid="{1C78527A-CA92-4571-821F-E1EC8ABFEAF7}">
      <text>
        <r>
          <rPr>
            <sz val="9"/>
            <color indexed="81"/>
            <rFont val="Segoe UI"/>
            <family val="2"/>
          </rPr>
          <t>138450|APONTADOR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INMETRO.|45|9|APRESENTAR AMOSTRA.||</t>
        </r>
      </text>
    </comment>
    <comment ref="H243" authorId="0" shapeId="0" xr:uid="{925A39A4-D820-4F21-B4CF-CD083CACEDAC}">
      <text>
        <r>
          <rPr>
            <sz val="9"/>
            <color indexed="81"/>
            <rFont val="Segoe UI"/>
            <family val="2"/>
          </rPr>
          <t>138451|BORRACHA BRANCA COMUM NUMERO 20 (SEM CINTA), CONFECCIONADA EM MATERIAL NATURAL E MACIO, ATOXICA. APLICAVEL PARA QUALQUER SUPERFICIE E GRADUACAO DE GRAFITE. MEDIDA: 40MM X 30MM X 10MM (VARIACAO +/- 2MM). PRODUTO CERTIFICADO PELO INMETRO.|45|9|APRESENTAR AMOSTRA.||</t>
        </r>
      </text>
    </comment>
    <comment ref="H244" authorId="2" shapeId="0" xr:uid="{00000000-0006-0000-0000-000089000000}">
      <text>
        <r>
          <rPr>
            <sz val="9"/>
            <color indexed="81"/>
            <rFont val="Segoe UI"/>
            <family val="2"/>
          </rPr>
          <t>138453|CADERNO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FSC/CERFLOR.|45|11|APRESENTAR AMOSTRA.||</t>
        </r>
      </text>
    </comment>
    <comment ref="H245" authorId="2" shapeId="0" xr:uid="{00000000-0006-0000-0000-00008A000000}">
      <text>
        <r>
          <rPr>
            <sz val="9"/>
            <color indexed="81"/>
            <rFont val="Segoe UI"/>
            <family val="2"/>
          </rPr>
          <t>138454|CADERNO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FSC/CERFLOR.|45|11|APRESENTAR AMOSTRA.||</t>
        </r>
      </text>
    </comment>
    <comment ref="H246" authorId="3" shapeId="0" xr:uid="{A6A07C8E-160F-496E-B4C2-2C0ADF56DDC5}">
      <text>
        <r>
          <rPr>
            <sz val="9"/>
            <color indexed="81"/>
            <rFont val="Segoe UI"/>
            <family val="2"/>
          </rPr>
          <t>138456|CADERNO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FSC/CERFLOR.|45|11|APRESENTAR AMOSTRA.|Infantil|</t>
        </r>
      </text>
    </comment>
    <comment ref="H247" authorId="0" shapeId="0" xr:uid="{A83287B8-56E9-4FE4-A2AA-167F42915CBE}">
      <text>
        <r>
          <rPr>
            <sz val="9"/>
            <color indexed="81"/>
            <rFont val="Segoe UI"/>
            <family val="2"/>
          </rPr>
          <t>138461|CANETA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EMBALAGEM.|45|9|APRESENTAR AMOSTRA.||</t>
        </r>
      </text>
    </comment>
    <comment ref="H248" authorId="0" shapeId="0" xr:uid="{E5CFAEC0-0116-4736-A74F-5EECFD65BA2F}">
      <text>
        <r>
          <rPr>
            <sz val="9"/>
            <color indexed="81"/>
            <rFont val="Segoe UI"/>
            <family val="2"/>
          </rPr>
          <t>138463|LAPIS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FSC.|45|9|APRESENTAR AMOSTRA.||</t>
        </r>
      </text>
    </comment>
    <comment ref="H249" authorId="0" shapeId="0" xr:uid="{CDED9D47-6EF8-409A-91FA-158833C8900A}">
      <text>
        <r>
          <rPr>
            <sz val="9"/>
            <color indexed="81"/>
            <rFont val="Segoe UI"/>
            <family val="2"/>
          </rPr>
          <t>138464|LAPIS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FSC.|45|9|APRESENTAR AMOSTRA.||</t>
        </r>
      </text>
    </comment>
    <comment ref="H250" authorId="0" shapeId="0" xr:uid="{94C7E26C-DD91-4996-8455-F29FCC3DCB17}">
      <text>
        <r>
          <rPr>
            <sz val="9"/>
            <color indexed="81"/>
            <rFont val="Segoe UI"/>
            <family val="2"/>
          </rPr>
          <t>138471|TESOURA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INMETRO.|45|12|APRESENTAR AMOSTRA.||</t>
        </r>
      </text>
    </comment>
    <comment ref="H251" authorId="2" shapeId="0" xr:uid="{00000000-0006-0000-0000-0000F9000000}">
      <text>
        <r>
          <rPr>
            <sz val="9"/>
            <color indexed="81"/>
            <rFont val="Segoe UI"/>
            <family val="2"/>
          </rPr>
          <t>141253|FUNDO PARA GALVANIZADOS, LINHA PREMIUM, NA COR CINZA - GALAO COM 3,600 ML|76|13|RENDIMENTO DE 50 M² A 70M² POR DEMÃO,  DILUÍVEL COM SOLVENTE.  APLICÁVEL COM ROLO DE ESPUMA OU TRINCHA,  SECAGEM: TOQUE: 2 HORAS E FINAL: 24 HORAS.||</t>
        </r>
      </text>
    </comment>
    <comment ref="H252" authorId="0" shapeId="0" xr:uid="{DC8CF717-6449-4670-9419-9746FB03FE4C}">
      <text>
        <r>
          <rPr>
            <sz val="10"/>
            <color indexed="81"/>
            <rFont val="Lucida Console"/>
            <family val="3"/>
          </rPr>
          <t>141265|TINTA ESMALTE SINTETICO BRILHANTE, LINHA PREMIUM.COR PRETO, GALAO COM 3.600 ML, A BASE DE SOLVENTE|76|3|REFERENCIA DE COR  CÓDIGO R756 DA SUVINIL OU SIMILAR, CONFORME ANEXO||</t>
        </r>
      </text>
    </comment>
    <comment ref="H253" authorId="0" shapeId="0" xr:uid="{E64A7696-B3B9-48FF-97D7-1A4942B06B6E}">
      <text>
        <r>
          <rPr>
            <sz val="10"/>
            <color indexed="81"/>
            <rFont val="Lucida Console"/>
            <family val="3"/>
          </rPr>
          <t>141266|TINTA ESMALTE SINTETICO BRILHANTE, LINHA PREMIUM.COR VERDE FOLHA, GALAO COM 3.600 ML, A BASE DE SOLVENTE|76|3|CONFORME ANEXO||</t>
        </r>
      </text>
    </comment>
    <comment ref="H254" authorId="0" shapeId="0" xr:uid="{FECE968A-C520-4937-9047-87DF48ECC98E}">
      <text>
        <r>
          <rPr>
            <sz val="10"/>
            <color indexed="81"/>
            <rFont val="Lucida Console"/>
            <family val="3"/>
          </rPr>
          <t>141268|TINTA ESMALTE SINTETICO BRILHANTE, LINHA PREMIUM. COR BRANCO - GALAO COM 3.600 ML, A BASE DE SOLVENTE|76|3|CONFORME ANEXO||</t>
        </r>
      </text>
    </comment>
    <comment ref="H255" authorId="2" shapeId="0" xr:uid="{00000000-0006-0000-0000-0000FA000000}">
      <text>
        <r>
          <rPr>
            <sz val="9"/>
            <color indexed="81"/>
            <rFont val="Segoe UI"/>
            <family val="2"/>
          </rPr>
          <t>141270|VERNIZ SINTETICO MARITIMO BRILHANTE, LINHA PREMIUM, GALAO COM 3,6 LITROS, USO INTERIOR E EXTERIOR, COR TRANSPARENTE , PARA DILUICAO A BASE DE SOLVENTE|76|5|TEMPO DE SECAGEM COMPLETA EM ATE 24 HORAS, RENDIMENTO MINIMO DE 70 M²/GALAO/DEMAO. VALIDADE PARA NO MINIMO 24 MESES DE ESTOCAGEM APOS A ENTREGA DO PRODUTO.||</t>
        </r>
      </text>
    </comment>
    <comment ref="H256" authorId="2" shapeId="0" xr:uid="{00000000-0006-0000-0000-0000EE000000}">
      <text>
        <r>
          <rPr>
            <sz val="9"/>
            <color indexed="81"/>
            <rFont val="Segoe UI"/>
            <family val="2"/>
          </rPr>
          <t>141393|TRINCHA PARA PINTURA MULTIUSO DE CERDAS SINTETICAS GRIS, LARGURA DE 1"|76|11|REFERÊNCIA CÓDIGO 713 DA MARCA TIGRE, LARGURA DE 1"||</t>
        </r>
      </text>
    </comment>
    <comment ref="H257" authorId="2" shapeId="0" xr:uid="{00000000-0006-0000-0000-0000F0000000}">
      <text>
        <r>
          <rPr>
            <sz val="9"/>
            <color indexed="81"/>
            <rFont val="Segoe UI"/>
            <family val="2"/>
          </rPr>
          <t>141394|TRINCHA PARA PINTURA MULTIUSO DE CERDAS SINTETICAS GRIS, LARGURA DE 3"|76|11|REFERÊNCIA CÓDIGO 713 DA MARCA TIGRE, LARGURA DE 3"||</t>
        </r>
      </text>
    </comment>
    <comment ref="H258" authorId="2" shapeId="0" xr:uid="{00000000-0006-0000-0000-0000E6000000}">
      <text>
        <r>
          <rPr>
            <sz val="9"/>
            <color indexed="81"/>
            <rFont val="Segoe UI"/>
            <family val="2"/>
          </rPr>
          <t>141396|ROLO DE LA SINTETICA PARA TINTAS EPOXI, ESMALTE E OLEO INDICADO PARA METAL E SUPERFICIES LISAS EM GERAL, COM 6 MM DE ALTURA E 9 CM DE LARGURA, COM CABO.|76|11|REFERÊNCIA CÓDIGO 1366 DA MARCA TIGRE.||</t>
        </r>
      </text>
    </comment>
    <comment ref="H259" authorId="2" shapeId="0" xr:uid="{00000000-0006-0000-0000-0000E7000000}">
      <text>
        <r>
          <rPr>
            <sz val="9"/>
            <color indexed="81"/>
            <rFont val="Segoe UI"/>
            <family val="2"/>
          </rPr>
          <t>141418|ROLO DE PELE DE CARNEIRO PARA PINTURA DE SUPERFICIES ASPERAS E RUGOSAS, USO COM TINTAS LATEX E ACRILICA COM 19 MM DE ALTURA E LARGURA DE 23 CM, COM CABO|76|11|ROLO (REFERENCIA CÓDIGO 1325 ),CABO (REFERENCIA CÓDIGO 1311) DA MARCA TIGRE.||</t>
        </r>
      </text>
    </comment>
    <comment ref="H260" authorId="2" shapeId="0" xr:uid="{00000000-0006-0000-0000-0000FB000000}">
      <text>
        <r>
          <rPr>
            <sz val="9"/>
            <color indexed="81"/>
            <rFont val="Segoe UI"/>
            <family val="2"/>
          </rPr>
          <t>141608|TINTA ACRILICA PISO, LINHA PREMIUM, COR BRANCO - LATA COM 18 LITROS|76|9|INDICADA PARA AMBIENTES EXTERNOS, TEMPO DE SECAGEM ATE 12 HORAS, RENDIMENTO MÍNIMO DE 250 M²/DEMÃO POR LATA, APLICÁVEL EM 2 DEMÃOS. PRODUTO CLASSIFICADO CONFORME  NORMA DA ABNT NBR 11702:2019, DEVENDO TAMBÉM ATENDER NO MÍNIMO AS ESPECIFICAÇÕES INDICADAS NA ABNT NBR 15079/1:2019. REFERENCIA COR BRANCO 00, MARCA SHERWIN-WILLIAMS OU SIMILAR.||</t>
        </r>
      </text>
    </comment>
    <comment ref="H261" authorId="0" shapeId="0" xr:uid="{4D68ECAF-3898-4789-9396-FE2FA4E54BDA}">
      <text>
        <r>
          <rPr>
            <sz val="10"/>
            <color indexed="81"/>
            <rFont val="Lucida Console"/>
            <family val="3"/>
          </rPr>
          <t>141615|TINTA LATEX ACRILICA SEMIBRILHO, LINHA PREMIUM, COR BRANCO - LATA COM 18 LITROS|76|10|REFERENCIA DE COR  BRANCO DA SUVINIL OU SIMILAR, CONFORME ANEXO||</t>
        </r>
      </text>
    </comment>
    <comment ref="H262" authorId="0" shapeId="0" xr:uid="{4F8651F7-2035-41FB-8844-DD98F9E0DC1E}">
      <text>
        <r>
          <rPr>
            <sz val="10"/>
            <color indexed="81"/>
            <rFont val="Lucida Console"/>
            <family val="3"/>
          </rPr>
          <t>141679|TINTA ESMALTE SINTETICO BRILHANTE, LINHA PREMIUM, COR AMARELO OURO - GALAO COM 3.600 ML, A BASE DE SOLVENTE|76|3|CONFORME ANEXO||</t>
        </r>
      </text>
    </comment>
    <comment ref="H263" authorId="0" shapeId="0" xr:uid="{C93AF481-312F-485F-A24E-6A8630ED2692}">
      <text>
        <r>
          <rPr>
            <sz val="10"/>
            <color indexed="81"/>
            <rFont val="Lucida Console"/>
            <family val="3"/>
          </rPr>
          <t>141680|TINTA ESMALTE SINTETICO BRILHANTE, LINHA PREMIUM, COR AZUL ROYAL - GALAO COM 3.600 ML, A BASE DE SOLVENTE|76|3|REFERÊNCIA DE COR CÓDIGO E339  DA SUVINIL OU SIMILAR, CONFORME ANEXO||</t>
        </r>
      </text>
    </comment>
    <comment ref="H264" authorId="2" shapeId="0" xr:uid="{00000000-0006-0000-0000-0000ED000000}">
      <text>
        <r>
          <rPr>
            <sz val="9"/>
            <color indexed="81"/>
            <rFont val="Segoe UI"/>
            <family val="2"/>
          </rPr>
          <t>141681|TINTA ESMALTE SINTETICO BRILHANTE, LINHA PREMIUM, COR VERMELHA - GALAO COM 3.600 ML, A BASE DE SOLVENTE|76|3|INDICADA PARA MADEIRAS E METAIS, TEMPO MÁXIMO DE 08 HORAS PARA A SECAGEM FINAL, RENDIMENTO MÍNIMO DE  60 M²/DEMÃO POR GALÃO. PRODUTO CLASSIFICADO CONFORME A NORMA DA ABNT NBR 11702:2019 E A NBR 15494:2015  (SEM NECESSIDADE DE FUNDO) REFERENCIA DE COR CÓDIGO R581 DA SUVINIL OU SIMILAR.||</t>
        </r>
      </text>
    </comment>
    <comment ref="H265" authorId="2" shapeId="0" xr:uid="{00000000-0006-0000-0000-0000F7000000}">
      <text>
        <r>
          <rPr>
            <sz val="9"/>
            <color indexed="81"/>
            <rFont val="Segoe UI"/>
            <family val="2"/>
          </rPr>
          <t>141786|TINTA LATEX ACRILICA SEMIBRILHO, LINHA PREMIUM, COR  AMARELO MELAO MADURO - LATA COM 18 LITROS|76|10|INDICADA PARA AMBIENTES EXTERNOS, TEMPO DE SECAGEM FINAL EM ATE 08 HORAS, RENDIMENTO  MÍNIMO DE 280 M²/DEMÃO POR LATA, APLICÁVEL EM 2 DEMÃOS. PRODUTO CLASSIFICADO CONFORME  NORMA DA ABNT NBR 11702:2019, DEVENDO TAMBÉM ATENDER NO MÍNIMO AS ESPECIFICAÇÕES INDICADAS NA ABNT NBR 15079/1:2019. REFERENCIA DE COR  COD C611, MARCA SUVINIL OU SIMILAR.||</t>
        </r>
      </text>
    </comment>
    <comment ref="H266" authorId="0" shapeId="0" xr:uid="{23D215F7-4C94-4B81-B7F9-1F10B2102C58}">
      <text>
        <r>
          <rPr>
            <sz val="10"/>
            <color indexed="81"/>
            <rFont val="Lucida Console"/>
            <family val="3"/>
          </rPr>
          <t>141787|TINTA LATEX ACRILICA SEMIBRILHO, LINHA PREMIUM, COR  AZUL BIONICO - LATA COM 18 LITROS|76|10|CONFORME ANEXO||</t>
        </r>
      </text>
    </comment>
    <comment ref="H267" authorId="0" shapeId="0" xr:uid="{F79E6162-FA26-495F-B432-1B6ECC7DA092}">
      <text>
        <r>
          <rPr>
            <sz val="10"/>
            <color indexed="81"/>
            <rFont val="Lucida Console"/>
            <family val="3"/>
          </rPr>
          <t>131917|APONTADOR DUPLO (LAPIS NORMAL E JUMBO), SEM DEPOSITO, CORPO METALICO EM ALUMINIO, LAMINA COM TRATAMENTO ANTI-FERRUGEM. DIMENSOES: 36MM X 31MM X 21MM (VARIACAO +/- 2MM).|45|9|APRESENTAR AMOSTRA.||</t>
        </r>
      </text>
    </comment>
    <comment ref="H268" authorId="0" shapeId="0" xr:uid="{B373057B-0C1D-4D50-A20F-B5F4FAE66522}">
      <text>
        <r>
          <rPr>
            <sz val="10"/>
            <color indexed="81"/>
            <rFont val="Lucida Console"/>
            <family val="3"/>
          </rPr>
          <t>87586|TINTA ACRILICA P/ DEMARCACAO DE SOLO - BALDE C/ 18 L - VERMELHA - PADRAO DER 3.09|76|5|CONFORME ANEXO||</t>
        </r>
      </text>
    </comment>
    <comment ref="H269" authorId="0" shapeId="0" xr:uid="{F5E6888B-E64A-4265-9198-E7E84D090B20}">
      <text>
        <r>
          <rPr>
            <sz val="10"/>
            <color indexed="81"/>
            <rFont val="Lucida Console"/>
            <family val="3"/>
          </rPr>
          <t>20763|TINTA ACRILICA P/ DEMARCACAO DO SOLO - BALDE COM 18 LITROS - AMARELA - PADRAO DER 3.09|76|5|CONFORME ANEXO||</t>
        </r>
      </text>
    </comment>
    <comment ref="H270" authorId="0" shapeId="0" xr:uid="{BD82C12F-11EF-4423-90CD-BF7852622B87}">
      <text>
        <r>
          <rPr>
            <sz val="10"/>
            <color indexed="81"/>
            <rFont val="Lucida Console"/>
            <family val="3"/>
          </rPr>
          <t>20760|TINTA ACRILICA P/ DEMARCACAO DE SOLO - BALDE C/ 18 LITROS - BRANCA - PADRAO DER 3.09|76|5|CONFORME ANEXO||</t>
        </r>
      </text>
    </comment>
    <comment ref="H271" authorId="0" shapeId="0" xr:uid="{B82FE140-C8A7-4F60-B8B4-4ACB569D359B}">
      <text>
        <r>
          <rPr>
            <sz val="10"/>
            <color indexed="81"/>
            <rFont val="Lucida Console"/>
            <family val="3"/>
          </rPr>
          <t>69229|TINTA ACRILICA P/ DEMARCACAO DE SOLO - BALDE C/ 18 LITROS - AZUL - PADRAO DER 3.09|76|5|CONFORME ANEXO||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100-000001000000}">
      <text>
        <r>
          <rPr>
            <sz val="9"/>
            <color indexed="81"/>
            <rFont val="Segoe UI"/>
            <family val="2"/>
          </rPr>
          <t xml:space="preserve">Situação
</t>
        </r>
      </text>
    </comment>
    <comment ref="A10" authorId="0" shapeId="0" xr:uid="{00000000-0006-0000-0100-000002000000}">
      <text>
        <r>
          <rPr>
            <b/>
            <sz val="9"/>
            <color indexed="81"/>
            <rFont val="Segoe UI"/>
            <family val="2"/>
          </rPr>
          <t>Unidade:</t>
        </r>
        <r>
          <rPr>
            <sz val="9"/>
            <color indexed="81"/>
            <rFont val="Segoe UI"/>
            <family val="2"/>
          </rPr>
          <t xml:space="preserve">
</t>
        </r>
      </text>
    </comment>
    <comment ref="A20" authorId="0" shapeId="0" xr:uid="{00000000-0006-0000-0100-000003000000}">
      <text>
        <r>
          <rPr>
            <b/>
            <sz val="9"/>
            <color indexed="81"/>
            <rFont val="Segoe UI"/>
            <family val="2"/>
          </rPr>
          <t>Objeto:</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200-000001000000}">
      <text>
        <r>
          <rPr>
            <sz val="10"/>
            <color indexed="81"/>
            <rFont val="Lucida Console"/>
            <family val="3"/>
          </rPr>
          <t xml:space="preserve">Ordenado por: Referência_x000D_
_x000D_
          1ª Coluna  ==  Referência_x000D_
</t>
        </r>
      </text>
    </comment>
  </commentList>
</comments>
</file>

<file path=xl/sharedStrings.xml><?xml version="1.0" encoding="utf-8"?>
<sst xmlns="http://schemas.openxmlformats.org/spreadsheetml/2006/main" count="883" uniqueCount="412">
  <si>
    <t>CÓDIGO</t>
  </si>
  <si>
    <t>DESCRIÇÃO</t>
  </si>
  <si>
    <t>GRUPO</t>
  </si>
  <si>
    <t>SUBGRUPO</t>
  </si>
  <si>
    <t>AREIA MEDIA LAVADA(GRANULAMETRIA 0,6 A 2,4 MM), CONFORME ABNT. O MATERIAL ENTREGUE DEVERA ESTAR APTO A ENSAIOS DE PENEIRAMENTO, CONFORME TABELA 2 - LIMITES DA DISTRIBUICAO GRANULOMETRICA DO AGREGADO MIUDO (ABNT 7211/2005).EQUIVALENCIA APROXIMADA EM TONELADAS: 1,30 A 1,50</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</si>
  <si>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</si>
  <si>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CIMENTO COMUM CPII-32 - SACO C/ 50KG - O MATERIAL DEVERA SER ENTREGUE EM LOTE PALETIZADO PROTEGIDO COM FILME PLASTICO.</t>
  </si>
  <si>
    <t>CHAPA DE MADEIRA RESINADA C/ 2,20 X 1,10 M ESP. 10,0 MM</t>
  </si>
  <si>
    <t>CHAPA DE MADEIRA RESINADA C/ 2,20 X 1,10 M ESP. 15,0 MM</t>
  </si>
  <si>
    <t>CHAPA DE MADEIRA COMPENSADO LAMINADO DE VIROLA - MEDIDAS: 2,20 M X 1,60 M X 15 MM</t>
  </si>
  <si>
    <t>CHAPA DE MADEIRA COMPENSADA NAVAL C/ 2,20 X 1,60 M ESP.</t>
  </si>
  <si>
    <t>CHAPA EM MDF, CRU - MED. 2,75 M X 1,83 M X 09 MM</t>
  </si>
  <si>
    <t>CHAPA EM MDF, BRANCO, 02 FACES - MED. 2,75 M X 1,83 M X 15 MM</t>
  </si>
  <si>
    <t>CHAPA EM MDF CARVALHO 2 FACES, MEDINDO 2,75 X 1,83 M X 15 MM DE ESPESSURA</t>
  </si>
  <si>
    <t>CHAPA EM MDF ALTO BRILHO - MEDIDAS: 2,75 X 1,86 M X 15 MM DE ESPESSURA</t>
  </si>
  <si>
    <t>CHAPA EM MDF ALTO BRILHO - MEDIDAS: 2,75 X 1,86 M X 06 MM DE ESPESSURA</t>
  </si>
  <si>
    <t>PAPEL MONOLUCIDO - 120 G/M2 660 X 960 MM  - PACOTE C/ 250</t>
  </si>
  <si>
    <t>COR BRANCA</t>
  </si>
  <si>
    <t>LENCOL DESCARTAVEL 70 CM X 50 MT</t>
  </si>
  <si>
    <t>PARAFUSO GALVANIZADO P/ FIXACAO DE TELHAS MODULADAS - 5/16 X 110 MM</t>
  </si>
  <si>
    <t>PROTETOR DE CABELO TIPO REDE EM NYLON PRETA</t>
  </si>
  <si>
    <t>Infantil</t>
  </si>
  <si>
    <t>CARTOLINA - AZUL CLARO - 50 X 66 CM - 180 G/M2</t>
  </si>
  <si>
    <t>TPFICHA</t>
  </si>
  <si>
    <t>Código</t>
  </si>
  <si>
    <t>Descrição</t>
  </si>
  <si>
    <t xml:space="preserve"> </t>
  </si>
  <si>
    <t>Somente infantil e creche</t>
  </si>
  <si>
    <t>Somente fundamental</t>
  </si>
  <si>
    <t>Fundamental e Infantil</t>
  </si>
  <si>
    <t>Fundam</t>
  </si>
  <si>
    <t>Adm</t>
  </si>
  <si>
    <t>Administrativo / Secretaria</t>
  </si>
  <si>
    <t>RC para Saúde (Mauro 244219 tel:3212-1212)</t>
  </si>
  <si>
    <t>CAFE TORRADO E MOIDO - PT C/ 500 G - EMBALAGEM TIJOLINHO</t>
  </si>
  <si>
    <t>COMPLEMENTO</t>
  </si>
  <si>
    <t>TABUA DE CAMBARA DE 1ª, 25 X 300 MM, BRUTA</t>
  </si>
  <si>
    <t>SACO PLASTICO - GROSSO - 4 FUROS - TAMANHO OFICIO</t>
  </si>
  <si>
    <t>7 MICRAS POR PAREDE (VARIAÇÃO DE +/- 1 MICRA)</t>
  </si>
  <si>
    <t>FIM</t>
  </si>
  <si>
    <t>US_NOME</t>
  </si>
  <si>
    <t>US_DATH</t>
  </si>
  <si>
    <t>marcos.pereira</t>
  </si>
  <si>
    <t>TELHA EM CIMENTO REFORCADO COM FIO SINTETICO(CRFS)</t>
  </si>
  <si>
    <t>VALIDADE</t>
  </si>
  <si>
    <t>ABRACADEIRA GALVANIZADA TIPO D DE 3/4"</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</si>
  <si>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</si>
  <si>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BLOCO DE CONCRETO - 20 X 20 X 40 CM</t>
  </si>
  <si>
    <t>BLOCO DE CONCRETO - 15 X 20 X 40 CM</t>
  </si>
  <si>
    <t>CHAPA DE LAMINADO MELAMINICO  PARA LOUSA LISA QUADRICULADA (5X5CM) DE FUNDO BRANCO ACABAMENTO BRILHANTE C/ 3,08 X 1,25 M ESP =1,0MM. COR PADRAO: BRANCOLINE</t>
  </si>
  <si>
    <t>LAMPADA LED TUBULAR T8.</t>
  </si>
  <si>
    <t>COMPATÍVEL PARA SUBSTITUIÇÃO DE LÂMPADAS FLUORESCENTES DE 600MM, T8 E T10 QUE UTILIZAM BASE SOQUETE DE PRESSÃO G13.</t>
  </si>
  <si>
    <t>LAMPADA LED TUBULAR T8, TENSAO 100-240 V, FLUXO LUMINOSO MINIMO 1850 LM, POTENCIA MAXIMA 20 W, EFICIENCIA ENERGETICA MINIMA DE 92,5 LM/W, BASE G13, COMPRIMENTO 1.200 A 1.214 MM, IRC MINIMO 80, VIDA UTIL MINIMA DE 25.000 H, ANGULO DE FACHO MINIMO DE 120º, TEMPERATURA DE COR DE 5000 A 6500 K, GARANTIA MINIMA 3 ANOS, MODELO COM CERTIFICACAO INMETRO E PROCEL.</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</si>
  <si>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</si>
  <si>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AS LÂMPADAS DEVERÃO TER VIDA ÚTIL DE 40.000 H COM GARANTIA DO FABRICANTE E, NO MÍNIMO, 25.000 H COM GARANTIA INMETRO E PROCEL.
COMPATÍVEL PARA SUBSTITUIÇÃO DE LÂMPADAS FLUORESCENTES DE 1,2 METROS, T8 E 10 QUE UTILIZAM BASE SOQUETE DE PRESSÃO G13.</t>
  </si>
  <si>
    <t>FORRO EM PVC BRANCO LISO, REGUA DE 6M DE COMPRIMENTO, 20CM DE LARGURA - 10MM DE ESPESSURA (ESPESSURA COM TOLERANCIA DE +/- 2MM)</t>
  </si>
  <si>
    <t>ENCOSTO EM MADEIRA  EM LAMINADO MELAMINICO 10MM LISO 30 X 16CM - VERDE CLARO</t>
  </si>
  <si>
    <t>sede</t>
  </si>
  <si>
    <t>ASSENTO EM MADEIRA  REVESTIDO C/ LAMINADO MELAMINICO 10 MM</t>
  </si>
  <si>
    <t>BATENTE DE GARAPEIRA 0,92 X 2,10 M</t>
  </si>
  <si>
    <t>priscila.miranda</t>
  </si>
  <si>
    <t>PERFURADOR P/ PAPEL - 2 FUROS - MEDIO</t>
  </si>
  <si>
    <t>CAPACIDADE DE PERFURAÇÃO: 16 A 25 FOLHAS</t>
  </si>
  <si>
    <t>ESTILETE DE METAL C/ LAMINA ESTREITA</t>
  </si>
  <si>
    <t xml:space="preserve">MARGARINA VEGETAL COM SAL - LIPIDEOS TOTAIS: MINIMO 75% E MAXIMO 85% </t>
  </si>
  <si>
    <t>VIGA DE GARAPEIRA BRUTA - 6 X 12 CM X 4,50 M COMPRIMENTO</t>
  </si>
  <si>
    <t>SARRAFO DE CEDRINHO DE 1ª, 25 X 100 M/M, BRUTO DE 4,00 M COMPRIMENTO</t>
  </si>
  <si>
    <t>PONTALETE DE CEDRINHO 3" X 3" - COM 03 METROS DE COMPRIMENT</t>
  </si>
  <si>
    <t>VIGA DE GARAPEIRA BRUTA - 0,06 X 0,16 X 5,00 M COMPRIMENTO</t>
  </si>
  <si>
    <t>VIGA DE GARAPEIRA BRUTA - 6 CM X 12 CM X 5,00 M COMPRIMENTO</t>
  </si>
  <si>
    <t>VIGA DE GARAPEIRA BRUTA - 6 CM X 12 CM X 5,50 M COMPRIMENTO</t>
  </si>
  <si>
    <t>VIGA DE GARAPEIRA BRUTA - 60MM X 160MM X 6,00 M COMPRIMENTO</t>
  </si>
  <si>
    <t>VIGA DE GARAPEIRA BRUTA - 60MM X 160MM X 6,50 M COMPRIMENTO</t>
  </si>
  <si>
    <t>VIGA DE GARAPEIRA BRUTA - 60MM X 160MM X 7,00 M COMPRIMENTO</t>
  </si>
  <si>
    <t>VIGA DE GARAPEIRA BRUTA - MEDIDAS: 06 CM X 16 CM X 4,00 M</t>
  </si>
  <si>
    <t>VIGA DE GARAPEIRA BRUTA - MEDIDAS: 06 CM X 16 CM X 4,50 M</t>
  </si>
  <si>
    <t>VIGA DE GARAPEIRA BRUTA - MEDIDAS: 06 CM X 16 CM X 5,50 M</t>
  </si>
  <si>
    <t>TELHA EM CIMENTO REFORCADO</t>
  </si>
  <si>
    <t>TELHA DE BARRO COZIDO - TIPO ROMANA</t>
  </si>
  <si>
    <t>Entrega na sede.</t>
  </si>
  <si>
    <t>TELHA DE FIBROCIMENTO - 0,90 X 8,20 M - TIPO CANALETE</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</si>
  <si>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</si>
  <si>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</si>
  <si>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Referência</t>
  </si>
  <si>
    <t>Valor</t>
  </si>
  <si>
    <t>Observações</t>
  </si>
  <si>
    <t>AtalhoDeComentárioAtivo</t>
  </si>
  <si>
    <t>Ativa rotina executada pelo CTRL + M para comentar células automaticamente</t>
  </si>
  <si>
    <t>CaminhoPadrãoDasPlanilhasDeCompraNaRede</t>
  </si>
  <si>
    <t>G:\Suprimentos\Compras\3 Planilhas Compras Estoque\</t>
  </si>
  <si>
    <t>Caminho padrão na rede. Mudar somente se necessário.</t>
  </si>
  <si>
    <t>LocalNaRedeDaItensEmAta</t>
  </si>
  <si>
    <t>G:\Suprimentos\Compras\1 Estimativas de ATA 14-08-17</t>
  </si>
  <si>
    <t>Local onde a planilha de itens em ata estará guardada.</t>
  </si>
  <si>
    <t>ManterColunasUS</t>
  </si>
  <si>
    <t>Mantém as colunas US_NOME e US_DATH visíveis até fechar a planilha</t>
  </si>
  <si>
    <t>CHA DE ERVA MATE TOSTADO - CAIXA COM 250 GR</t>
  </si>
  <si>
    <t>REJUNTE BEGE - SACO COM 01 KG</t>
  </si>
  <si>
    <t>CIMENTO COLANTE - SACO COM 20 KG (PARA USO INTERNO E EXTERNO)</t>
  </si>
  <si>
    <t>REJUNTE BRANCO - SACO COM 01 KG</t>
  </si>
  <si>
    <t>#MADEIRAS</t>
  </si>
  <si>
    <t>#ELDORADO</t>
  </si>
  <si>
    <t>* * NO ATO DA ENTREGA A EMPRESA DEVERÁ APRESENTAR O DOF-DOCUMENTO DE ORIGEM FLORESTAL E A NOTA FISCAL COM QUANTIDADES IDÊNTICAS ÀS QUANTIDADES DE CADA ITEM ENTREGUE.
* * ENCAMINHAR A NOTA FISCAL PARA OS E-MAILS ABAIXO:
sme.follow-up@sjc.sp.gov.br;sme.estoque@sjc.sp.gov.br</t>
  </si>
  <si>
    <t>#ELDORADO
#MADEIRAS</t>
  </si>
  <si>
    <t>SABAO EM PO - EMBALAGEM C/ 01 KG</t>
  </si>
  <si>
    <t>GARRAFA TERMICA - 1 LITRO, TAMPA EM FORMATO DE ROSCA</t>
  </si>
  <si>
    <t>AGUA SANITARIA - FRASCO C/ 1 L.</t>
  </si>
  <si>
    <t>CORRETIVO LIQUIDO A BASE DE AGUA - FR C/ 18 ML</t>
  </si>
  <si>
    <t>GRAMPEADOR GRANDE, TAMANHO 26/6</t>
  </si>
  <si>
    <t>ELASTICO - EMBALAGEM COM 100GR</t>
  </si>
  <si>
    <t>SABONETE LIQUIDO PEROLADO, FRASCO COM 1 LITRO</t>
  </si>
  <si>
    <t>LUVA DE LATEX PARA PROCEDIMENTO, TAM. G.</t>
  </si>
  <si>
    <t>Infam Adm</t>
  </si>
  <si>
    <t>Inf Adm</t>
  </si>
  <si>
    <t>CADEADO DE LATAO - 30 MM</t>
  </si>
  <si>
    <t>GRAMPO 26/6 P/ GRAMPEADOR CX C/ 5000 UNIDADES</t>
  </si>
  <si>
    <t>COPO PLASTICO DESCARTAVEL - 180 ML - PT C/ 100 UN (AGUA)</t>
  </si>
  <si>
    <t>COADOR DE PAPEL P/ CAFE N° 103 - CAIXA COM 30 UNIDADES</t>
  </si>
  <si>
    <t>GUARDANAPO DE PAPEL 23 X 22 CM</t>
  </si>
  <si>
    <t>LUVA DE LATEX - TAMANHO G</t>
  </si>
  <si>
    <t>LUVA DE LATEX - TAMANHO M.</t>
  </si>
  <si>
    <t>PAPEL ESPELHO - 65 X 50 CM - ROSA</t>
  </si>
  <si>
    <t>COR AZUL OU PRETA</t>
  </si>
  <si>
    <t>DISCO DE LIXA N. 40 - 30 CM DE DIAMETRO - PARA LIXADEIRA DE BANCADA</t>
  </si>
  <si>
    <t>SEM FURO PODENDO VARIAR + 0,5 CM</t>
  </si>
  <si>
    <t>MACANETA ALAVANCA CROMADA P/ PORTA DE MADEIRA</t>
  </si>
  <si>
    <t>EIXO MEDINDO 8 MM</t>
  </si>
  <si>
    <t>PLASTICO OLEADO, TIPO FLANELADO - NAS CORES AZUL CLARO E BR</t>
  </si>
  <si>
    <t>excluir do estoque/CÓDIGO SERÁ TROCADO</t>
  </si>
  <si>
    <t>PLASTICO CRISTAL TRANSPARENTE DE 0,40 MICRONS X 1,40 M LARGURA  X 30 M DE COMPRIMENTO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</si>
  <si>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</si>
  <si>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APRESENTAR AMOSTRA</t>
  </si>
  <si>
    <t xml:space="preserve">BORRACHA BRANCA COMUM NUMERO 20 (SEM CINTA), CONFECCIONADA EM MATERIAL NATURAL E MACIO, ATOXICA. APLICAVEL PARA QUALQUER SUPERFICIE E GRADUACAO DE GRAFITE. MEDIDA: 40MM X 30MM X 10MM (VARIACAO +/- 2MM).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</si>
  <si>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</si>
  <si>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</si>
  <si>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</si>
  <si>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PRETO 6B, MEDINDO 175MM (VARIACAO DE +/-10MM) DE COMPRIMENTO.</t>
  </si>
  <si>
    <t>LAPIS PRETO N.2 JUMBO TRIANGULAR, MEDINDO: 175MM (VARIACAO +/- 10MM)</t>
  </si>
  <si>
    <t>REGUA DE 30 CM EM POLIESTIRENO. COR: TRANSPARENTE, CRISTAL.</t>
  </si>
  <si>
    <t>CANETA HIDROGRAFICA JUMBO COM 12 CORES, PONTA GROSSA, TINTA LAVAVEL</t>
  </si>
  <si>
    <t>CANETA HIDROGRAFICA JUMBO PRETA, PONTA GROSSA, TINTA LAVAVEL.</t>
  </si>
  <si>
    <t xml:space="preserve">CANETA HIDROGRAFICA PRETA PONTA DE 2MM.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</si>
  <si>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</si>
  <si>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CORPO EM METAL COM APROXIMADAMENTE 135 MM DE COMPRIMENTO, LÂMINA 9 MM DE LARGURA. APRESENTAR AMOSTRA</t>
  </si>
  <si>
    <t>LAPIS DE COR AQUARELAVEL, CAIXA COM 12 CORES, TINTAS ATOXICAS, SOLUVEIS EM AGUA. DIMENSAO DA CAIXA: 215MM X 95MM X 13MM (VARIACAO +/- 10MM). PRODUTO COM CERTIFICACAO DO INMETRO</t>
  </si>
  <si>
    <t>ROLO COM 30 METROS</t>
  </si>
  <si>
    <t>LIXEIRA DE PLASTICO COM TAMPA E PEDAL - CAPACIDADE PARA 10 LITROS</t>
  </si>
  <si>
    <t>CAIXA PARA ARQUIVO MORTO EM POLIONDA</t>
  </si>
  <si>
    <t>COR AZUL</t>
  </si>
  <si>
    <t>EM PVC TOTALMENTE TRANSPARENTE. APRESENTAR AMOSTRA.</t>
  </si>
  <si>
    <t>PLASTICO BOLHA - MEDIDA 1,20 M LARGURA</t>
  </si>
  <si>
    <t>TUBO DE FERRO GALVANIZADO 4" BR C/ 6 M</t>
  </si>
  <si>
    <t>PERMITIDA VARIAÇÃO PARA COMPRIMENTO ATÉ 5M.
#ELDORADO
#MADEIRAS</t>
  </si>
  <si>
    <t>TIJOLO COMUM DE BARRO MEDINDO 20 X 9 X 4 CM</t>
  </si>
  <si>
    <t>+/- 2CM</t>
  </si>
  <si>
    <t>PODENDO VARIAR EM +/- 1 LITRO, PRODUZIDA EM PLÁSTICO DE ALTA DURABILIDADE E RESISTÊNCIA, EM FORMATO CIRCULAR, LIXEIRA E TAMPA NA COR BRANCA, ARMAÇÃO E PEDAL SUPER RESISTENTES EM AÇO CARBONO GALVANIZADO (ZINCADO), ALÇAS LATERAIS RESISTENTES PARA A FACILITAÇÃO DO TRANSPORTE, RESISTENTE A IMPACTOS BEM COMO A RAIOS ULTRA VIOLETAS E A REPETIDAS LAVAGENS, SEM REBARBAS, EXCELENTE VEDAÇÃO. FABRICADA DE ACORDO COM AS PRINCIPAIS NORMAS DA VIGILÂNCIA SANITÁRIA. GARANTIA DE 12 MESES.</t>
  </si>
  <si>
    <t>PISO DE BORRACHA MODELO I, COR AZUL, ISENTO DE SUBSTANCIAS TOXICAS COM ABSORCAO DE IMPACTOS ANTI DERRAPANTES, NA MEDIDA 335 X255 X20 MM, ATENDENDO A NORMA ASTM 2240, COM DUREZA DE 50 SHORE A, RESISTENTE A LUZ SOLAR E ABRASAO NORMA DIN53516&lt;150</t>
  </si>
  <si>
    <t>PISO DE BORRACHA MODELO I, COR: AMARELO, ISENTO DE SUBSTANCIAS TOXICAS COM ABSORCAO DE IMPACTOS ANTI DERRAPANTE, NA MEDIDA 335 X 255 X 20 MM, ATENDENDO A NORMA ASTM 2240, COM DUREZA DE 50 SHORE A, RESISTENTE A LUZ SOLAR E ABRASAO, NORMA DIN 53516&lt;150.</t>
  </si>
  <si>
    <t>A MARCA DEVERÁ VIR LITOGRAFADA NA PEÇA.</t>
  </si>
  <si>
    <t>ADAPTADOR DE PVC - COLA 1.1/2.</t>
  </si>
  <si>
    <t>ADAPTADOR DE PVC - COLA 3/4.</t>
  </si>
  <si>
    <t>COTOVELO EM PVC - COLA PARA ESGOTO - 2" X 90º.</t>
  </si>
  <si>
    <t>LUVA DE REDUCAO EM PVC DE 1.1/2" X 1.1/4"</t>
  </si>
  <si>
    <t>BUCHA DE REDUÇÃO EM PVC RÍGIDO SOLDÁVEL 60 X 50 MM</t>
  </si>
  <si>
    <t>ADAPTADOR DE PVC RIGIDO DE 2" SOLDAVEL</t>
  </si>
  <si>
    <t>PLUG EM PVC RÍGIDO - ROSQUEÁVEL  - 1/2".</t>
  </si>
  <si>
    <t>PLUG EM PVC RÍGIDO - ROSQUEÁVEL  - 3/4".</t>
  </si>
  <si>
    <t>TÊ DE PVC RÍGIDO - SOLDÁVEL PARA ESGOTO - 4".</t>
  </si>
  <si>
    <t>TÊ DE PVC RÍGIDO - COLA - PARA ESGOTO - 2".</t>
  </si>
  <si>
    <t>REGISTRO DE GAVETA - 3/4" SEM CANOPLA</t>
  </si>
  <si>
    <t>TÊ DE PVC SOLDÁVEL - 1.1/2" - MARROM</t>
  </si>
  <si>
    <t>TÊ DE PVC RÍGIDO - COLA - 3/4"</t>
  </si>
  <si>
    <t>LUVA DE PVC - COLA - 3/4".</t>
  </si>
  <si>
    <t>COTOVELO EM PVC - RÍGIDO - COLA 3/4".</t>
  </si>
  <si>
    <t>COTOVELO EM PVC - COLA - 1.1/2" X 90º</t>
  </si>
  <si>
    <t>PlanilhaPrincipal</t>
  </si>
  <si>
    <t>ABA#</t>
  </si>
  <si>
    <t>Complementos</t>
  </si>
  <si>
    <t>ROLO DE LA DE CARNEIRO P/ PINTURA - 23 CM C/ CABO - ALTURA DA LA 19 MM - 100% NATURAL</t>
  </si>
  <si>
    <t>CABO TIPO GAIOLA</t>
  </si>
  <si>
    <t>ACUCAR REFINADO AMORFO/MICROCRISTALINO PT C/ 1KG</t>
  </si>
  <si>
    <t xml:space="preserve">LEITE EM PO INTEGRAL INSTANTANEO ENRIQUECIDO </t>
  </si>
  <si>
    <t>LUVA DE LATEX PARA PROCEDIMENTO, TAM. M.</t>
  </si>
  <si>
    <t>CONSIDERAR AF ANTIGA</t>
  </si>
  <si>
    <t>sim</t>
  </si>
  <si>
    <t>VASO SANITARIO INFANTIL, NA COR BRANCA, MATERIAL EM LOUCA NAS DIMENSOE: 30 X 31 X 41,5 CM (ALTURA/LARGURA/COMPRIMENTO)  MEDIDAS PODENDO VARIAR EM + / - 03 CM</t>
  </si>
  <si>
    <t>OBSERVAÇÃO</t>
  </si>
  <si>
    <t>#LITOGRAFIA</t>
  </si>
  <si>
    <t>#ENTREGA_REQ</t>
  </si>
  <si>
    <t>A MARCA DEVERÁ ESTAR LITOGRAFADA NA PEÇA.</t>
  </si>
  <si>
    <t>#AMOSTRA</t>
  </si>
  <si>
    <t>&gt;&gt;&gt;&gt; ENTREGA DE ACORDO COM SOLICITAÇÃO DO REQUISITANTE.</t>
  </si>
  <si>
    <t>Eldorado 3718
&gt;&gt;&gt;&gt; É NECESSÁRIO LIGAR ANTES PARA AGENDAR A ENTREGA (12-3901-2104/3901-2074)</t>
  </si>
  <si>
    <t>CIMENTO COLA AC3 - SACO C/20 KG</t>
  </si>
  <si>
    <t>Para uso em porcelanato</t>
  </si>
  <si>
    <t>BALDINHO DE PRAIA EM PLASTICO - COLORIDO, ATOXICO, COM ACES</t>
  </si>
  <si>
    <t>CORANTE LIQUIDO PARA FINS ALIMENTICIOS - COR AMARELA - FRASCO COM 10ML</t>
  </si>
  <si>
    <t>CORANTE LIQUIDO PARA FINS ALIMENTICIOS - COR AZUL - FRASCO COM 10ML.</t>
  </si>
  <si>
    <t>CORANTE LIQUIDO PARA FINS ALIMENTICIOS - COR VERMELHA - FRASCO COM 10ML</t>
  </si>
  <si>
    <t>CORPO FEITO  EM MADEIRA INTEIRICA COLADO EM DUAS FACES, ENVERNIZADO COM VERNIZ BRILHANTE. COLAGEM PERFEITA ENTRE AS DUAS PARTES E ADERENCIA DA MINA NA MADEIRA, DE MANEIRA QUE NAO SE SOLTEM DENTRO DO LAPIS, APRESENTANDO RESISTENCIA SUFICIENTE PARA SUPORTAR A PRESSAO NORMAL DE USO. PRODUTO COM CERTIFICACAO DO INMETRO E  SELO FSC. APRESENTAR AMOSTRA.</t>
  </si>
  <si>
    <t>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</si>
  <si>
    <t>CORPO FEITO  EM MADEIRA INTEIRICA COLADO EM DUAS FACES, COLAGEM PERFEITA ENTRE AS DUAS PARTES E ADERENCIA DA MINA NA MADEIRA, DE MANEIRA QUE NAO SE SOLTEM DENTRO DO LAPIS. APRESENTAR AMOSTRA.</t>
  </si>
  <si>
    <t>GRAMPO TRILHO P/ PASTA 80 MM</t>
  </si>
  <si>
    <t>EM METAL.</t>
  </si>
  <si>
    <t>GIZAO DE CERA REDONDO, ATOXICO, COM 6 CORES</t>
  </si>
  <si>
    <t>IDEAL PARA PRIMEIRA INFÂNCIA.</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</si>
  <si>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</si>
  <si>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APRESENTAR AMOSTRA.</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</si>
  <si>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</si>
  <si>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</si>
  <si>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ELETRODUTO DE ACO CARBONO GALVANIZADO A FOGO - DIAMETRO 1 1/2" - BARRA COM 3 M</t>
  </si>
  <si>
    <t>GALVANIZAÇÃO A FOGO MÉDIO.</t>
  </si>
  <si>
    <t>ELETRODUTO DE FERRO GALVANIZADO - 3/4"</t>
  </si>
  <si>
    <t>FERRO TIPO U DE 2" X 1/8</t>
  </si>
  <si>
    <t>BARRA COM 6 METROS.</t>
  </si>
  <si>
    <t>REDONDO, ESPESSURA 1/8” (UM OITAVO DE POLEGADA), DIAMETRO EXTERNO 4” (QUATRO POLEGADAS), NORMA ABNT NBR 5580/02.</t>
  </si>
  <si>
    <t>TX</t>
  </si>
  <si>
    <t>SUPERFICIE LISA COM ASPECTO AMADEIRADO</t>
  </si>
  <si>
    <t>DUPLA FACE - VARIAÇÃO: +/- 0,03 MM (EXCETO ESPESSURA)</t>
  </si>
  <si>
    <t>edmilson.scandola</t>
  </si>
  <si>
    <t>CABO DE COBRE FLEXIVEL BITOLA  95 MM²,  750 V ISOLACAO DE PVC 70° C, COR VERDE - ANTI-CHAMA.</t>
  </si>
  <si>
    <t>#BOBINA100M</t>
  </si>
  <si>
    <t>ENTREGAR EM BOBINAS DE 100M.</t>
  </si>
  <si>
    <t>#ROLO100M</t>
  </si>
  <si>
    <t>ENTREGAR EM ROLOS DE 100M.</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</si>
  <si>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</si>
  <si>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</si>
  <si>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</si>
  <si>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150 MM²,  0,6/1 KV ISOLACAO DE PVC 70° C, COR PRETA - ANTI-CHAMA</t>
  </si>
  <si>
    <t xml:space="preserve">CABO DE COBRE FLEXIVEL BITOLA 185 MM2 , ISOLACAO 0,6/1 KV, COR PRETA - ANTICHAMA </t>
  </si>
  <si>
    <t>CABO DE COBRE FLEXIVEL BITOLA 240 MM2 ISOLACAO 0,6/1KV , TEMPERATURA 70° C, COR PRETA - ANTICHAMA</t>
  </si>
  <si>
    <t>CABO DE COBRE FLEXIVEL BITOLA 240MM², 750 V, ISOLACAO DE PVC - 70°C - COR AZUL-CLARO</t>
  </si>
  <si>
    <t>CABO DE COBRE FLEXIVEL BITOLA 25 MM², 0,6/1 KV ISOLACAO DE PVC 70° C, ANTICHAMA, COR AZUL-CLARO</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</si>
  <si>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</si>
  <si>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</si>
  <si>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</si>
  <si>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</si>
  <si>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</si>
  <si>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</si>
  <si>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FLEXIVEL, BITOLA 10,0 MM2, 1KV, ISOLACAO DE PVC 70º, COR AZUL CLARO</t>
  </si>
  <si>
    <t>CABO DE COBRE FLEXIVEL, BITOLA 10,0MM2, 1KV,  ISOLACAO DE PVC 70ºC, COR PRETA</t>
  </si>
  <si>
    <t>CABO DE COBRE FLEXIVEL, BITOLA 35,0MM2, 1KV,  ISOLACAO DE PVC 70ºC, COR AZUL CLARO- ANTI-CHAMA</t>
  </si>
  <si>
    <t>CABO DE COBRE FLEXIVEL, BITOLA 35,0MM2, 1KV,  ISOLACAO DE PVC 70ºC, COR VERDE</t>
  </si>
  <si>
    <t>CABO DE COBRE FLEXIVEL, BITOLA 50MM2, 0,6/1 KV, ISOLACAO DE PVC 70° C, COR AZUL CLARO - ANTI-CHAMA</t>
  </si>
  <si>
    <t>CABO DE COBRE FLEXIVEL, BITOLA 50MM2, 750 V, ISOLACAO DE PVC 70° C, COR VERDE - ANTI-CHAMA</t>
  </si>
  <si>
    <t>CABO FLEXIVEL - 1,5MM - PRETO</t>
  </si>
  <si>
    <t>CABO FLEXIVEL - 2,5 MM2 - PRETO</t>
  </si>
  <si>
    <t>CABO FLEXIVEL - 2,5 MM2 - VERDE</t>
  </si>
  <si>
    <t>CABO FLEXIVEL - 6 MM2 - PRETO</t>
  </si>
  <si>
    <t>CABO FLEXIVEL - 6 MM2 - VERDE</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</si>
  <si>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</si>
  <si>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</si>
  <si>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</si>
  <si>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</si>
  <si>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PRETA</t>
  </si>
  <si>
    <t>CABO FLEXIVEL BITOLA 4,0 MM2, 750 VOLTS, ISOLACAO DE PVC 70° C, COR VERDE</t>
  </si>
  <si>
    <t>CABO FLEXIVEL BITOLA 50 MM², ISOLACAO DE PVC 70° C, 1KV, 750V, ANTICHAMA, COR PRETA</t>
  </si>
  <si>
    <t>CABO PP DE COBRE FLEXIVEL COM PRIMEIRA E SEGUNDA CAMADA EM PVC, ISOLACAO DE 500 V,  3 VIAS DE 1,5 MM, SENDO A VIA TERRA NA COR VERDE.</t>
  </si>
  <si>
    <t>CABO PP DE COBRE FLEXIVEL COM PRIMEIRA E SEGUNDA CAMADA EM PVC, ISOLACAO DE 500 V,  3 VIAS DE 2,5 MM, SENDO A VIA TERRA NA COR VERDE.</t>
  </si>
  <si>
    <t>AS MEDIDAS PODERÃO VARIAR +/-  05 MM NA LARGURA E NO COMPRIMENTO E +-/ 02 MM NA ESPESSURA. AS PEÇAS DEVERÃO SER LISAS E UNIFORMES, AFIM DE EVITAR QUE AS CRIANÇAS SE MACHUQUEM. APRESENTAR AMOSTRA E LAUDO TÉCNICO EXPEDIDO POR LABORATÓRIO ACREDITADO PELO INMETRO, COMPROVANDO QUE O PRODUTO É ISENTO DE SUBSTÂNCIAS TÓXICAS.</t>
  </si>
  <si>
    <t>helena.povoa</t>
  </si>
  <si>
    <t>ÚltimoUsuário</t>
  </si>
  <si>
    <t>Último Usuário que alterou esta planilha.</t>
  </si>
  <si>
    <t>marcos.pereira - 07.07.2020 às 15:24:58</t>
  </si>
  <si>
    <t>CARTOLINA - AMARELA - 50 X 66 CM - 180 G/M2</t>
  </si>
  <si>
    <t>VARIAÇÃO DE +/- 5CM.</t>
  </si>
  <si>
    <t>CARTOLINA - BRANCA  - 50 X 66 CM - 180 G/M2</t>
  </si>
  <si>
    <t>CARTOLINA - ROSA - 50 X 66 CM - 180 G/M2</t>
  </si>
  <si>
    <t>CARTOLINA - VERDE CLARO - 50 X 66 CM - GRAMATURA 180G/M2</t>
  </si>
  <si>
    <t>PASTA DE CARTOLINA PLASTIFICADA MOD. C/ FERRAGEM - PRETA -</t>
  </si>
  <si>
    <t>“GRAMPO TRILHO” OU “ROMEU E JULIETA” DE METAL PODENDO SER FIXO OU MÓVEL.</t>
  </si>
  <si>
    <t>VARIAÇÃO DE +/- 5CM. GRAMATURA ENTRE 60 E 75 G/M2.</t>
  </si>
  <si>
    <t>PAPEL CREPOM - RL C/ 48 X 200 CM - AMARELO OURO</t>
  </si>
  <si>
    <t>VARIAÇÃO +/- 5CM. GRAMATURA MÍNIMA 18 G/M2.</t>
  </si>
  <si>
    <t>PAPEL CREPOM - RL C/ 48 X 200 CM - AZUL ESCURO</t>
  </si>
  <si>
    <t>PAPEL CREPOM - RL C/ 48 X 200 CM - LARANJA</t>
  </si>
  <si>
    <t>PAPEL CREPOM - RL C/ 48 X 200 CM - ROSA</t>
  </si>
  <si>
    <t>PAPEL CREPOM - RL C/ 48 X 200 CM - VERDE ESCURO</t>
  </si>
  <si>
    <t>PAPEL CREPOM - RL C/ 48 X 200 CM - VERMELHO</t>
  </si>
  <si>
    <t>PAPEL LAMINADO - 50 X 60 CM - DOURADO - AS MEDIDAS PODERAO VARIAR +/- 5 CM</t>
  </si>
  <si>
    <t>VARIAÇÃO +/- 5 CM. GRAMATURA ENTRE 60 E 85 G/M2.</t>
  </si>
  <si>
    <t>PAPEL LAMINADO - 50 X 60 CM - VERDE</t>
  </si>
  <si>
    <t>PAPEL LAMINADO - 50 X 60 CM - AZUL</t>
  </si>
  <si>
    <t>PAPEL LAMINADO - 50 X 60 CM - VERMELHO</t>
  </si>
  <si>
    <t>PAPEL LAMINADO - 50 X 60 CM - PRATA</t>
  </si>
  <si>
    <t>PAPEL CAMURCA - 60 X 40 CM - BRANCO</t>
  </si>
  <si>
    <t>VARIAÇÃO +/- 5CM. GRAMATURA ENTRE 85 E 110 G/M2.</t>
  </si>
  <si>
    <t>PAPEL CAMURCA - 60 X 40 CM - PRETO</t>
  </si>
  <si>
    <t>PAPEL CAMURCA - 60 X 40 CM - VERMELHO</t>
  </si>
  <si>
    <t>PAPEL CAMURCA - 60 X 40 CM - MARROM</t>
  </si>
  <si>
    <t>PAPEL CAMURCA - 60 X 40 - ROSA - AS MEDIDAS PODERAO VARIAR +/- 5 CM</t>
  </si>
  <si>
    <t>PAPEL CAMURCA - 60 X 40CM - AMARELO</t>
  </si>
  <si>
    <t>PAPEL CAMURCA - 60 X 40 CM - AZUL CLARO</t>
  </si>
  <si>
    <t>BEGE CLARO</t>
  </si>
  <si>
    <t>AGUA DESTILADA PARA BATERIA - FRASCO C/ 1 LITRO</t>
  </si>
  <si>
    <t>LARGURA DE 14 CM E ESPESSURA DE 4 CM.</t>
  </si>
  <si>
    <t>PAPEL ESPELHO BRILHANTE (DOBRADURA), MEDINDO 48 X 66 CM - COR: AMARELA</t>
  </si>
  <si>
    <t>COR VIVA, VIBRANTE, UNIFORME E SEM MANCHAS (VARIAÇÃO +/- 5 CM).</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</si>
  <si>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</si>
  <si>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</si>
  <si>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</si>
  <si>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</si>
  <si>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BOBINA DE SACO PLASTICO PICOTADO PARA EMBALAGEM - MED. 35 X 45 CM</t>
  </si>
  <si>
    <t>COM ESPESSURA DE 0,01 MM POR PAREDE, BOBINAS COM 400 SACOS CADA</t>
  </si>
  <si>
    <t xml:space="preserve">TUBO DE PVC RIGIDO SOLDAVEL 2" X 06 M (P/ESGOTO) </t>
  </si>
  <si>
    <t>A MARCA DEVERÁ SER LITOGRAFADA NO PRODUTO.</t>
  </si>
  <si>
    <t>TUBO DE PVC RIGIDO SOLDAVEL DE 100 MM - 4" X 6 M (P/ESGOTO)</t>
  </si>
  <si>
    <t>TUBO DE PVC RIGIDO SOLDAVEL DE 32 MM - 1" X 06 M  - CLASSE</t>
  </si>
  <si>
    <t>ADAPTADOR EM PVC RIGIDO SOLDAVEL DE 1"</t>
  </si>
  <si>
    <t>COTOVELO 45 GRAUS EM PVC - RIGIDO SOLDAVEL - 6"- (150 MM) -</t>
  </si>
  <si>
    <t>COTOVELO 45 GRAUS EM PVC RIGIDO SOLDAVEL 2"</t>
  </si>
  <si>
    <t>COTOVELO 90 GRAUS EM PVC - RIGIDO SOLDAVEL - 6"- (150 MM) -</t>
  </si>
  <si>
    <t>COTOVELO 90 GRAUS EM PVC RIGIDO SOLDAVEL DE 32 MM (1")</t>
  </si>
  <si>
    <t>COTOVELO 90 GRAUS EM PVC RIGIDO SOLDAVEL DE 4" (ESGOTO)</t>
  </si>
  <si>
    <t>COTOVELO EM PVC AZUL-COLA E ROSCA DE 3/4"</t>
  </si>
  <si>
    <t>LUVA DE REDUCAO EM PVC RIGIDO - MARROM - SOLDAVEL - 1.1/2"</t>
  </si>
  <si>
    <t>LUVA DESLIZANTE EM PVC COM ANEL - MARROM - 1 1/2"</t>
  </si>
  <si>
    <t>TE DE REDUCAO EM PVC RIGIDO - SOLDAVEL - 150 X 100 MM - 6"</t>
  </si>
  <si>
    <t>TE DE REDUCAO EM PVC SOLDAVEL, ROSCA, DE 25 MM - 1/2" - AZU</t>
  </si>
  <si>
    <t>SILICONE PARA VEDACAO - TUBO COM NO MINIMO 280G</t>
  </si>
  <si>
    <t>LUVA DE PVC RIGIDO SOLDAVEL DE 2"</t>
  </si>
  <si>
    <t>O MATERIAL DEVERÁ SER ENTREGUE COM NO MÁXIMO 30 DIAS DA DATA DE FABRICAÇÃO.</t>
  </si>
  <si>
    <t>LUVA DE LATEX PARA PROCEDIMENTOS TAM "G"</t>
  </si>
  <si>
    <t>LUVA DE LATEX PARA PROCEDIMENTOS TAM "M"</t>
  </si>
  <si>
    <t>COPO PLASTICO DESCARTAVEL - 50 ML - PT C/ 100 UNID (CAFE)</t>
  </si>
  <si>
    <t>FILME DE POLIETILENO - MED. 500 MM LARGURA X 0,020 MM ESPESSURA X 140 METROS DE COMPRIMENTO</t>
  </si>
  <si>
    <t>VARIAÇÃO DE + 0,005 MILIMETROS NA ESPESSURA E DE + 10 METROS NO COMPRIMENTO.</t>
  </si>
  <si>
    <t>BLOCO P/ RECADOS AUTO COLANTE - MED. 38 X 51</t>
  </si>
  <si>
    <t>BLOCO P/ RECADOS AUTO COLANTE - MED 76 X 102 MM</t>
  </si>
  <si>
    <t>CORES NEON SORTIDAS. VARIAÇÃO +/- 3 MM. FOLHAS REPOSICIONÁVEIS, OU SEJA, QUE POSSAM SER RETIRADAS E RECOLOCADAS SEM DANIFICAR PAPÉIS OU OUTRAS SUPERFÍCIES, SEM DEIXAR RESÍDUOS DO ADESIVO.</t>
  </si>
  <si>
    <t>LONA PLASTICA - 4 X 100M - PRETA</t>
  </si>
  <si>
    <t>ESPESSURA MÍNIMA 110 MICRAS</t>
  </si>
  <si>
    <t>CESTO DE PLASTICO P/ LIXO, 6 LITROS - FECHADO</t>
  </si>
  <si>
    <t>COR AZUL. VARIAÇÃO +/- 1 LITRO.</t>
  </si>
  <si>
    <t>FITA ADESIVA COLORIDA, MEDINDO APROXIMADAMENTE 12MM X 10M. COR: AMARELA. COMPOSICAO: FILME POLIPROPILENO COM ADESIVO ACRILICO A BASE D´AGUA.</t>
  </si>
  <si>
    <t>VARIAÇÃO DE +/- 3 MM.</t>
  </si>
  <si>
    <t>FITA ADESIVA COLORIDA, MEDINDO APROXIMADAMENTE 12MM X 10M. COR: AZUL ESCURA. COMPOSICAO: FILME POLIPROPILENO COM ADESIVO ACRILICO A BASE D´AGUA.</t>
  </si>
  <si>
    <t xml:space="preserve">ROLO DE LA SINTETICA PARA TINTAS EPOXI, ESMALTE E OLEO INDICADO PARA METAL E SUPERFICIES LISAS EM GERAL, COM 6 MM DE ALTURA E 9 CM DE LARGURA, COM CABO. </t>
  </si>
  <si>
    <t>REFERÊNCIA CÓDIGO 1366 DA MARCA TIGRE.</t>
  </si>
  <si>
    <t>ROLO DE PELE DE CARNEIRO PARA PINTURA DE SUPERFICIES ASPERAS E RUGOSAS, USO COM TINTAS LATEX E ACRILICA COM 19 MM DE ALTURA E LARGURA DE 23 CM, COM CABO</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</si>
  <si>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</si>
  <si>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</si>
  <si>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BRANCO - GALAO COM 3.600 ML, A BASE DE SOLVENTE</t>
  </si>
  <si>
    <t>TINTA ESMALTE SINTETICO BRILHANTE, LINHA PREMIUM.COR PRETO, GALAO COM 3.600 ML, A BASE DE SOLVENTE</t>
  </si>
  <si>
    <t>TINTA ESMALTE SINTETICO BRILHANTE, LINHA PREMIUM.COR VERDE FOLHA, GALAO COM 3.600 ML, A BASE DE SOLVENTE</t>
  </si>
  <si>
    <t>TINTA ESMALTE SINTETICO BRILHANTE, LINHA PREMIUM, COR VERMELHA - GALAO COM 3.600 ML, A BASE DE SOLVENTE</t>
  </si>
  <si>
    <t>TRINCHA PARA PINTURA MULTIUSO DE CERDAS SINTETICAS GRIS, LARGURA DE 1"</t>
  </si>
  <si>
    <t>REFERÊNCIA CÓDIGO 713 DA MARCA TIGRE, LARGURA DE 1"</t>
  </si>
  <si>
    <t>TRINCHA 2 POLEGADAS (50MM), CABO PLASTICO, CERDA GRIS</t>
  </si>
  <si>
    <t>REFERÊNCIA CÓDIGO 713 DA MARCA TIGRE, LARGURA DE 2"</t>
  </si>
  <si>
    <t>TRINCHA PARA PINTURA MULTIUSO DE CERDAS SINTETICAS GRIS, LARGURA DE 3"</t>
  </si>
  <si>
    <t>REFERÊNCIA CÓDIGO 713 DA MARCA TIGRE, LARGURA DE 3"</t>
  </si>
  <si>
    <t>TINTA LATEX ACRILICA SEMIBRILHO, PADRAO PREMIUM, COR AMARELO MELAO MADURO OU SIMILAR, LATA COM 18 LITROS.</t>
  </si>
  <si>
    <t>REFERÊNCIA DE COR CÓDIGO C611 SUVINIL OU SIMILAR.</t>
  </si>
  <si>
    <t>TINTA LATEX ACRILICA SEMIBRILHO, PADRAO PREMIUM, COR AZUL BIONICO OU SIMILAR, LATA COM 18 LITROS.</t>
  </si>
  <si>
    <t>REFERÊNCIA DE COR CÓDIGO P659 SUVINIL OU SIMILAR.</t>
  </si>
  <si>
    <t>ROLO DE LA DE CARNEIRO P/ PINTURA - 9 CM C/ CABO</t>
  </si>
  <si>
    <t>REFERÊNCIA CÓDIGO 1346 DA MARCA TIGRE.</t>
  </si>
  <si>
    <t xml:space="preserve"> ROLO (REFERENCIA CÓDIGO 1325 ),CABO (REFERENCIA CÓDIGO 1311) DA MARCA TIGRE.</t>
  </si>
  <si>
    <t>PISO HIDRAULICO, ANTIDERRAPANTE</t>
  </si>
  <si>
    <t>PISO HIDRAULICO, ANTIDERRAPANTE, COR CINZA.</t>
  </si>
  <si>
    <t>TINTA LATEX ACRILICA SEMIBRILHO, LINHA PREMIUM, COR  AZUL BIONICO - LATA COM 18 LITROS</t>
  </si>
  <si>
    <t>TINTA LATEX ACRILICA SEMIBRILHO, LINHA PREMIUM, COR  AMARELO MELAO MADURO - LATA COM 18 LITROS</t>
  </si>
  <si>
    <t>INDICADA PARA AMBIENTES EXTERNOS, TEMPO DE SECAGEM FINAL EM ATE 08 HORAS, RENDIMENTO  MÍNIMO DE 280 M²/DEMÃO POR LATA, APLICÁVEL EM 2 DEMÃOS. PRODUTO CLASSIFICADO CONFORME  NORMA DA ABNT NBR 11702:2019, DEVENDO TAMBÉM ATENDER NO MÍNIMO AS ESPECIFICAÇÕES INDICADAS NA ABNT NBR 15079/1:2019. REFERENCIA DE COR  COD C611, MARCA SUVINIL OU SIMILAR.</t>
  </si>
  <si>
    <t>TINTA LATEX ACRILICA SEMIBRILHO, LINHA PREMIUM, COR BRANCO - LATA COM 18 LITROS</t>
  </si>
  <si>
    <t>FUNDO PARA GALVANIZADOS, LINHA PREMIUM, NA COR CINZA - GALAO COM 3,600 ML</t>
  </si>
  <si>
    <t>RENDIMENTO DE 50 M² A 70M² POR DEMÃO,  DILUÍVEL COM SOLVENTE.  APLICÁVEL COM ROLO DE ESPUMA OU TRINCHA,  SECAGEM: TOQUE: 2 HORAS E FINAL: 24 HORAS.</t>
  </si>
  <si>
    <t>VERNIZ SINTETICO MARITIMO BRILHANTE, LINHA PREMIUM, GALAO COM 3,6 LITROS, USO INTERIOR E EXTERIOR, COR TRANSPARENTE , PARA DILUICAO A BASE DE SOLVENTE</t>
  </si>
  <si>
    <t>TEMPO DE SECAGEM COMPLETA EM ATE 24 HORAS, RENDIMENTO MINIMO DE 70 M²/GALAO/DEMAO. VALIDADE PARA NO MINIMO 24 MESES DE ESTOCAGEM APOS A ENTREGA DO PRODUTO.</t>
  </si>
  <si>
    <t>TINTA ACRILICA PISO, LINHA PREMIUM, COR BRANCO - LATA COM 18 LITROS</t>
  </si>
  <si>
    <t>INDICADA PARA AMBIENTES EXTERNOS, TEMPO DE SECAGEM ATE 12 HORAS, RENDIMENTO MÍNIMO DE 250 M²/DEMÃO POR LATA, APLICÁVEL EM 2 DEMÃOS. PRODUTO CLASSIFICADO CONFORME  NORMA DA ABNT NBR 11702:2019, DEVENDO TAMBÉM ATENDER NO MÍNIMO AS ESPECIFICAÇÕES INDICADAS NA ABNT NBR 15079/1:2019. REFERENCIA COR BRANCO 00, MARCA SHERWIN-WILLIAMS OU SIMILAR.</t>
  </si>
  <si>
    <t>TRINCHA PARA PINTURA - 2", COM CERDAS 100% NATURAIS</t>
  </si>
  <si>
    <t>REFERÊNCIA CÓDIGO 551 DA MARCA TIGRE.</t>
  </si>
  <si>
    <t>TRINCHA PARA PINTURA - 3", COM CERDAS 100% NATURAIS</t>
  </si>
  <si>
    <t>TRINCHA PARA PINTURA - 1", COM CERDAS 100% NATURAIS</t>
  </si>
  <si>
    <t>INDICADA PARA MADEIRAS E METAIS, TEMPO MÁXIMO DE 08 HORAS PARA A SECAGEM FINAL, RENDIMENTO MÍNIMO DE  60 M²/DEMÃO POR GALÃO. PRODUTO CLASSIFICADO CONFORME A NORMA DA ABNT NBR 11702:2019 E A NBR 15494:2015  (SEM NECESSIDADE DE FUNDO) REFERENCIA DE COR CÓDIGO R581 DA SUVINIL OU SIMILAR.</t>
  </si>
  <si>
    <t>PAPEL CELOFANE - 90 X 100 CM - AMARELO</t>
  </si>
  <si>
    <t>(AS MEDIDAS PODERÃO VARIAR +/- 5 CM)</t>
  </si>
  <si>
    <t>PAPEL CELOFANE - 90 X 100 CM - VERDE</t>
  </si>
  <si>
    <t>PAPEL CELOFANE - 90 X 100 CM - VERMELHO</t>
  </si>
  <si>
    <t>PAPEL CELOFANE - 90 X 100 CM - AZUL</t>
  </si>
  <si>
    <t>DETERGENTE LIQUIDO,  NEUTRO - INCOLOR - FRASCO C/500ML</t>
  </si>
  <si>
    <t>GIZAO DE CERA REDONDO, ATOXICO, COM 6 CORES. DIMENSOES MINIMAS: 22 MM DE DIAMETRO E 69 MM DE COMPRIMENTO, COM PESO MINIMO DE 185 GRAMAS, COMPOSICAO: A BASE DE CERA, CARGAS MINERAIS INERTES E PIGMENTOS.</t>
  </si>
  <si>
    <t>TANQUE DE CONCRETO PRE-MOLDADO P/ LAVAGEM DE ROUPAS DE 0,70 X 0,70M</t>
  </si>
  <si>
    <t>VARIAÇÃO DE +/- 0,10 M</t>
  </si>
  <si>
    <t>CABO UTP 23 AWG X 4 PARES CATEGORIA 6,CM</t>
  </si>
  <si>
    <t>CONFORME ESPECIFICAÇÃO TÉCNICA ANEXA</t>
  </si>
  <si>
    <t>CONECTOR RJ-45 FEMEA, PARA CABO UTP CATEGORIA 6</t>
  </si>
  <si>
    <t>CONECTOR RJ-45 MACHO, PARA CABO UTP CATEGORIA 5E</t>
  </si>
  <si>
    <t>BUCHA DE REDUCAO EM PVC RIGIDO SOLDAVEL DE 4" X 2" - ESGOTO".</t>
  </si>
  <si>
    <t>LUMINARIA FECHADA TIPO CALHA P/ LAMPADA FLUORESCENTE 2 X 40</t>
  </si>
  <si>
    <t>MODELO COMERCIAL, OU DE SOBREPOR, OU TRAPÉZIO</t>
  </si>
  <si>
    <t>COR BRANCA, DUPLA FACE, VARIAÇÃO: +/- 0,03 MM (EXCETO ESPESSURA)</t>
  </si>
  <si>
    <t>GRELHA P/RALO EM INOX, 100MM (4")</t>
  </si>
  <si>
    <t>REDONDA</t>
  </si>
  <si>
    <t>ACÉTICO PARA CUBAS E JANELAS, INCOLOR.
PRAZO DE VALIDADE 18 MESES. O MATERIAL DEVERÁ SER ENTREGUE COM NO MÁXIMO 3 MESES DA DATA DE FABRICAÇÃO.</t>
  </si>
  <si>
    <t>PUXADOR EXTERNO PARA ARMARIO, COM 2 PARAFUSOS - TIPO ALCA - MEDIDA: 14,5 CM X 2,5 CM</t>
  </si>
  <si>
    <t>CINZA OU PRATA</t>
  </si>
  <si>
    <t>FECHADURA DE SOBREPOR PARA GAVETA, COM CILINDRO, MEDINDO 31 MM DE CORPO, ACABAMENTO NIQUELADO E ROTACAO DA CHAVE DE 180º COM DOIS PONTOS DE EXTRACAO</t>
  </si>
  <si>
    <t>INTERNA</t>
  </si>
  <si>
    <t>MODELO ¼ DE CÍRCULO (MILANO)</t>
  </si>
  <si>
    <t>ELETROCALHA LISA C/TAMPA C/FECHAMENTO POR PARAFUSO, GALVANIZADA, P/ELETROCALHA -  100 X 50MM</t>
  </si>
  <si>
    <t>ESPESSURA 0,65 MM (CHAPA #24)</t>
  </si>
  <si>
    <t>APONTADOR DUPLO (LAPIS NORMAL E JUMBO), SEM DEPOSITO, CORPO METALICO EM ALUMINIO, LAMINA COM TRATAMENTO ANTI-FERRUGEM. DIMENSOES: 36MM X 31MM X 21MM (VARIACAO +/- 2MM).</t>
  </si>
  <si>
    <t>CONFORME ANEXO</t>
  </si>
  <si>
    <t>REFERÊNCIA DE COR CÓDIGO E339  DA SUVINIL OU SIMILAR, CONFORME ANEXO</t>
  </si>
  <si>
    <t>TINTA ACRILICA P/ DEMARCACAO DE SOLO - BALDE C/ 18 L - VERMELHA - PADRAO DER 3.09</t>
  </si>
  <si>
    <t>REFERENCIA DE COR  BRANCO DA SUVINIL OU SIMILAR, CONFORME ANEXO</t>
  </si>
  <si>
    <t>REFERENCIA DE COR  CÓDIGO R756 DA SUVINIL OU SIMILAR, CONFORME ANEXO</t>
  </si>
  <si>
    <t>TINTA ACRILICA P/ DEMARCACAO DO SOLO - BALDE COM 18 LITROS - AMARELA - PADRAO DER 3.09</t>
  </si>
  <si>
    <t>TINTA ACRILICA P/ DEMARCACAO DE SOLO - BALDE C/ 18 LITROS - BRANCA - PADRAO DER 3.09</t>
  </si>
  <si>
    <t>TINTA ACRILICA P/ DEMARCACAO DE SOLO - BALDE C/ 18 LITROS - AZUL - PADRAO DER 3.09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</si>
</sst>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_ "/>
    <numFmt numFmtId="165" formatCode="0;;;@"/>
    <numFmt numFmtId="166" formatCode="0_ "/>
    <numFmt numFmtId="167" formatCode="0.0_ ;;;@"/>
    <numFmt numFmtId="168" formatCode="0.0;;;@"/>
  </numFmts>
  <fonts count="19" x14ac:knownFonts="1">
    <font>
      <sz val="11"/>
      <color theme="1"/>
      <name val="Calibri"/>
      <family val="2"/>
      <scheme val="minor"/>
    </font>
    <font>
      <sz val="11"/>
      <color theme="1"/>
      <name val="Arial"/>
      <family val="2"/>
    </font>
    <font>
      <sz val="9"/>
      <color indexed="81"/>
      <name val="Segoe UI"/>
      <family val="2"/>
    </font>
    <font>
      <b/>
      <sz val="11"/>
      <color theme="1"/>
      <name val="Calibri"/>
      <family val="2"/>
      <scheme val="minor"/>
    </font>
    <font>
      <sz val="22"/>
      <color theme="1"/>
      <name val="Calibri"/>
      <family val="2"/>
      <scheme val="minor"/>
    </font>
    <font>
      <b/>
      <sz val="9"/>
      <color indexed="81"/>
      <name val="Segoe UI"/>
      <family val="2"/>
    </font>
    <font>
      <b/>
      <sz val="16"/>
      <color theme="1"/>
      <name val="Calibri"/>
      <family val="2"/>
      <scheme val="minor"/>
    </font>
    <font>
      <b/>
      <sz val="14"/>
      <color theme="1"/>
      <name val="Calibri"/>
      <family val="2"/>
      <scheme val="minor"/>
    </font>
    <font>
      <sz val="14"/>
      <color theme="1"/>
      <name val="Calibri"/>
      <family val="2"/>
      <scheme val="minor"/>
    </font>
    <font>
      <b/>
      <sz val="14"/>
      <color theme="1"/>
      <name val="Calibri"/>
      <family val="2"/>
      <scheme val="minor"/>
    </font>
    <font>
      <sz val="14"/>
      <color theme="1"/>
      <name val="Calibri"/>
      <family val="2"/>
      <scheme val="minor"/>
    </font>
    <font>
      <u/>
      <sz val="11"/>
      <color theme="10"/>
      <name val="Calibri"/>
      <family val="2"/>
      <scheme val="minor"/>
    </font>
    <font>
      <sz val="10"/>
      <color indexed="81"/>
      <name val="Lucida Console"/>
      <family val="3"/>
    </font>
    <font>
      <b/>
      <sz val="11"/>
      <color rgb="FFFF0000"/>
      <name val="Arial"/>
      <family val="2"/>
    </font>
    <font>
      <b/>
      <sz val="14"/>
      <color theme="1"/>
      <name val="Calibri"/>
      <family val="2"/>
      <scheme val="minor"/>
    </font>
    <font>
      <sz val="14"/>
      <color theme="1"/>
      <name val="Calibri"/>
      <family val="2"/>
      <scheme val="minor"/>
    </font>
    <font>
      <sz val="11"/>
      <color rgb="FF4B4B4B"/>
      <name val="Arial"/>
      <family val="2"/>
    </font>
    <font>
      <sz val="11"/>
      <color rgb="FF000000"/>
      <name val="Arial"/>
      <family val="2"/>
    </font>
    <font>
      <sz val="11"/>
      <color rgb="FF262626"/>
      <name val="Arial"/>
      <family val="2"/>
    </font>
  </fonts>
  <fills count="2">
    <fill>
      <patternFill patternType="none"/>
    </fill>
    <fill>
      <patternFill patternType="gray125"/>
    </fill>
  </fills>
  <borders count="2">
    <border>
      <left/>
      <right/>
      <top/>
      <bottom/>
      <diagonal/>
    </border>
    <border>
      <left style="thin">
        <color indexed="64"/>
      </left>
      <right/>
      <top style="thin">
        <color indexed="64"/>
      </top>
      <bottom/>
      <diagonal/>
    </border>
  </borders>
  <cellStyleXfs count="2">
    <xf numFmtId="0" fontId="0" fillId="0" borderId="0"/>
    <xf numFmtId="0" fontId="11" fillId="0" borderId="0" applyNumberFormat="0" applyFill="0" applyBorder="0" applyAlignment="0" applyProtection="0"/>
  </cellStyleXfs>
  <cellXfs count="51">
    <xf numFmtId="0" fontId="0" fillId="0" borderId="0" xfId="0"/>
    <xf numFmtId="164" fontId="1" fillId="0" borderId="0" xfId="0" applyNumberFormat="1" applyFont="1" applyAlignment="1">
      <alignment vertical="center"/>
    </xf>
    <xf numFmtId="165" fontId="1" fillId="0" borderId="0" xfId="0" applyNumberFormat="1" applyFont="1" applyAlignment="1">
      <alignment horizontal="center" vertical="center"/>
    </xf>
    <xf numFmtId="49" fontId="1" fillId="0" borderId="0" xfId="0" applyNumberFormat="1" applyFont="1" applyAlignment="1">
      <alignment horizontal="left" vertical="center" wrapText="1" indent="1"/>
    </xf>
    <xf numFmtId="166" fontId="1" fillId="0" borderId="0" xfId="0" applyNumberFormat="1" applyFont="1" applyAlignment="1">
      <alignment horizontal="right" vertical="center"/>
    </xf>
    <xf numFmtId="166" fontId="1" fillId="0" borderId="0" xfId="0" quotePrefix="1" applyNumberFormat="1" applyFont="1" applyAlignment="1">
      <alignment horizontal="right" vertical="center"/>
    </xf>
    <xf numFmtId="49" fontId="4" fillId="0" borderId="0" xfId="0" applyNumberFormat="1" applyFont="1" applyAlignment="1">
      <alignment horizontal="center" vertical="center"/>
    </xf>
    <xf numFmtId="49" fontId="3" fillId="0" borderId="0" xfId="0" applyNumberFormat="1" applyFont="1" applyAlignment="1">
      <alignment horizontal="center"/>
    </xf>
    <xf numFmtId="49" fontId="0" fillId="0" borderId="0" xfId="0" applyNumberFormat="1" applyAlignment="1">
      <alignment horizontal="left" indent="1"/>
    </xf>
    <xf numFmtId="49" fontId="3" fillId="0" borderId="0" xfId="0" applyNumberFormat="1" applyFont="1" applyAlignment="1">
      <alignment horizontal="center" vertical="top"/>
    </xf>
    <xf numFmtId="49" fontId="3" fillId="0" borderId="0" xfId="0" applyNumberFormat="1" applyFont="1" applyAlignment="1">
      <alignment horizontal="left" vertical="top" indent="1"/>
    </xf>
    <xf numFmtId="49" fontId="0" fillId="0" borderId="0" xfId="0" applyNumberFormat="1" applyAlignment="1">
      <alignment horizontal="justify" vertical="top"/>
    </xf>
    <xf numFmtId="49" fontId="1" fillId="0" borderId="0" xfId="0" applyNumberFormat="1" applyFont="1" applyAlignment="1">
      <alignment horizontal="left" vertical="center" indent="1"/>
    </xf>
    <xf numFmtId="0" fontId="1" fillId="0" borderId="0" xfId="0" applyNumberFormat="1" applyFont="1" applyAlignment="1">
      <alignment horizontal="center" vertical="center"/>
    </xf>
    <xf numFmtId="0" fontId="6" fillId="0" borderId="0" xfId="0" applyFont="1" applyAlignment="1">
      <alignment horizontal="center" vertical="top"/>
    </xf>
    <xf numFmtId="0" fontId="6" fillId="0" borderId="0" xfId="0" applyFont="1" applyAlignment="1">
      <alignment horizontal="left" vertical="top" indent="1"/>
    </xf>
    <xf numFmtId="0" fontId="7" fillId="0" borderId="0" xfId="0" applyFont="1" applyAlignment="1">
      <alignment horizontal="left" vertical="top" indent="1"/>
    </xf>
    <xf numFmtId="0" fontId="8" fillId="0" borderId="0" xfId="0" applyFont="1" applyAlignment="1">
      <alignment horizontal="left" vertical="top" indent="1"/>
    </xf>
    <xf numFmtId="49" fontId="0" fillId="0" borderId="0" xfId="0" applyNumberFormat="1" applyAlignment="1">
      <alignment horizontal="left" vertical="top" wrapText="1" indent="1"/>
    </xf>
    <xf numFmtId="166" fontId="1" fillId="0" borderId="0" xfId="0" applyNumberFormat="1" applyFont="1" applyBorder="1" applyAlignment="1">
      <alignment horizontal="right" vertical="center"/>
    </xf>
    <xf numFmtId="49" fontId="1" fillId="0" borderId="0" xfId="0" applyNumberFormat="1" applyFont="1" applyBorder="1" applyAlignment="1">
      <alignment horizontal="left" vertical="center" indent="1"/>
    </xf>
    <xf numFmtId="0" fontId="1" fillId="0" borderId="0" xfId="0" applyNumberFormat="1" applyFont="1" applyBorder="1" applyAlignment="1">
      <alignment horizontal="center" vertical="center"/>
    </xf>
    <xf numFmtId="0" fontId="9" fillId="0" borderId="0" xfId="0" applyFont="1" applyAlignment="1">
      <alignment horizontal="left" vertical="top" indent="1"/>
    </xf>
    <xf numFmtId="0" fontId="10" fillId="0" borderId="0" xfId="0" applyFont="1" applyAlignment="1">
      <alignment horizontal="left" vertical="top" indent="1"/>
    </xf>
    <xf numFmtId="0" fontId="11" fillId="0" borderId="0" xfId="1" applyAlignment="1">
      <alignment horizontal="left" vertical="top" indent="1"/>
    </xf>
    <xf numFmtId="168" fontId="1" fillId="0" borderId="0" xfId="0" applyNumberFormat="1" applyFont="1" applyAlignment="1">
      <alignment horizontal="center" vertical="center"/>
    </xf>
    <xf numFmtId="168" fontId="1" fillId="0" borderId="0" xfId="0" applyNumberFormat="1" applyFont="1" applyBorder="1" applyAlignment="1">
      <alignment horizontal="center" vertical="center"/>
    </xf>
    <xf numFmtId="168" fontId="13" fillId="0" borderId="0" xfId="0" applyNumberFormat="1" applyFont="1" applyAlignment="1">
      <alignment horizontal="right" vertical="center" indent="1"/>
    </xf>
    <xf numFmtId="168" fontId="13" fillId="0" borderId="0" xfId="0" applyNumberFormat="1" applyFont="1" applyBorder="1" applyAlignment="1">
      <alignment horizontal="right" vertical="center" indent="1"/>
    </xf>
    <xf numFmtId="0" fontId="14" fillId="0" borderId="0" xfId="0" applyFont="1" applyAlignment="1">
      <alignment horizontal="left" vertical="top" indent="1"/>
    </xf>
    <xf numFmtId="0" fontId="15" fillId="0" borderId="0" xfId="0" applyFont="1" applyAlignment="1">
      <alignment horizontal="left" vertical="top" indent="1"/>
    </xf>
    <xf numFmtId="0" fontId="16" fillId="0" borderId="0" xfId="0" applyFont="1" applyAlignment="1">
      <alignment vertical="center"/>
    </xf>
    <xf numFmtId="49" fontId="1" fillId="0" borderId="1" xfId="0" applyNumberFormat="1" applyFont="1" applyBorder="1" applyAlignment="1">
      <alignment horizontal="left" vertical="center" wrapText="1" indent="1"/>
    </xf>
    <xf numFmtId="49" fontId="1" fillId="0" borderId="0" xfId="0" applyNumberFormat="1" applyFont="1" applyAlignment="1">
      <alignment horizontal="left" vertical="center"/>
    </xf>
    <xf numFmtId="22" fontId="1" fillId="0" borderId="0" xfId="0" applyNumberFormat="1" applyFont="1" applyAlignment="1">
      <alignment horizontal="left" vertical="center"/>
    </xf>
    <xf numFmtId="0" fontId="1" fillId="0" borderId="0" xfId="0" applyFont="1" applyAlignment="1">
      <alignment horizontal="center" vertical="center"/>
    </xf>
    <xf numFmtId="49" fontId="1" fillId="0" borderId="0" xfId="0" applyNumberFormat="1" applyFont="1" applyBorder="1" applyAlignment="1">
      <alignment horizontal="left" vertical="center"/>
    </xf>
    <xf numFmtId="22" fontId="1" fillId="0" borderId="0" xfId="0" applyNumberFormat="1" applyFont="1" applyBorder="1" applyAlignment="1">
      <alignment horizontal="left" vertical="center"/>
    </xf>
    <xf numFmtId="0" fontId="1" fillId="0" borderId="0" xfId="0" applyFont="1"/>
    <xf numFmtId="0" fontId="1" fillId="0" borderId="0" xfId="0" applyFont="1" applyAlignment="1">
      <alignment horizontal="left" vertical="center"/>
    </xf>
    <xf numFmtId="0" fontId="1" fillId="0" borderId="0" xfId="0" applyFont="1" applyAlignment="1">
      <alignment horizontal="left" vertical="center" indent="1"/>
    </xf>
    <xf numFmtId="167" fontId="1" fillId="0" borderId="0" xfId="0" applyNumberFormat="1" applyFont="1" applyAlignment="1">
      <alignment horizontal="left" vertical="center"/>
    </xf>
    <xf numFmtId="167" fontId="1" fillId="0" borderId="0" xfId="0" applyNumberFormat="1" applyFont="1" applyAlignment="1">
      <alignment horizontal="left" vertical="center" wrapText="1"/>
    </xf>
    <xf numFmtId="0" fontId="17" fillId="0" borderId="0" xfId="0" applyFont="1" applyAlignment="1">
      <alignment vertical="center"/>
    </xf>
    <xf numFmtId="49" fontId="1" fillId="0" borderId="0" xfId="0" applyNumberFormat="1" applyFont="1" applyFill="1" applyBorder="1" applyAlignment="1">
      <alignment horizontal="left" vertical="top"/>
    </xf>
    <xf numFmtId="0" fontId="1" fillId="0" borderId="0" xfId="0" applyFont="1" applyAlignment="1">
      <alignment vertical="center"/>
    </xf>
    <xf numFmtId="0" fontId="18" fillId="0" borderId="0" xfId="0" applyFont="1"/>
    <xf numFmtId="0" fontId="1" fillId="0" borderId="0" xfId="0" applyFont="1" applyAlignment="1">
      <alignment wrapText="1"/>
    </xf>
    <xf numFmtId="167" fontId="1" fillId="0" borderId="0" xfId="0" applyNumberFormat="1" applyFont="1" applyAlignment="1">
      <alignment horizontal="right"/>
    </xf>
    <xf numFmtId="0" fontId="1" fillId="0" borderId="0" xfId="0" applyFont="1" applyAlignment="1">
      <alignment horizontal="center"/>
    </xf>
    <xf numFmtId="0" fontId="0" fillId="0" borderId="0" xfId="0" applyAlignment="1">
      <alignment horizontal="center"/>
    </xf>
  </cellXfs>
  <cellStyles count="2">
    <cellStyle name="Hiperlink" xfId="1" builtinId="8"/>
    <cellStyle name="Normal" xfId="0" builtinId="0"/>
  </cellStyles>
  <dxfs count="35">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1"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outline val="0"/>
        <shadow val="0"/>
        <u val="none"/>
        <vertAlign val="baseline"/>
        <sz val="11"/>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8" formatCode="0.0;;;@"/>
      <alignment horizontal="center" vertical="center" textRotation="0" wrapText="0" indent="0" justifyLastLine="0" shrinkToFit="0" readingOrder="0"/>
    </dxf>
    <dxf>
      <font>
        <b/>
        <i val="0"/>
        <strike val="0"/>
        <condense val="0"/>
        <extend val="0"/>
        <outline val="0"/>
        <shadow val="0"/>
        <u val="none"/>
        <vertAlign val="baseline"/>
        <sz val="11"/>
        <color rgb="FFFF0000"/>
        <name val="Arial"/>
        <family val="2"/>
        <scheme val="none"/>
      </font>
      <numFmt numFmtId="168" formatCode="0.0;;;@"/>
      <alignment horizontal="right" vertical="center" textRotation="0" wrapText="0" indent="1" justifyLastLine="0" shrinkToFit="0" readingOrder="0"/>
    </dxf>
    <dxf>
      <font>
        <b val="0"/>
        <i val="0"/>
        <strike val="0"/>
        <outline val="0"/>
        <shadow val="0"/>
        <u val="none"/>
        <vertAlign val="baseline"/>
        <sz val="11"/>
        <color theme="1"/>
        <name val="Arial"/>
        <family val="2"/>
        <scheme val="none"/>
      </font>
      <numFmt numFmtId="0" formatCode="General"/>
      <alignment horizontal="left" vertical="center" textRotation="0" wrapText="0" indent="0" justifyLastLine="0" shrinkToFit="0" readingOrder="0"/>
    </dxf>
    <dxf>
      <font>
        <b val="0"/>
        <i val="0"/>
        <strike val="0"/>
        <outline val="0"/>
        <shadow val="0"/>
        <u val="none"/>
        <vertAlign val="baseline"/>
        <sz val="11"/>
        <color theme="1"/>
        <name val="Arial"/>
        <family val="2"/>
        <scheme val="none"/>
      </font>
      <numFmt numFmtId="30" formatCode="@"/>
      <alignment horizontal="left" vertical="center" textRotation="0" wrapText="0" indent="0" justifyLastLine="0" shrinkToFit="0" readingOrder="0"/>
    </dxf>
    <dxf>
      <font>
        <b val="0"/>
        <i val="0"/>
        <strike val="0"/>
        <outline val="0"/>
        <shadow val="0"/>
        <u val="none"/>
        <vertAlign val="baseline"/>
        <sz val="11"/>
        <color theme="1"/>
        <name val="Arial"/>
        <family val="2"/>
        <scheme val="none"/>
      </font>
      <numFmt numFmtId="30" formatCode="@"/>
      <alignment horizontal="left" vertical="center" textRotation="0" wrapText="0" indent="1" justifyLastLine="0" shrinkToFit="0" readingOrder="0"/>
    </dxf>
    <dxf>
      <font>
        <b val="0"/>
        <i val="0"/>
        <strike val="0"/>
        <outline val="0"/>
        <shadow val="0"/>
        <u val="none"/>
        <vertAlign val="baseline"/>
        <sz val="11"/>
        <color theme="1"/>
        <name val="Arial"/>
        <family val="2"/>
        <scheme val="none"/>
      </font>
      <numFmt numFmtId="30" formatCode="@"/>
      <alignment horizontal="left" vertical="center" textRotation="0" wrapText="1" indent="1" justifyLastLine="0" shrinkToFit="0" readingOrder="0"/>
    </dxf>
    <dxf>
      <font>
        <b val="0"/>
        <i val="0"/>
        <strike val="0"/>
        <condense val="0"/>
        <extend val="0"/>
        <outline val="0"/>
        <shadow val="0"/>
        <u val="none"/>
        <vertAlign val="baseline"/>
        <sz val="11"/>
        <color theme="1"/>
        <name val="Arial"/>
        <family val="2"/>
        <scheme val="none"/>
      </font>
      <numFmt numFmtId="30" formatCode="@"/>
      <alignment horizontal="left" vertical="center" textRotation="0" wrapText="1" indent="1" justifyLastLine="0" shrinkToFit="0" readingOrder="0"/>
    </dxf>
    <dxf>
      <font>
        <b val="0"/>
        <i val="0"/>
        <strike val="0"/>
        <outline val="0"/>
        <shadow val="0"/>
        <u val="none"/>
        <vertAlign val="baseline"/>
        <sz val="11"/>
        <color theme="1"/>
        <name val="Arial"/>
        <family val="2"/>
        <scheme val="none"/>
      </font>
      <numFmt numFmtId="166" formatCode="0_ "/>
      <alignment horizontal="right" vertical="center" textRotation="0" wrapText="0" indent="0" justifyLastLine="0" shrinkToFit="0" readingOrder="0"/>
    </dxf>
    <dxf>
      <font>
        <b val="0"/>
        <i val="0"/>
        <strike val="0"/>
        <outline val="0"/>
        <shadow val="0"/>
        <u val="none"/>
        <vertAlign val="baseline"/>
        <sz val="11"/>
        <color theme="1"/>
        <name val="Arial"/>
        <family val="2"/>
        <scheme val="none"/>
      </font>
      <numFmt numFmtId="165" formatCode="0;;;@"/>
      <alignment horizontal="center" vertical="center" textRotation="0" wrapText="0" indent="0" justifyLastLine="0" shrinkToFit="0" readingOrder="0"/>
    </dxf>
    <dxf>
      <font>
        <b val="0"/>
        <i val="0"/>
        <strike val="0"/>
        <outline val="0"/>
        <shadow val="0"/>
        <u val="none"/>
        <vertAlign val="baseline"/>
        <sz val="11"/>
        <color theme="1"/>
        <name val="Arial"/>
        <family val="2"/>
        <scheme val="none"/>
      </font>
      <numFmt numFmtId="30" formatCode="@"/>
      <alignment horizontal="left" vertical="center" textRotation="0" wrapText="1" indent="1" justifyLastLine="0" shrinkToFit="0" readingOrder="0"/>
    </dxf>
    <dxf>
      <font>
        <b val="0"/>
        <i val="0"/>
        <strike val="0"/>
        <outline val="0"/>
        <shadow val="0"/>
        <u val="none"/>
        <vertAlign val="baseline"/>
        <sz val="11"/>
        <color theme="1"/>
        <name val="Arial"/>
        <family val="2"/>
        <scheme val="none"/>
      </font>
      <numFmt numFmtId="164" formatCode="#,##0_ "/>
      <alignment vertical="center" textRotation="0" indent="0" justifyLastLine="0" shrinkToFit="0" readingOrder="0"/>
    </dxf>
    <dxf>
      <font>
        <b val="0"/>
        <i val="0"/>
        <strike val="0"/>
        <outline val="0"/>
        <shadow val="0"/>
        <u val="none"/>
        <vertAlign val="baseline"/>
        <sz val="11"/>
        <color theme="1"/>
        <name val="Arial"/>
        <family val="2"/>
        <scheme val="none"/>
      </font>
      <alignment vertical="center" textRotation="0" indent="0" justifyLastLine="0" shrinkToFit="0" readingOrder="0"/>
    </dxf>
    <dxf>
      <font>
        <strike val="0"/>
        <outline val="0"/>
        <shadow val="0"/>
        <u val="none"/>
        <vertAlign val="baseline"/>
        <sz val="11"/>
        <color theme="1"/>
        <name val="Arial"/>
        <family val="2"/>
        <scheme val="none"/>
      </font>
      <alignment horizontal="left" vertical="center" textRotation="0" wrapText="0" indent="0" justifyLastLine="0" shrinkToFit="0" readingOrder="0"/>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1</xdr:col>
          <xdr:colOff>1752600</xdr:colOff>
          <xdr:row>0</xdr:row>
          <xdr:rowOff>466725</xdr:rowOff>
        </xdr:to>
        <xdr:sp macro="" textlink="">
          <xdr:nvSpPr>
            <xdr:cNvPr id="1025" name="btn_Complementos_Organiza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1847850</xdr:colOff>
          <xdr:row>0</xdr:row>
          <xdr:rowOff>85725</xdr:rowOff>
        </xdr:from>
        <xdr:to>
          <xdr:col>1</xdr:col>
          <xdr:colOff>4391025</xdr:colOff>
          <xdr:row>0</xdr:row>
          <xdr:rowOff>466725</xdr:rowOff>
        </xdr:to>
        <xdr:sp macro="" textlink="">
          <xdr:nvSpPr>
            <xdr:cNvPr id="1040" name="btn_Complementos_FilCód"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4486275</xdr:colOff>
          <xdr:row>0</xdr:row>
          <xdr:rowOff>85725</xdr:rowOff>
        </xdr:from>
        <xdr:to>
          <xdr:col>3</xdr:col>
          <xdr:colOff>266700</xdr:colOff>
          <xdr:row>0</xdr:row>
          <xdr:rowOff>466725</xdr:rowOff>
        </xdr:to>
        <xdr:sp macro="" textlink="">
          <xdr:nvSpPr>
            <xdr:cNvPr id="1041" name="btn_Complementos_LimparF"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2295525</xdr:colOff>
          <xdr:row>0</xdr:row>
          <xdr:rowOff>85725</xdr:rowOff>
        </xdr:from>
        <xdr:to>
          <xdr:col>9</xdr:col>
          <xdr:colOff>723900</xdr:colOff>
          <xdr:row>0</xdr:row>
          <xdr:rowOff>466725</xdr:rowOff>
        </xdr:to>
        <xdr:sp macro="" textlink="">
          <xdr:nvSpPr>
            <xdr:cNvPr id="1178" name="btn_Complementos_Fechar"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2049" name="btnEstaticasReordena"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4257675</xdr:colOff>
          <xdr:row>0</xdr:row>
          <xdr:rowOff>123825</xdr:rowOff>
        </xdr:from>
        <xdr:to>
          <xdr:col>1</xdr:col>
          <xdr:colOff>1676400</xdr:colOff>
          <xdr:row>0</xdr:row>
          <xdr:rowOff>571500</xdr:rowOff>
        </xdr:to>
        <xdr:sp macro="" textlink="">
          <xdr:nvSpPr>
            <xdr:cNvPr id="2050" name="btnEstaticasHabilitaAl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3181350</xdr:colOff>
          <xdr:row>0</xdr:row>
          <xdr:rowOff>571500</xdr:rowOff>
        </xdr:to>
        <xdr:sp macro="" textlink="">
          <xdr:nvSpPr>
            <xdr:cNvPr id="3073" name="btn_Parâmetros_Reordena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Complementos" displayName="tabComplementos" ref="A2:L271" totalsRowShown="0" headerRowDxfId="33" dataDxfId="32">
  <autoFilter ref="A2:L271" xr:uid="{C3B032DC-141D-4E50-80E7-3B8D776D24BC}">
    <filterColumn colId="0">
      <filters>
        <filter val="118.427"/>
      </filters>
    </filterColumn>
  </autoFilter>
  <tableColumns count="12">
    <tableColumn id="1" xr3:uid="{00000000-0010-0000-0000-000001000000}" name="CÓDIGO" dataDxfId="31"/>
    <tableColumn id="2" xr3:uid="{00000000-0010-0000-0000-000002000000}" name="DESCRIÇÃO" dataDxfId="30"/>
    <tableColumn id="3" xr3:uid="{00000000-0010-0000-0000-000003000000}" name="GRUPO" dataDxfId="29"/>
    <tableColumn id="4" xr3:uid="{00000000-0010-0000-0000-000004000000}" name="SUBGRUPO" dataDxfId="28"/>
    <tableColumn id="13" xr3:uid="{00000000-0010-0000-0000-00000D000000}" name="OBSERVAÇÃO" dataDxfId="27"/>
    <tableColumn id="5" xr3:uid="{00000000-0010-0000-0000-000005000000}" name="COMPLEMENTO" dataDxfId="26"/>
    <tableColumn id="6" xr3:uid="{00000000-0010-0000-0000-000006000000}" name="TPFICHA" dataDxfId="25"/>
    <tableColumn id="7" xr3:uid="{00000000-0010-0000-0000-000007000000}" name="US_NOME" dataDxfId="24"/>
    <tableColumn id="8" xr3:uid="{00000000-0010-0000-0000-000008000000}" name="US_DATH" dataDxfId="23"/>
    <tableColumn id="10" xr3:uid="{00000000-0010-0000-0000-00000A000000}" name="VALIDADE" dataDxfId="22"/>
    <tableColumn id="11" xr3:uid="{00000000-0010-0000-0000-00000B000000}" name="CONSIDERAR AF ANTIGA" dataDxfId="21"/>
    <tableColumn id="9" xr3:uid="{00000000-0010-0000-0000-000009000000}" name="FIM" dataDxfId="20">
      <calculatedColumnFormula>"*"</calculatedColumnFormula>
    </tableColumn>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TpFicha" displayName="tabTpFicha" ref="A2:B7" totalsRowShown="0" headerRowDxfId="16" dataDxfId="15">
  <autoFilter ref="A2:B7" xr:uid="{00000000-0009-0000-0100-000002000000}"/>
  <sortState ref="A3:B7">
    <sortCondition ref="A3:A7"/>
  </sortState>
  <tableColumns count="2">
    <tableColumn id="1" xr3:uid="{00000000-0010-0000-0100-000001000000}" name="Código" dataDxfId="14"/>
    <tableColumn id="2" xr3:uid="{00000000-0010-0000-0100-000002000000}" name="Descrição" dataDxfId="13"/>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ComplementoResumido" displayName="tabComplementoResumido" ref="A10:B17" totalsRowShown="0" headerRowDxfId="12" dataDxfId="11">
  <autoFilter ref="A10:B17" xr:uid="{00000000-0009-0000-0100-000003000000}"/>
  <sortState ref="A11:B17">
    <sortCondition ref="A11:A17"/>
  </sortState>
  <tableColumns count="2">
    <tableColumn id="1" xr3:uid="{00000000-0010-0000-0200-000001000000}" name="Código" dataDxfId="10"/>
    <tableColumn id="2" xr3:uid="{00000000-0010-0000-0200-000002000000}" name="Descrição" dataDxfId="9"/>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__________" displayName="tab__________" ref="A20:B21" insertRow="1" totalsRowShown="0" headerRowDxfId="8" dataDxfId="7">
  <autoFilter ref="A20:B21" xr:uid="{00000000-0009-0000-0100-000004000000}"/>
  <sortState ref="A21:B21">
    <sortCondition ref="A21"/>
  </sortState>
  <tableColumns count="2">
    <tableColumn id="1" xr3:uid="{00000000-0010-0000-0300-000001000000}" name="Código" dataDxfId="6"/>
    <tableColumn id="2" xr3:uid="{00000000-0010-0000-0300-000002000000}" name="Descrição" dataDxfId="5"/>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Parametros" displayName="tabParametros" ref="A2:C8" totalsRowShown="0" headerRowDxfId="4" dataDxfId="3">
  <autoFilter ref="A2:C8" xr:uid="{00000000-0009-0000-0100-000005000000}"/>
  <sortState ref="A3:C14">
    <sortCondition ref="A3:A14"/>
  </sortState>
  <tableColumns count="3">
    <tableColumn id="1" xr3:uid="{00000000-0010-0000-0400-000001000000}" name="Referência" dataDxfId="2"/>
    <tableColumn id="2" xr3:uid="{00000000-0010-0000-0400-000002000000}" name="Valor" dataDxfId="1"/>
    <tableColumn id="3" xr3:uid="{00000000-0010-0000-0400-000003000000}" name="Observações" dataDxfId="0"/>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mments" Target="../comments2.xml"/><Relationship Id="rId5" Type="http://schemas.openxmlformats.org/officeDocument/2006/relationships/image" Target="../media/image5.emf"/><Relationship Id="rId10" Type="http://schemas.openxmlformats.org/officeDocument/2006/relationships/table" Target="../tables/table4.xml"/><Relationship Id="rId4" Type="http://schemas.openxmlformats.org/officeDocument/2006/relationships/control" Target="../activeX/activeX5.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X271"/>
  <sheetViews>
    <sheetView tabSelected="1" workbookViewId="0">
      <selection activeCell="B131" sqref="A1:X271 A1:X189 A1:X189 A1:X189 A1:X189 A1:X189 A1:X189 A1:X189 A1:X189 A1:X189 A1:X189 A1:X189"/>
    </sheetView>
  </sheetViews>
  <sheetFormatPr defaultRowHeight="14.25" x14ac:dyDescent="0.2"/>
  <cols>
    <col min="1" max="1" width="12.85546875" style="38" bestFit="1" customWidth="1"/>
    <col min="2" max="2" width="93.7109375" style="38" customWidth="1"/>
    <col min="3" max="3" width="7.7109375" style="38" customWidth="1"/>
    <col min="4" max="4" width="4.5703125" style="38" customWidth="1"/>
    <col min="5" max="5" width="45.7109375" style="38" customWidth="1"/>
    <col min="6" max="6" width="51.7109375" style="38" customWidth="1"/>
    <col min="7" max="7" width="10" style="38" bestFit="1" customWidth="1"/>
    <col min="8" max="8" width="11.42578125" style="38" hidden="1" customWidth="1"/>
    <col min="9" max="9" width="13.140625" style="38" hidden="1" customWidth="1"/>
    <col min="10" max="10" width="13.140625" style="48" customWidth="1"/>
    <col min="11" max="11" width="12.28515625" style="48" customWidth="1"/>
    <col min="12" max="12" width="3.42578125" style="38" customWidth="1"/>
    <col min="13" max="16384" width="9.140625" style="38"/>
  </cols>
  <sheetData>
    <row r="1" spans="1:12" ht="43.5" customHeight="1" x14ac:dyDescent="0.2">
      <c r="A1" s="49"/>
      <c r="B1" s="49"/>
      <c r="C1" s="49"/>
      <c r="D1" s="49"/>
      <c r="E1" s="49"/>
      <c r="F1" s="49"/>
      <c r="G1" s="49"/>
      <c r="H1" s="49"/>
      <c r="I1" s="49"/>
      <c r="J1" s="49"/>
      <c r="K1" s="49"/>
      <c r="L1" s="49"/>
    </row>
    <row r="2" spans="1:12" ht="45" x14ac:dyDescent="0.2">
      <c r="A2" s="35" t="s">
        <v>0</v>
      </c>
      <c r="B2" s="12" t="s">
        <v>1</v>
      </c>
      <c r="C2" s="39" t="s">
        <v>2</v>
      </c>
      <c r="D2" s="39" t="s">
        <v>3</v>
      </c>
      <c r="E2" s="40" t="s">
        <v>186</v>
      </c>
      <c r="F2" s="40" t="s">
        <v>35</v>
      </c>
      <c r="G2" s="39" t="s">
        <v>23</v>
      </c>
      <c r="H2" s="39" t="s">
        <v>40</v>
      </c>
      <c r="I2" s="39" t="s">
        <v>41</v>
      </c>
      <c r="J2" s="41" t="s">
        <v>44</v>
      </c>
      <c r="K2" s="42" t="s">
        <v>183</v>
      </c>
      <c r="L2" s="35" t="s">
        <v>39</v>
      </c>
    </row>
    <row r="3" spans="1:12" ht="28.5" x14ac:dyDescent="0.2">
      <c r="A3" s="1">
        <v>4680</v>
      </c>
      <c r="B3" s="3" t="s">
        <v>18</v>
      </c>
      <c r="C3" s="2">
        <v>20</v>
      </c>
      <c r="D3" s="4">
        <v>3</v>
      </c>
      <c r="E3" s="3" t="s">
        <v>33</v>
      </c>
      <c r="F3" s="3"/>
      <c r="G3" s="12" t="s">
        <v>21</v>
      </c>
      <c r="H3" s="33" t="s">
        <v>60</v>
      </c>
      <c r="I3" s="34">
        <v>44466.677152777775</v>
      </c>
      <c r="J3" s="27"/>
      <c r="K3" s="25"/>
      <c r="L3" s="35" t="str">
        <f t="shared" ref="L3:L66" si="0">"*"</f>
        <v>*</v>
      </c>
    </row>
    <row r="4" spans="1:12" ht="15" x14ac:dyDescent="0.2">
      <c r="A4" s="1">
        <v>4689</v>
      </c>
      <c r="B4" s="3" t="s">
        <v>323</v>
      </c>
      <c r="C4" s="2">
        <v>20</v>
      </c>
      <c r="D4" s="4">
        <v>3</v>
      </c>
      <c r="E4" s="3"/>
      <c r="F4" s="3"/>
      <c r="G4" s="12" t="s">
        <v>21</v>
      </c>
      <c r="H4" s="33" t="s">
        <v>60</v>
      </c>
      <c r="I4" s="34">
        <v>44236.606909722221</v>
      </c>
      <c r="J4" s="27"/>
      <c r="K4" s="25"/>
      <c r="L4" s="13" t="str">
        <f t="shared" si="0"/>
        <v>*</v>
      </c>
    </row>
    <row r="5" spans="1:12" ht="15" x14ac:dyDescent="0.2">
      <c r="A5" s="1">
        <v>4690</v>
      </c>
      <c r="B5" s="3" t="s">
        <v>322</v>
      </c>
      <c r="C5" s="2">
        <v>20</v>
      </c>
      <c r="D5" s="4">
        <v>3</v>
      </c>
      <c r="E5" s="3"/>
      <c r="F5" s="3"/>
      <c r="G5" s="12" t="s">
        <v>21</v>
      </c>
      <c r="H5" s="33" t="s">
        <v>60</v>
      </c>
      <c r="I5" s="34">
        <v>44236.606712962966</v>
      </c>
      <c r="J5" s="27"/>
      <c r="K5" s="25"/>
      <c r="L5" s="13" t="str">
        <f t="shared" si="0"/>
        <v>*</v>
      </c>
    </row>
    <row r="6" spans="1:12" ht="15" x14ac:dyDescent="0.2">
      <c r="A6" s="1">
        <v>10359</v>
      </c>
      <c r="B6" s="3" t="s">
        <v>181</v>
      </c>
      <c r="C6" s="2">
        <v>71</v>
      </c>
      <c r="D6" s="4">
        <v>7</v>
      </c>
      <c r="E6" s="3"/>
      <c r="F6" s="3"/>
      <c r="G6" s="12" t="s">
        <v>31</v>
      </c>
      <c r="H6" s="33" t="s">
        <v>42</v>
      </c>
      <c r="I6" s="34">
        <v>43789.464375000003</v>
      </c>
      <c r="J6" s="27"/>
      <c r="K6" s="25"/>
      <c r="L6" s="13" t="str">
        <f t="shared" si="0"/>
        <v>*</v>
      </c>
    </row>
    <row r="7" spans="1:12" ht="15" x14ac:dyDescent="0.2">
      <c r="A7" s="1">
        <v>10412</v>
      </c>
      <c r="B7" s="3" t="s">
        <v>64</v>
      </c>
      <c r="C7" s="2">
        <v>71</v>
      </c>
      <c r="D7" s="4">
        <v>0</v>
      </c>
      <c r="E7" s="3"/>
      <c r="F7" s="3"/>
      <c r="G7" s="12" t="s">
        <v>31</v>
      </c>
      <c r="H7" s="33" t="s">
        <v>42</v>
      </c>
      <c r="I7" s="34">
        <v>43671.355821759258</v>
      </c>
      <c r="J7" s="27"/>
      <c r="K7" s="25" t="s">
        <v>184</v>
      </c>
      <c r="L7" s="13" t="str">
        <f t="shared" si="0"/>
        <v>*</v>
      </c>
    </row>
    <row r="8" spans="1:12" ht="15" x14ac:dyDescent="0.2">
      <c r="A8" s="1">
        <v>10719</v>
      </c>
      <c r="B8" s="3" t="s">
        <v>34</v>
      </c>
      <c r="C8" s="2">
        <v>71</v>
      </c>
      <c r="D8" s="4">
        <v>26</v>
      </c>
      <c r="E8" s="3"/>
      <c r="F8" s="3"/>
      <c r="G8" s="12" t="s">
        <v>31</v>
      </c>
      <c r="H8" s="33" t="s">
        <v>42</v>
      </c>
      <c r="I8" s="34">
        <v>43600.602719907409</v>
      </c>
      <c r="J8" s="27"/>
      <c r="K8" s="25"/>
      <c r="L8" s="35" t="str">
        <f t="shared" si="0"/>
        <v>*</v>
      </c>
    </row>
    <row r="9" spans="1:12" ht="15" x14ac:dyDescent="0.2">
      <c r="A9" s="1">
        <v>10867</v>
      </c>
      <c r="B9" s="3" t="s">
        <v>180</v>
      </c>
      <c r="C9" s="2">
        <v>71</v>
      </c>
      <c r="D9" s="4">
        <v>20</v>
      </c>
      <c r="E9" s="3"/>
      <c r="F9" s="3"/>
      <c r="G9" s="12" t="s">
        <v>31</v>
      </c>
      <c r="H9" s="33" t="s">
        <v>42</v>
      </c>
      <c r="I9" s="34">
        <v>43776.5622337963</v>
      </c>
      <c r="J9" s="27"/>
      <c r="K9" s="25"/>
      <c r="L9" s="13" t="str">
        <f t="shared" si="0"/>
        <v>*</v>
      </c>
    </row>
    <row r="10" spans="1:12" ht="28.5" x14ac:dyDescent="0.2">
      <c r="A10" s="1">
        <v>11264</v>
      </c>
      <c r="B10" s="3" t="s">
        <v>61</v>
      </c>
      <c r="C10" s="2">
        <v>45</v>
      </c>
      <c r="D10" s="4">
        <v>12</v>
      </c>
      <c r="E10" s="3"/>
      <c r="F10" s="3" t="s">
        <v>62</v>
      </c>
      <c r="G10" s="12"/>
      <c r="H10" s="33" t="s">
        <v>60</v>
      </c>
      <c r="I10" s="34">
        <v>43640.562754629631</v>
      </c>
      <c r="J10" s="27"/>
      <c r="K10" s="25"/>
      <c r="L10" s="13" t="str">
        <f t="shared" si="0"/>
        <v>*</v>
      </c>
    </row>
    <row r="11" spans="1:12" ht="15" x14ac:dyDescent="0.2">
      <c r="A11" s="1">
        <v>11448</v>
      </c>
      <c r="B11" s="3" t="s">
        <v>107</v>
      </c>
      <c r="C11" s="2">
        <v>45</v>
      </c>
      <c r="D11" s="4">
        <v>9</v>
      </c>
      <c r="E11" s="3"/>
      <c r="F11" s="3"/>
      <c r="G11" s="12" t="s">
        <v>31</v>
      </c>
      <c r="H11" s="33" t="s">
        <v>42</v>
      </c>
      <c r="I11" s="34">
        <v>43719.552314814813</v>
      </c>
      <c r="J11" s="27"/>
      <c r="K11" s="25"/>
      <c r="L11" s="13" t="str">
        <f t="shared" si="0"/>
        <v>*</v>
      </c>
    </row>
    <row r="12" spans="1:12" ht="15" x14ac:dyDescent="0.2">
      <c r="A12" s="1">
        <v>12623</v>
      </c>
      <c r="B12" s="3" t="s">
        <v>266</v>
      </c>
      <c r="C12" s="2">
        <v>57</v>
      </c>
      <c r="D12" s="4">
        <v>16</v>
      </c>
      <c r="E12" s="3"/>
      <c r="F12" s="3" t="s">
        <v>265</v>
      </c>
      <c r="G12" s="12"/>
      <c r="H12" s="33" t="s">
        <v>42</v>
      </c>
      <c r="I12" s="34">
        <v>44035.532534722224</v>
      </c>
      <c r="J12" s="27"/>
      <c r="K12" s="25"/>
      <c r="L12" s="13" t="str">
        <f t="shared" si="0"/>
        <v>*</v>
      </c>
    </row>
    <row r="13" spans="1:12" ht="15" x14ac:dyDescent="0.2">
      <c r="A13" s="1">
        <v>12635</v>
      </c>
      <c r="B13" s="3" t="s">
        <v>264</v>
      </c>
      <c r="C13" s="2">
        <v>57</v>
      </c>
      <c r="D13" s="4">
        <v>16</v>
      </c>
      <c r="E13" s="3"/>
      <c r="F13" s="3" t="s">
        <v>265</v>
      </c>
      <c r="G13" s="12"/>
      <c r="H13" s="33" t="s">
        <v>42</v>
      </c>
      <c r="I13" s="34">
        <v>44035.532534722224</v>
      </c>
      <c r="J13" s="27"/>
      <c r="K13" s="25"/>
      <c r="L13" s="13" t="str">
        <f t="shared" si="0"/>
        <v>*</v>
      </c>
    </row>
    <row r="14" spans="1:12" ht="15" x14ac:dyDescent="0.2">
      <c r="A14" s="1">
        <v>12652</v>
      </c>
      <c r="B14" s="3" t="s">
        <v>324</v>
      </c>
      <c r="C14" s="2">
        <v>52</v>
      </c>
      <c r="D14" s="4">
        <v>6</v>
      </c>
      <c r="E14" s="3"/>
      <c r="F14" s="3"/>
      <c r="G14" s="12" t="s">
        <v>31</v>
      </c>
      <c r="H14" s="33" t="s">
        <v>60</v>
      </c>
      <c r="I14" s="34">
        <v>44272.430960648147</v>
      </c>
      <c r="J14" s="27"/>
      <c r="K14" s="25"/>
      <c r="L14" s="13" t="str">
        <f t="shared" si="0"/>
        <v>*</v>
      </c>
    </row>
    <row r="15" spans="1:12" ht="15" x14ac:dyDescent="0.2">
      <c r="A15" s="1">
        <v>12654</v>
      </c>
      <c r="B15" s="3" t="s">
        <v>116</v>
      </c>
      <c r="C15" s="2">
        <v>52</v>
      </c>
      <c r="D15" s="4">
        <v>6</v>
      </c>
      <c r="E15" s="3"/>
      <c r="F15" s="3"/>
      <c r="G15" s="12" t="s">
        <v>31</v>
      </c>
      <c r="H15" s="33" t="s">
        <v>42</v>
      </c>
      <c r="I15" s="34">
        <v>43719.559872685182</v>
      </c>
      <c r="J15" s="27"/>
      <c r="K15" s="25"/>
      <c r="L15" s="13" t="str">
        <f t="shared" si="0"/>
        <v>*</v>
      </c>
    </row>
    <row r="16" spans="1:12" ht="28.5" x14ac:dyDescent="0.2">
      <c r="A16" s="1">
        <v>12685</v>
      </c>
      <c r="B16" s="3" t="s">
        <v>106</v>
      </c>
      <c r="C16" s="2">
        <v>72</v>
      </c>
      <c r="D16" s="4">
        <v>10</v>
      </c>
      <c r="E16" s="3"/>
      <c r="F16" s="3" t="s">
        <v>321</v>
      </c>
      <c r="G16" s="12" t="s">
        <v>31</v>
      </c>
      <c r="H16" s="33" t="s">
        <v>60</v>
      </c>
      <c r="I16" s="34">
        <v>44228.390474537038</v>
      </c>
      <c r="J16" s="27"/>
      <c r="K16" s="25"/>
      <c r="L16" s="13" t="str">
        <f t="shared" si="0"/>
        <v>*</v>
      </c>
    </row>
    <row r="17" spans="1:24" ht="15" x14ac:dyDescent="0.2">
      <c r="A17" s="1">
        <v>12830</v>
      </c>
      <c r="B17" s="3" t="s">
        <v>159</v>
      </c>
      <c r="C17" s="2">
        <v>61</v>
      </c>
      <c r="D17" s="4"/>
      <c r="E17" s="3"/>
      <c r="F17" s="3" t="s">
        <v>158</v>
      </c>
      <c r="G17" s="12"/>
      <c r="H17" s="33" t="s">
        <v>60</v>
      </c>
      <c r="I17" s="34">
        <v>44155.610254629632</v>
      </c>
      <c r="J17" s="27"/>
      <c r="K17" s="25"/>
      <c r="L17" s="13" t="str">
        <f t="shared" si="0"/>
        <v>*</v>
      </c>
    </row>
    <row r="18" spans="1:24" ht="15" x14ac:dyDescent="0.2">
      <c r="A18" s="1">
        <v>12835</v>
      </c>
      <c r="B18" s="3" t="s">
        <v>160</v>
      </c>
      <c r="C18" s="2">
        <v>61</v>
      </c>
      <c r="D18" s="4"/>
      <c r="E18" s="3"/>
      <c r="F18" s="3" t="s">
        <v>158</v>
      </c>
      <c r="G18" s="12"/>
      <c r="H18" s="33" t="s">
        <v>60</v>
      </c>
      <c r="I18" s="34">
        <v>44155.610729166663</v>
      </c>
      <c r="J18" s="27"/>
      <c r="K18" s="25"/>
      <c r="L18" s="13" t="str">
        <f t="shared" si="0"/>
        <v>*</v>
      </c>
    </row>
    <row r="19" spans="1:24" ht="15" x14ac:dyDescent="0.2">
      <c r="A19" s="1">
        <v>12853</v>
      </c>
      <c r="B19" s="3" t="s">
        <v>374</v>
      </c>
      <c r="C19" s="2">
        <v>76</v>
      </c>
      <c r="D19" s="4">
        <v>11</v>
      </c>
      <c r="E19" s="3"/>
      <c r="F19" s="43" t="s">
        <v>372</v>
      </c>
      <c r="G19" s="12"/>
      <c r="H19" s="33" t="s">
        <v>60</v>
      </c>
      <c r="I19" s="34">
        <v>44376.466817129629</v>
      </c>
      <c r="J19" s="27"/>
      <c r="K19" s="25"/>
      <c r="L19" s="13" t="str">
        <f t="shared" si="0"/>
        <v>*</v>
      </c>
    </row>
    <row r="20" spans="1:24" ht="15" x14ac:dyDescent="0.2">
      <c r="A20" s="1">
        <v>12856</v>
      </c>
      <c r="B20" s="3" t="s">
        <v>371</v>
      </c>
      <c r="C20" s="2">
        <v>76</v>
      </c>
      <c r="D20" s="4">
        <v>11</v>
      </c>
      <c r="E20" s="3"/>
      <c r="F20" s="44" t="s">
        <v>372</v>
      </c>
      <c r="G20" s="12"/>
      <c r="H20" s="33" t="s">
        <v>60</v>
      </c>
      <c r="I20" s="34">
        <v>44376.432974537034</v>
      </c>
      <c r="J20" s="27"/>
      <c r="K20" s="25"/>
      <c r="L20" s="13" t="str">
        <f t="shared" si="0"/>
        <v>*</v>
      </c>
    </row>
    <row r="21" spans="1:24" ht="15" x14ac:dyDescent="0.2">
      <c r="A21" s="1">
        <v>12857</v>
      </c>
      <c r="B21" s="3" t="s">
        <v>373</v>
      </c>
      <c r="C21" s="2">
        <v>76</v>
      </c>
      <c r="D21" s="4">
        <v>11</v>
      </c>
      <c r="E21" s="3"/>
      <c r="F21" s="43" t="s">
        <v>372</v>
      </c>
      <c r="G21" s="12"/>
      <c r="H21" s="33" t="s">
        <v>60</v>
      </c>
      <c r="I21" s="34">
        <v>44376.433668981481</v>
      </c>
      <c r="J21" s="27"/>
      <c r="K21" s="25"/>
      <c r="L21" s="13" t="str">
        <f t="shared" si="0"/>
        <v>*</v>
      </c>
    </row>
    <row r="22" spans="1:24" ht="15" x14ac:dyDescent="0.2">
      <c r="A22" s="1">
        <v>12881</v>
      </c>
      <c r="B22" s="3" t="s">
        <v>161</v>
      </c>
      <c r="C22" s="2">
        <v>61</v>
      </c>
      <c r="D22" s="4"/>
      <c r="E22" s="3"/>
      <c r="F22" s="3" t="s">
        <v>158</v>
      </c>
      <c r="G22" s="12"/>
      <c r="H22" s="33" t="s">
        <v>60</v>
      </c>
      <c r="I22" s="34">
        <v>44155.610729166663</v>
      </c>
      <c r="J22" s="27"/>
      <c r="K22" s="25"/>
      <c r="L22" s="13" t="str">
        <f t="shared" si="0"/>
        <v>*</v>
      </c>
      <c r="X22" s="38">
        <v>57</v>
      </c>
    </row>
    <row r="23" spans="1:24" ht="15" x14ac:dyDescent="0.2">
      <c r="A23" s="1">
        <v>12884</v>
      </c>
      <c r="B23" s="3" t="s">
        <v>313</v>
      </c>
      <c r="C23" s="2">
        <v>61</v>
      </c>
      <c r="D23" s="4">
        <v>8</v>
      </c>
      <c r="E23" s="3"/>
      <c r="F23" s="45" t="s">
        <v>158</v>
      </c>
      <c r="G23" s="12"/>
      <c r="H23" s="33" t="s">
        <v>60</v>
      </c>
      <c r="I23" s="34">
        <v>44155.428333333337</v>
      </c>
      <c r="J23" s="27"/>
      <c r="K23" s="25"/>
      <c r="L23" s="13" t="str">
        <f t="shared" si="0"/>
        <v>*</v>
      </c>
    </row>
    <row r="24" spans="1:24" ht="15" x14ac:dyDescent="0.2">
      <c r="A24" s="1">
        <v>12886</v>
      </c>
      <c r="B24" s="3" t="s">
        <v>174</v>
      </c>
      <c r="C24" s="2">
        <v>61</v>
      </c>
      <c r="D24" s="4"/>
      <c r="E24" s="3"/>
      <c r="F24" s="3" t="s">
        <v>158</v>
      </c>
      <c r="G24" s="12"/>
      <c r="H24" s="33" t="s">
        <v>60</v>
      </c>
      <c r="I24" s="34">
        <v>44180.383981481478</v>
      </c>
      <c r="J24" s="27"/>
      <c r="K24" s="25"/>
      <c r="L24" s="13" t="str">
        <f t="shared" si="0"/>
        <v>*</v>
      </c>
    </row>
    <row r="25" spans="1:24" ht="15" x14ac:dyDescent="0.2">
      <c r="A25" s="1">
        <v>12891</v>
      </c>
      <c r="B25" s="3" t="s">
        <v>312</v>
      </c>
      <c r="C25" s="2">
        <v>61</v>
      </c>
      <c r="D25" s="4">
        <v>8</v>
      </c>
      <c r="E25" s="3"/>
      <c r="F25" s="45" t="s">
        <v>158</v>
      </c>
      <c r="G25" s="12"/>
      <c r="H25" s="33" t="s">
        <v>60</v>
      </c>
      <c r="I25" s="34">
        <v>44155.428124999999</v>
      </c>
      <c r="J25" s="27"/>
      <c r="K25" s="25"/>
      <c r="L25" s="13" t="str">
        <f t="shared" si="0"/>
        <v>*</v>
      </c>
    </row>
    <row r="26" spans="1:24" ht="15" x14ac:dyDescent="0.2">
      <c r="A26" s="1">
        <v>12894</v>
      </c>
      <c r="B26" s="3" t="s">
        <v>173</v>
      </c>
      <c r="C26" s="2">
        <v>61</v>
      </c>
      <c r="D26" s="19"/>
      <c r="E26" s="3"/>
      <c r="F26" s="3" t="s">
        <v>158</v>
      </c>
      <c r="G26" s="20"/>
      <c r="H26" s="36" t="s">
        <v>60</v>
      </c>
      <c r="I26" s="37">
        <v>44180.384363425925</v>
      </c>
      <c r="J26" s="28"/>
      <c r="K26" s="26"/>
      <c r="L26" s="21" t="str">
        <f t="shared" si="0"/>
        <v>*</v>
      </c>
    </row>
    <row r="27" spans="1:24" ht="15" x14ac:dyDescent="0.2">
      <c r="A27" s="1">
        <v>12948</v>
      </c>
      <c r="B27" s="3" t="s">
        <v>320</v>
      </c>
      <c r="C27" s="2">
        <v>61</v>
      </c>
      <c r="D27" s="4">
        <v>8</v>
      </c>
      <c r="E27" s="3"/>
      <c r="F27" s="3"/>
      <c r="G27" s="12"/>
      <c r="H27" s="33" t="s">
        <v>60</v>
      </c>
      <c r="I27" s="34">
        <v>44180.385000000002</v>
      </c>
      <c r="J27" s="27"/>
      <c r="K27" s="25"/>
      <c r="L27" s="13" t="str">
        <f t="shared" si="0"/>
        <v>*</v>
      </c>
    </row>
    <row r="28" spans="1:24" ht="15" x14ac:dyDescent="0.2">
      <c r="A28" s="1">
        <v>12956</v>
      </c>
      <c r="B28" s="3" t="s">
        <v>172</v>
      </c>
      <c r="C28" s="2">
        <v>61</v>
      </c>
      <c r="D28" s="19"/>
      <c r="E28" s="3"/>
      <c r="F28" s="3" t="s">
        <v>158</v>
      </c>
      <c r="G28" s="20"/>
      <c r="H28" s="36" t="s">
        <v>60</v>
      </c>
      <c r="I28" s="37">
        <v>44180.385428240741</v>
      </c>
      <c r="J28" s="28"/>
      <c r="K28" s="26"/>
      <c r="L28" s="21" t="str">
        <f t="shared" si="0"/>
        <v>*</v>
      </c>
    </row>
    <row r="29" spans="1:24" ht="15" x14ac:dyDescent="0.2">
      <c r="A29" s="1">
        <v>13072</v>
      </c>
      <c r="B29" s="3" t="s">
        <v>171</v>
      </c>
      <c r="C29" s="2">
        <v>61</v>
      </c>
      <c r="D29" s="19"/>
      <c r="E29" s="3"/>
      <c r="F29" s="3" t="s">
        <v>158</v>
      </c>
      <c r="G29" s="20"/>
      <c r="H29" s="36" t="s">
        <v>60</v>
      </c>
      <c r="I29" s="37">
        <v>44180.38890046296</v>
      </c>
      <c r="J29" s="28"/>
      <c r="K29" s="26"/>
      <c r="L29" s="21" t="str">
        <f t="shared" si="0"/>
        <v>*</v>
      </c>
    </row>
    <row r="30" spans="1:24" ht="15" x14ac:dyDescent="0.2">
      <c r="A30" s="1">
        <v>13095</v>
      </c>
      <c r="B30" s="3" t="s">
        <v>170</v>
      </c>
      <c r="C30" s="2">
        <v>61</v>
      </c>
      <c r="D30" s="19"/>
      <c r="E30" s="3"/>
      <c r="F30" s="3" t="s">
        <v>158</v>
      </c>
      <c r="G30" s="20"/>
      <c r="H30" s="36" t="s">
        <v>60</v>
      </c>
      <c r="I30" s="37">
        <v>44180.389618055553</v>
      </c>
      <c r="J30" s="28"/>
      <c r="K30" s="26"/>
      <c r="L30" s="21" t="str">
        <f t="shared" si="0"/>
        <v>*</v>
      </c>
    </row>
    <row r="31" spans="1:24" ht="15" x14ac:dyDescent="0.2">
      <c r="A31" s="1">
        <v>13120</v>
      </c>
      <c r="B31" s="3" t="s">
        <v>169</v>
      </c>
      <c r="C31" s="2">
        <v>61</v>
      </c>
      <c r="D31" s="19"/>
      <c r="E31" s="3"/>
      <c r="F31" s="3" t="s">
        <v>187</v>
      </c>
      <c r="G31" s="20"/>
      <c r="H31" s="36" t="s">
        <v>42</v>
      </c>
      <c r="I31" s="37">
        <v>43872.625069444446</v>
      </c>
      <c r="J31" s="28"/>
      <c r="K31" s="26"/>
      <c r="L31" s="21" t="str">
        <f t="shared" si="0"/>
        <v>*</v>
      </c>
    </row>
    <row r="32" spans="1:24" ht="15" x14ac:dyDescent="0.2">
      <c r="A32" s="1">
        <v>13180</v>
      </c>
      <c r="B32" s="3" t="s">
        <v>114</v>
      </c>
      <c r="C32" s="2">
        <v>51</v>
      </c>
      <c r="D32" s="4">
        <v>12</v>
      </c>
      <c r="E32" s="3"/>
      <c r="F32" s="3"/>
      <c r="G32" s="12" t="s">
        <v>31</v>
      </c>
      <c r="H32" s="33" t="s">
        <v>42</v>
      </c>
      <c r="I32" s="34">
        <v>43719.559872685182</v>
      </c>
      <c r="J32" s="27"/>
      <c r="K32" s="25"/>
      <c r="L32" s="13" t="str">
        <f t="shared" si="0"/>
        <v>*</v>
      </c>
    </row>
    <row r="33" spans="1:12" ht="15" x14ac:dyDescent="0.2">
      <c r="A33" s="1">
        <v>13221</v>
      </c>
      <c r="B33" s="3" t="s">
        <v>19</v>
      </c>
      <c r="C33" s="2">
        <v>67</v>
      </c>
      <c r="D33" s="4">
        <v>1</v>
      </c>
      <c r="E33" s="3"/>
      <c r="F33" s="3"/>
      <c r="G33" s="12"/>
      <c r="H33" s="33" t="s">
        <v>60</v>
      </c>
      <c r="I33" s="34">
        <v>43640.381493055553</v>
      </c>
      <c r="J33" s="27"/>
      <c r="K33" s="25"/>
      <c r="L33" s="35" t="str">
        <f t="shared" si="0"/>
        <v>*</v>
      </c>
    </row>
    <row r="34" spans="1:12" ht="15" x14ac:dyDescent="0.2">
      <c r="A34" s="1">
        <v>13517</v>
      </c>
      <c r="B34" s="3" t="s">
        <v>168</v>
      </c>
      <c r="C34" s="2">
        <v>61</v>
      </c>
      <c r="D34" s="4"/>
      <c r="E34" s="3"/>
      <c r="F34" s="3" t="s">
        <v>158</v>
      </c>
      <c r="G34" s="12"/>
      <c r="H34" s="33" t="s">
        <v>60</v>
      </c>
      <c r="I34" s="34">
        <v>44180.434907407405</v>
      </c>
      <c r="J34" s="27"/>
      <c r="K34" s="25"/>
      <c r="L34" s="13" t="str">
        <f t="shared" si="0"/>
        <v>*</v>
      </c>
    </row>
    <row r="35" spans="1:12" ht="15" x14ac:dyDescent="0.2">
      <c r="A35" s="1">
        <v>13518</v>
      </c>
      <c r="B35" s="3" t="s">
        <v>167</v>
      </c>
      <c r="C35" s="2">
        <v>61</v>
      </c>
      <c r="D35" s="19"/>
      <c r="E35" s="3"/>
      <c r="F35" s="3" t="s">
        <v>158</v>
      </c>
      <c r="G35" s="20"/>
      <c r="H35" s="36" t="s">
        <v>60</v>
      </c>
      <c r="I35" s="37">
        <v>44180.435335648152</v>
      </c>
      <c r="J35" s="28"/>
      <c r="K35" s="26"/>
      <c r="L35" s="21" t="str">
        <f t="shared" si="0"/>
        <v>*</v>
      </c>
    </row>
    <row r="36" spans="1:12" ht="42.75" x14ac:dyDescent="0.2">
      <c r="A36" s="1">
        <v>13556</v>
      </c>
      <c r="B36" s="3" t="s">
        <v>151</v>
      </c>
      <c r="C36" s="2">
        <v>69</v>
      </c>
      <c r="D36" s="4">
        <v>10</v>
      </c>
      <c r="E36" s="3"/>
      <c r="F36" s="3" t="s">
        <v>215</v>
      </c>
      <c r="G36" s="12"/>
      <c r="H36" s="33" t="s">
        <v>42</v>
      </c>
      <c r="I36" s="34">
        <v>43901.449456018519</v>
      </c>
      <c r="J36" s="27"/>
      <c r="K36" s="25"/>
      <c r="L36" s="13" t="str">
        <f t="shared" si="0"/>
        <v>*</v>
      </c>
    </row>
    <row r="37" spans="1:12" ht="15" x14ac:dyDescent="0.2">
      <c r="A37" s="1">
        <v>13558</v>
      </c>
      <c r="B37" s="3" t="s">
        <v>304</v>
      </c>
      <c r="C37" s="2">
        <v>61</v>
      </c>
      <c r="D37" s="4">
        <v>2</v>
      </c>
      <c r="E37" s="3"/>
      <c r="F37" s="12" t="s">
        <v>305</v>
      </c>
      <c r="G37" s="12"/>
      <c r="H37" s="33" t="s">
        <v>60</v>
      </c>
      <c r="I37" s="34">
        <v>44155.388564814813</v>
      </c>
      <c r="J37" s="27"/>
      <c r="K37" s="25"/>
      <c r="L37" s="13" t="str">
        <f t="shared" si="0"/>
        <v>*</v>
      </c>
    </row>
    <row r="38" spans="1:12" ht="15" x14ac:dyDescent="0.2">
      <c r="A38" s="1">
        <v>13559</v>
      </c>
      <c r="B38" s="3" t="s">
        <v>306</v>
      </c>
      <c r="C38" s="2">
        <v>61</v>
      </c>
      <c r="D38" s="4">
        <v>2</v>
      </c>
      <c r="E38" s="3"/>
      <c r="F38" s="12" t="s">
        <v>305</v>
      </c>
      <c r="G38" s="12"/>
      <c r="H38" s="33" t="s">
        <v>60</v>
      </c>
      <c r="I38" s="34">
        <v>44155.388854166667</v>
      </c>
      <c r="J38" s="27"/>
      <c r="K38" s="25"/>
      <c r="L38" s="13" t="str">
        <f t="shared" si="0"/>
        <v>*</v>
      </c>
    </row>
    <row r="39" spans="1:12" ht="15" x14ac:dyDescent="0.2">
      <c r="A39" s="1">
        <v>13560</v>
      </c>
      <c r="B39" s="3" t="s">
        <v>307</v>
      </c>
      <c r="C39" s="2">
        <v>61</v>
      </c>
      <c r="D39" s="4">
        <v>2</v>
      </c>
      <c r="E39" s="3"/>
      <c r="F39" s="12" t="s">
        <v>305</v>
      </c>
      <c r="G39" s="12"/>
      <c r="H39" s="33" t="s">
        <v>60</v>
      </c>
      <c r="I39" s="34">
        <v>44155.389293981483</v>
      </c>
      <c r="J39" s="27"/>
      <c r="K39" s="25"/>
      <c r="L39" s="13" t="str">
        <f t="shared" si="0"/>
        <v>*</v>
      </c>
    </row>
    <row r="40" spans="1:12" ht="28.5" x14ac:dyDescent="0.2">
      <c r="A40" s="1">
        <v>13655</v>
      </c>
      <c r="B40" s="3" t="s">
        <v>269</v>
      </c>
      <c r="C40" s="2">
        <v>45</v>
      </c>
      <c r="D40" s="4">
        <v>11</v>
      </c>
      <c r="E40" s="3"/>
      <c r="F40" s="3" t="s">
        <v>270</v>
      </c>
      <c r="G40" s="12"/>
      <c r="H40" s="33" t="s">
        <v>42</v>
      </c>
      <c r="I40" s="34">
        <v>44035.533460648148</v>
      </c>
      <c r="J40" s="27"/>
      <c r="K40" s="25"/>
      <c r="L40" s="13" t="str">
        <f t="shared" si="0"/>
        <v>*</v>
      </c>
    </row>
    <row r="41" spans="1:12" ht="15" x14ac:dyDescent="0.2">
      <c r="A41" s="1">
        <v>13768</v>
      </c>
      <c r="B41" s="3" t="s">
        <v>147</v>
      </c>
      <c r="C41" s="2">
        <v>45</v>
      </c>
      <c r="D41" s="4">
        <v>11</v>
      </c>
      <c r="E41" s="3"/>
      <c r="F41" s="3" t="s">
        <v>148</v>
      </c>
      <c r="G41" s="12"/>
      <c r="H41" s="33" t="s">
        <v>60</v>
      </c>
      <c r="I41" s="34">
        <v>43735.584398148145</v>
      </c>
      <c r="J41" s="27"/>
      <c r="K41" s="25"/>
      <c r="L41" s="13" t="str">
        <f t="shared" si="0"/>
        <v>*</v>
      </c>
    </row>
    <row r="42" spans="1:12" ht="15" x14ac:dyDescent="0.2">
      <c r="A42" s="1">
        <v>13991</v>
      </c>
      <c r="B42" s="3" t="s">
        <v>332</v>
      </c>
      <c r="C42" s="2">
        <v>72</v>
      </c>
      <c r="D42" s="4">
        <v>6</v>
      </c>
      <c r="E42" s="3"/>
      <c r="F42" s="3" t="s">
        <v>333</v>
      </c>
      <c r="G42" s="12"/>
      <c r="H42" s="33" t="s">
        <v>60</v>
      </c>
      <c r="I42" s="34">
        <v>44371.686562499999</v>
      </c>
      <c r="J42" s="27"/>
      <c r="K42" s="25"/>
      <c r="L42" s="13" t="str">
        <f t="shared" si="0"/>
        <v>*</v>
      </c>
    </row>
    <row r="43" spans="1:12" ht="15" x14ac:dyDescent="0.2">
      <c r="A43" s="1">
        <v>14013</v>
      </c>
      <c r="B43" s="3" t="s">
        <v>45</v>
      </c>
      <c r="C43" s="2">
        <v>55</v>
      </c>
      <c r="D43" s="4">
        <v>46</v>
      </c>
      <c r="E43" s="3"/>
      <c r="F43" s="3"/>
      <c r="G43" s="12"/>
      <c r="H43" s="33" t="s">
        <v>42</v>
      </c>
      <c r="I43" s="34">
        <v>43605.671689814815</v>
      </c>
      <c r="J43" s="27"/>
      <c r="K43" s="25"/>
      <c r="L43" s="13" t="str">
        <f t="shared" si="0"/>
        <v>*</v>
      </c>
    </row>
    <row r="44" spans="1:12" ht="28.5" x14ac:dyDescent="0.2">
      <c r="A44" s="1">
        <v>14662</v>
      </c>
      <c r="B44" s="3" t="s">
        <v>6</v>
      </c>
      <c r="C44" s="2">
        <v>51</v>
      </c>
      <c r="D44" s="4">
        <v>3</v>
      </c>
      <c r="E44" s="3" t="s">
        <v>188</v>
      </c>
      <c r="F44" s="3"/>
      <c r="G44" s="12"/>
      <c r="H44" s="33" t="s">
        <v>42</v>
      </c>
      <c r="I44" s="34">
        <v>43872.625069444446</v>
      </c>
      <c r="J44" s="27">
        <v>2</v>
      </c>
      <c r="K44" s="25" t="s">
        <v>184</v>
      </c>
      <c r="L44" s="35" t="str">
        <f t="shared" si="0"/>
        <v>*</v>
      </c>
    </row>
    <row r="45" spans="1:12" ht="28.5" x14ac:dyDescent="0.2">
      <c r="A45" s="1">
        <v>15167</v>
      </c>
      <c r="B45" s="3" t="s">
        <v>390</v>
      </c>
      <c r="C45" s="2">
        <v>55</v>
      </c>
      <c r="D45" s="4">
        <v>49</v>
      </c>
      <c r="E45" s="3"/>
      <c r="F45" s="3" t="s">
        <v>391</v>
      </c>
      <c r="G45" s="12"/>
      <c r="H45" s="33" t="s">
        <v>60</v>
      </c>
      <c r="I45" s="34">
        <v>44489.602731481478</v>
      </c>
      <c r="J45" s="27"/>
      <c r="K45" s="25"/>
      <c r="L45" s="13" t="str">
        <f t="shared" si="0"/>
        <v>*</v>
      </c>
    </row>
    <row r="46" spans="1:12" ht="15" x14ac:dyDescent="0.2">
      <c r="A46" s="1">
        <v>15761</v>
      </c>
      <c r="B46" s="3" t="s">
        <v>310</v>
      </c>
      <c r="C46" s="2">
        <v>61</v>
      </c>
      <c r="D46" s="4">
        <v>8</v>
      </c>
      <c r="E46" s="3"/>
      <c r="F46" s="45" t="s">
        <v>158</v>
      </c>
      <c r="G46" s="12"/>
      <c r="H46" s="33" t="s">
        <v>60</v>
      </c>
      <c r="I46" s="34">
        <v>44155.427708333336</v>
      </c>
      <c r="J46" s="27"/>
      <c r="K46" s="25"/>
      <c r="L46" s="13" t="str">
        <f t="shared" si="0"/>
        <v>*</v>
      </c>
    </row>
    <row r="47" spans="1:12" ht="15" x14ac:dyDescent="0.2">
      <c r="A47" s="1">
        <v>15813</v>
      </c>
      <c r="B47" s="3" t="s">
        <v>153</v>
      </c>
      <c r="C47" s="2">
        <v>51</v>
      </c>
      <c r="D47" s="4">
        <v>6</v>
      </c>
      <c r="E47" s="3"/>
      <c r="F47" s="3" t="s">
        <v>154</v>
      </c>
      <c r="G47" s="12"/>
      <c r="H47" s="33" t="s">
        <v>60</v>
      </c>
      <c r="I47" s="34">
        <v>43749.609155092592</v>
      </c>
      <c r="J47" s="27"/>
      <c r="K47" s="25"/>
      <c r="L47" s="13" t="str">
        <f t="shared" si="0"/>
        <v>*</v>
      </c>
    </row>
    <row r="48" spans="1:12" ht="15" x14ac:dyDescent="0.2">
      <c r="A48" s="1">
        <v>16363</v>
      </c>
      <c r="B48" s="3" t="s">
        <v>7</v>
      </c>
      <c r="C48" s="2">
        <v>74</v>
      </c>
      <c r="D48" s="4">
        <v>8</v>
      </c>
      <c r="E48" s="3" t="s">
        <v>101</v>
      </c>
      <c r="F48" s="3"/>
      <c r="G48" s="12"/>
      <c r="H48" s="33" t="s">
        <v>42</v>
      </c>
      <c r="I48" s="34">
        <v>43872.625069444446</v>
      </c>
      <c r="J48" s="27"/>
      <c r="K48" s="25"/>
      <c r="L48" s="35" t="str">
        <f t="shared" si="0"/>
        <v>*</v>
      </c>
    </row>
    <row r="49" spans="1:12" ht="15" x14ac:dyDescent="0.2">
      <c r="A49" s="1">
        <v>16365</v>
      </c>
      <c r="B49" s="3" t="s">
        <v>8</v>
      </c>
      <c r="C49" s="2">
        <v>74</v>
      </c>
      <c r="D49" s="4">
        <v>8</v>
      </c>
      <c r="E49" s="3" t="s">
        <v>101</v>
      </c>
      <c r="F49" s="3"/>
      <c r="G49" s="12"/>
      <c r="H49" s="33" t="s">
        <v>42</v>
      </c>
      <c r="I49" s="34">
        <v>43872.625069444446</v>
      </c>
      <c r="J49" s="27"/>
      <c r="K49" s="25"/>
      <c r="L49" s="35" t="str">
        <f t="shared" si="0"/>
        <v>*</v>
      </c>
    </row>
    <row r="50" spans="1:12" ht="15" x14ac:dyDescent="0.2">
      <c r="A50" s="1">
        <v>16528</v>
      </c>
      <c r="B50" s="3" t="s">
        <v>105</v>
      </c>
      <c r="C50" s="2">
        <v>73</v>
      </c>
      <c r="D50" s="4">
        <v>4</v>
      </c>
      <c r="E50" s="3"/>
      <c r="F50" s="3" t="s">
        <v>122</v>
      </c>
      <c r="G50" s="12" t="s">
        <v>31</v>
      </c>
      <c r="H50" s="33" t="s">
        <v>60</v>
      </c>
      <c r="I50" s="34">
        <v>43725.649097222224</v>
      </c>
      <c r="J50" s="27"/>
      <c r="K50" s="25"/>
      <c r="L50" s="13" t="str">
        <f t="shared" si="0"/>
        <v>*</v>
      </c>
    </row>
    <row r="51" spans="1:12" ht="15" x14ac:dyDescent="0.2">
      <c r="A51" s="1">
        <v>16956</v>
      </c>
      <c r="B51" s="3" t="s">
        <v>166</v>
      </c>
      <c r="C51" s="2">
        <v>61</v>
      </c>
      <c r="D51" s="4"/>
      <c r="E51" s="3"/>
      <c r="F51" s="3" t="s">
        <v>158</v>
      </c>
      <c r="G51" s="12"/>
      <c r="H51" s="33" t="s">
        <v>60</v>
      </c>
      <c r="I51" s="34">
        <v>44176.42</v>
      </c>
      <c r="J51" s="27"/>
      <c r="K51" s="25"/>
      <c r="L51" s="13" t="str">
        <f t="shared" si="0"/>
        <v>*</v>
      </c>
    </row>
    <row r="52" spans="1:12" ht="15" x14ac:dyDescent="0.2">
      <c r="A52" s="1">
        <v>16978</v>
      </c>
      <c r="B52" s="3" t="s">
        <v>165</v>
      </c>
      <c r="C52" s="2">
        <v>61</v>
      </c>
      <c r="D52" s="19"/>
      <c r="E52" s="3"/>
      <c r="F52" s="3" t="s">
        <v>158</v>
      </c>
      <c r="G52" s="20"/>
      <c r="H52" s="36" t="s">
        <v>60</v>
      </c>
      <c r="I52" s="37">
        <v>44176.420115740744</v>
      </c>
      <c r="J52" s="28"/>
      <c r="K52" s="26"/>
      <c r="L52" s="21" t="str">
        <f t="shared" si="0"/>
        <v>*</v>
      </c>
    </row>
    <row r="53" spans="1:12" ht="15" x14ac:dyDescent="0.2">
      <c r="A53" s="1">
        <v>17115</v>
      </c>
      <c r="B53" s="3" t="s">
        <v>118</v>
      </c>
      <c r="C53" s="2">
        <v>79</v>
      </c>
      <c r="D53" s="4">
        <v>1</v>
      </c>
      <c r="E53" s="3"/>
      <c r="F53" s="3"/>
      <c r="G53" s="12" t="s">
        <v>31</v>
      </c>
      <c r="H53" s="33" t="s">
        <v>42</v>
      </c>
      <c r="I53" s="34">
        <v>43719.559872685182</v>
      </c>
      <c r="J53" s="27"/>
      <c r="K53" s="25"/>
      <c r="L53" s="13" t="str">
        <f t="shared" si="0"/>
        <v>*</v>
      </c>
    </row>
    <row r="54" spans="1:12" ht="15" x14ac:dyDescent="0.2">
      <c r="A54" s="1">
        <v>17132</v>
      </c>
      <c r="B54" s="3" t="s">
        <v>109</v>
      </c>
      <c r="C54" s="2">
        <v>45</v>
      </c>
      <c r="D54" s="4">
        <v>12</v>
      </c>
      <c r="E54" s="3"/>
      <c r="F54" s="3"/>
      <c r="G54" s="12" t="s">
        <v>31</v>
      </c>
      <c r="H54" s="33" t="s">
        <v>42</v>
      </c>
      <c r="I54" s="34">
        <v>43719.552314814813</v>
      </c>
      <c r="J54" s="27"/>
      <c r="K54" s="25"/>
      <c r="L54" s="13" t="str">
        <f t="shared" si="0"/>
        <v>*</v>
      </c>
    </row>
    <row r="55" spans="1:12" ht="15" x14ac:dyDescent="0.2">
      <c r="A55" s="1">
        <v>17135</v>
      </c>
      <c r="B55" s="3" t="s">
        <v>202</v>
      </c>
      <c r="C55" s="2">
        <v>45</v>
      </c>
      <c r="D55" s="4">
        <v>12</v>
      </c>
      <c r="E55" s="3"/>
      <c r="F55" s="3" t="s">
        <v>203</v>
      </c>
      <c r="G55" s="12"/>
      <c r="H55" s="33" t="s">
        <v>60</v>
      </c>
      <c r="I55" s="34">
        <v>43881.718148148146</v>
      </c>
      <c r="J55" s="27"/>
      <c r="K55" s="25"/>
      <c r="L55" s="13" t="str">
        <f t="shared" si="0"/>
        <v>*</v>
      </c>
    </row>
    <row r="56" spans="1:12" ht="15" x14ac:dyDescent="0.2">
      <c r="A56" s="1">
        <v>17136</v>
      </c>
      <c r="B56" s="3" t="s">
        <v>115</v>
      </c>
      <c r="C56" s="2">
        <v>45</v>
      </c>
      <c r="D56" s="4">
        <v>12</v>
      </c>
      <c r="E56" s="3"/>
      <c r="F56" s="3"/>
      <c r="G56" s="12" t="s">
        <v>31</v>
      </c>
      <c r="H56" s="33" t="s">
        <v>42</v>
      </c>
      <c r="I56" s="34">
        <v>43719.559872685182</v>
      </c>
      <c r="J56" s="27"/>
      <c r="K56" s="25"/>
      <c r="L56" s="13" t="str">
        <f t="shared" si="0"/>
        <v>*</v>
      </c>
    </row>
    <row r="57" spans="1:12" ht="15" x14ac:dyDescent="0.2">
      <c r="A57" s="1">
        <v>17299</v>
      </c>
      <c r="B57" s="3" t="s">
        <v>16</v>
      </c>
      <c r="C57" s="2">
        <v>57</v>
      </c>
      <c r="D57" s="4">
        <v>18</v>
      </c>
      <c r="E57" s="3"/>
      <c r="F57" s="3" t="s">
        <v>17</v>
      </c>
      <c r="G57" s="12"/>
      <c r="H57" s="33" t="s">
        <v>42</v>
      </c>
      <c r="I57" s="34">
        <v>43600.602719907409</v>
      </c>
      <c r="J57" s="27"/>
      <c r="K57" s="25"/>
      <c r="L57" s="35" t="str">
        <f t="shared" si="0"/>
        <v>*</v>
      </c>
    </row>
    <row r="58" spans="1:12" ht="15" x14ac:dyDescent="0.2">
      <c r="A58" s="1">
        <v>17362</v>
      </c>
      <c r="B58" s="3" t="s">
        <v>376</v>
      </c>
      <c r="C58" s="2">
        <v>57</v>
      </c>
      <c r="D58" s="4">
        <v>15</v>
      </c>
      <c r="E58" s="3"/>
      <c r="F58" s="3" t="s">
        <v>377</v>
      </c>
      <c r="G58" s="12"/>
      <c r="H58" s="33" t="s">
        <v>60</v>
      </c>
      <c r="I58" s="34">
        <v>44398.635775462964</v>
      </c>
      <c r="J58" s="27"/>
      <c r="K58" s="25"/>
      <c r="L58" s="13" t="str">
        <f t="shared" si="0"/>
        <v>*</v>
      </c>
    </row>
    <row r="59" spans="1:12" ht="15" x14ac:dyDescent="0.2">
      <c r="A59" s="1">
        <v>17370</v>
      </c>
      <c r="B59" s="3" t="s">
        <v>378</v>
      </c>
      <c r="C59" s="2">
        <v>57</v>
      </c>
      <c r="D59" s="4">
        <v>15</v>
      </c>
      <c r="E59" s="3"/>
      <c r="F59" s="3" t="s">
        <v>377</v>
      </c>
      <c r="G59" s="12"/>
      <c r="H59" s="33" t="s">
        <v>60</v>
      </c>
      <c r="I59" s="34">
        <v>44398.636111111111</v>
      </c>
      <c r="J59" s="27"/>
      <c r="K59" s="25"/>
      <c r="L59" s="13" t="str">
        <f t="shared" si="0"/>
        <v>*</v>
      </c>
    </row>
    <row r="60" spans="1:12" ht="15" x14ac:dyDescent="0.2">
      <c r="A60" s="1">
        <v>17371</v>
      </c>
      <c r="B60" s="3" t="s">
        <v>379</v>
      </c>
      <c r="C60" s="2">
        <v>57</v>
      </c>
      <c r="D60" s="4">
        <v>15</v>
      </c>
      <c r="E60" s="3"/>
      <c r="F60" s="3" t="s">
        <v>377</v>
      </c>
      <c r="G60" s="12"/>
      <c r="H60" s="33" t="s">
        <v>60</v>
      </c>
      <c r="I60" s="34">
        <v>44398.636516203704</v>
      </c>
      <c r="J60" s="27"/>
      <c r="K60" s="25"/>
      <c r="L60" s="13" t="str">
        <f t="shared" si="0"/>
        <v>*</v>
      </c>
    </row>
    <row r="61" spans="1:12" ht="28.5" x14ac:dyDescent="0.2">
      <c r="A61" s="1">
        <v>17454</v>
      </c>
      <c r="B61" s="3" t="s">
        <v>121</v>
      </c>
      <c r="C61" s="2">
        <v>57</v>
      </c>
      <c r="D61" s="4">
        <v>2</v>
      </c>
      <c r="E61" s="3"/>
      <c r="F61" s="3" t="s">
        <v>271</v>
      </c>
      <c r="G61" s="12"/>
      <c r="H61" s="33" t="s">
        <v>42</v>
      </c>
      <c r="I61" s="34">
        <v>44035.533877314818</v>
      </c>
      <c r="J61" s="27"/>
      <c r="K61" s="25"/>
      <c r="L61" s="13" t="str">
        <f t="shared" si="0"/>
        <v>*</v>
      </c>
    </row>
    <row r="62" spans="1:12" ht="15" x14ac:dyDescent="0.2">
      <c r="A62" s="1">
        <v>19842</v>
      </c>
      <c r="B62" s="3" t="s">
        <v>20</v>
      </c>
      <c r="C62" s="2">
        <v>62</v>
      </c>
      <c r="D62" s="4">
        <v>12</v>
      </c>
      <c r="E62" s="3"/>
      <c r="F62" s="3"/>
      <c r="G62" s="12" t="s">
        <v>21</v>
      </c>
      <c r="H62" s="33" t="s">
        <v>42</v>
      </c>
      <c r="I62" s="34">
        <v>43600.602719907409</v>
      </c>
      <c r="J62" s="27"/>
      <c r="K62" s="25"/>
      <c r="L62" s="35" t="str">
        <f t="shared" si="0"/>
        <v>*</v>
      </c>
    </row>
    <row r="63" spans="1:12" ht="15" x14ac:dyDescent="0.2">
      <c r="A63" s="1">
        <v>20167</v>
      </c>
      <c r="B63" s="3" t="s">
        <v>330</v>
      </c>
      <c r="C63" s="2">
        <v>79</v>
      </c>
      <c r="D63" s="4">
        <v>5</v>
      </c>
      <c r="E63" s="3"/>
      <c r="F63" s="38" t="s">
        <v>331</v>
      </c>
      <c r="G63" s="12"/>
      <c r="H63" s="33" t="s">
        <v>60</v>
      </c>
      <c r="I63" s="34">
        <v>44371.365717592591</v>
      </c>
      <c r="J63" s="27"/>
      <c r="K63" s="25"/>
      <c r="L63" s="13" t="str">
        <f t="shared" si="0"/>
        <v>*</v>
      </c>
    </row>
    <row r="64" spans="1:12" ht="15" x14ac:dyDescent="0.2">
      <c r="A64" s="1">
        <v>23687</v>
      </c>
      <c r="B64" s="3" t="s">
        <v>22</v>
      </c>
      <c r="C64" s="2">
        <v>57</v>
      </c>
      <c r="D64" s="4">
        <v>16</v>
      </c>
      <c r="E64" s="3"/>
      <c r="F64" s="3" t="s">
        <v>265</v>
      </c>
      <c r="G64" s="12"/>
      <c r="H64" s="33" t="s">
        <v>60</v>
      </c>
      <c r="I64" s="34">
        <v>44117.402465277781</v>
      </c>
      <c r="J64" s="27"/>
      <c r="K64" s="25"/>
      <c r="L64" s="35" t="str">
        <f t="shared" si="0"/>
        <v>*</v>
      </c>
    </row>
    <row r="65" spans="1:12" ht="15" x14ac:dyDescent="0.2">
      <c r="A65" s="1">
        <v>23692</v>
      </c>
      <c r="B65" s="3" t="s">
        <v>267</v>
      </c>
      <c r="C65" s="2">
        <v>57</v>
      </c>
      <c r="D65" s="4">
        <v>16</v>
      </c>
      <c r="E65" s="3"/>
      <c r="F65" s="3" t="s">
        <v>265</v>
      </c>
      <c r="G65" s="12"/>
      <c r="H65" s="33" t="s">
        <v>42</v>
      </c>
      <c r="I65" s="34">
        <v>44035.532534722224</v>
      </c>
      <c r="J65" s="27"/>
      <c r="K65" s="25"/>
      <c r="L65" s="13" t="str">
        <f t="shared" si="0"/>
        <v>*</v>
      </c>
    </row>
    <row r="66" spans="1:12" ht="28.5" x14ac:dyDescent="0.2">
      <c r="A66" s="1">
        <v>23986</v>
      </c>
      <c r="B66" s="3" t="s">
        <v>272</v>
      </c>
      <c r="C66" s="2">
        <v>57</v>
      </c>
      <c r="D66" s="4">
        <v>2</v>
      </c>
      <c r="E66" s="3"/>
      <c r="F66" s="3" t="s">
        <v>273</v>
      </c>
      <c r="G66" s="12"/>
      <c r="H66" s="33" t="s">
        <v>42</v>
      </c>
      <c r="I66" s="34">
        <v>44035.53534722222</v>
      </c>
      <c r="J66" s="27"/>
      <c r="K66" s="25"/>
      <c r="L66" s="13" t="str">
        <f t="shared" si="0"/>
        <v>*</v>
      </c>
    </row>
    <row r="67" spans="1:12" ht="28.5" x14ac:dyDescent="0.2">
      <c r="A67" s="1">
        <v>23989</v>
      </c>
      <c r="B67" s="3" t="s">
        <v>275</v>
      </c>
      <c r="C67" s="2">
        <v>57</v>
      </c>
      <c r="D67" s="4">
        <v>2</v>
      </c>
      <c r="E67" s="3"/>
      <c r="F67" s="3" t="s">
        <v>273</v>
      </c>
      <c r="G67" s="12"/>
      <c r="H67" s="33" t="s">
        <v>42</v>
      </c>
      <c r="I67" s="34">
        <v>44035.535879629628</v>
      </c>
      <c r="J67" s="27"/>
      <c r="K67" s="25"/>
      <c r="L67" s="13" t="str">
        <f t="shared" ref="L67:L130" si="1">"*"</f>
        <v>*</v>
      </c>
    </row>
    <row r="68" spans="1:12" ht="28.5" x14ac:dyDescent="0.2">
      <c r="A68" s="1">
        <v>23993</v>
      </c>
      <c r="B68" s="3" t="s">
        <v>276</v>
      </c>
      <c r="C68" s="2">
        <v>57</v>
      </c>
      <c r="D68" s="4">
        <v>2</v>
      </c>
      <c r="E68" s="3"/>
      <c r="F68" s="3" t="s">
        <v>273</v>
      </c>
      <c r="G68" s="12"/>
      <c r="H68" s="33" t="s">
        <v>42</v>
      </c>
      <c r="I68" s="34">
        <v>44035.535879629628</v>
      </c>
      <c r="J68" s="27"/>
      <c r="K68" s="25"/>
      <c r="L68" s="13" t="str">
        <f t="shared" si="1"/>
        <v>*</v>
      </c>
    </row>
    <row r="69" spans="1:12" ht="28.5" x14ac:dyDescent="0.2">
      <c r="A69" s="1">
        <v>23996</v>
      </c>
      <c r="B69" s="3" t="s">
        <v>278</v>
      </c>
      <c r="C69" s="2">
        <v>57</v>
      </c>
      <c r="D69" s="4">
        <v>2</v>
      </c>
      <c r="E69" s="3"/>
      <c r="F69" s="3" t="s">
        <v>273</v>
      </c>
      <c r="G69" s="12"/>
      <c r="H69" s="33" t="s">
        <v>42</v>
      </c>
      <c r="I69" s="34">
        <v>44035.535879629628</v>
      </c>
      <c r="J69" s="27"/>
      <c r="K69" s="25"/>
      <c r="L69" s="13" t="str">
        <f t="shared" si="1"/>
        <v>*</v>
      </c>
    </row>
    <row r="70" spans="1:12" ht="15" x14ac:dyDescent="0.2">
      <c r="A70" s="1">
        <v>24204</v>
      </c>
      <c r="B70" s="3" t="s">
        <v>356</v>
      </c>
      <c r="C70" s="2">
        <v>76</v>
      </c>
      <c r="D70" s="4">
        <v>11</v>
      </c>
      <c r="E70" s="3"/>
      <c r="F70" s="3" t="s">
        <v>357</v>
      </c>
      <c r="G70" s="12"/>
      <c r="H70" s="33" t="s">
        <v>60</v>
      </c>
      <c r="I70" s="34">
        <v>44375.622662037036</v>
      </c>
      <c r="J70" s="27"/>
      <c r="K70" s="25"/>
      <c r="L70" s="13" t="str">
        <f t="shared" si="1"/>
        <v>*</v>
      </c>
    </row>
    <row r="71" spans="1:12" ht="15" x14ac:dyDescent="0.2">
      <c r="A71" s="1">
        <v>24205</v>
      </c>
      <c r="B71" s="12" t="s">
        <v>178</v>
      </c>
      <c r="C71" s="2">
        <v>76</v>
      </c>
      <c r="D71" s="4">
        <v>11</v>
      </c>
      <c r="E71" s="3"/>
      <c r="F71" s="3" t="s">
        <v>179</v>
      </c>
      <c r="G71" s="12"/>
      <c r="H71" s="33" t="s">
        <v>60</v>
      </c>
      <c r="I71" s="34">
        <v>43769.698379629626</v>
      </c>
      <c r="J71" s="27"/>
      <c r="K71" s="25"/>
      <c r="L71" s="13" t="str">
        <f t="shared" si="1"/>
        <v>*</v>
      </c>
    </row>
    <row r="72" spans="1:12" ht="15" x14ac:dyDescent="0.2">
      <c r="A72" s="1">
        <v>24371</v>
      </c>
      <c r="B72" s="3" t="s">
        <v>48</v>
      </c>
      <c r="C72" s="2">
        <v>51</v>
      </c>
      <c r="D72" s="4">
        <v>7</v>
      </c>
      <c r="E72" s="3" t="s">
        <v>188</v>
      </c>
      <c r="F72" s="3"/>
      <c r="G72" s="12"/>
      <c r="H72" s="33" t="s">
        <v>42</v>
      </c>
      <c r="I72" s="34">
        <v>43872.625069444446</v>
      </c>
      <c r="J72" s="27"/>
      <c r="K72" s="25" t="s">
        <v>184</v>
      </c>
      <c r="L72" s="13" t="str">
        <f t="shared" si="1"/>
        <v>*</v>
      </c>
    </row>
    <row r="73" spans="1:12" ht="28.5" x14ac:dyDescent="0.2">
      <c r="A73" s="1">
        <v>24476</v>
      </c>
      <c r="B73" s="3" t="s">
        <v>274</v>
      </c>
      <c r="C73" s="2">
        <v>57</v>
      </c>
      <c r="D73" s="4">
        <v>2</v>
      </c>
      <c r="E73" s="3"/>
      <c r="F73" s="3" t="s">
        <v>273</v>
      </c>
      <c r="G73" s="12"/>
      <c r="H73" s="33" t="s">
        <v>42</v>
      </c>
      <c r="I73" s="34">
        <v>44035.535879629628</v>
      </c>
      <c r="J73" s="27"/>
      <c r="K73" s="25"/>
      <c r="L73" s="13" t="str">
        <f t="shared" si="1"/>
        <v>*</v>
      </c>
    </row>
    <row r="74" spans="1:12" ht="28.5" x14ac:dyDescent="0.2">
      <c r="A74" s="1">
        <v>24477</v>
      </c>
      <c r="B74" s="3" t="s">
        <v>277</v>
      </c>
      <c r="C74" s="2">
        <v>57</v>
      </c>
      <c r="D74" s="4">
        <v>2</v>
      </c>
      <c r="E74" s="3"/>
      <c r="F74" s="3" t="s">
        <v>273</v>
      </c>
      <c r="G74" s="12"/>
      <c r="H74" s="33" t="s">
        <v>42</v>
      </c>
      <c r="I74" s="34">
        <v>44035.535879629628</v>
      </c>
      <c r="J74" s="27"/>
      <c r="K74" s="25"/>
      <c r="L74" s="13" t="str">
        <f t="shared" si="1"/>
        <v>*</v>
      </c>
    </row>
    <row r="75" spans="1:12" ht="15" x14ac:dyDescent="0.2">
      <c r="A75" s="1">
        <v>25523</v>
      </c>
      <c r="B75" s="3" t="s">
        <v>314</v>
      </c>
      <c r="C75" s="2">
        <v>61</v>
      </c>
      <c r="D75" s="4">
        <v>8</v>
      </c>
      <c r="E75" s="3"/>
      <c r="F75" s="45" t="s">
        <v>158</v>
      </c>
      <c r="G75" s="12"/>
      <c r="H75" s="33" t="s">
        <v>60</v>
      </c>
      <c r="I75" s="34">
        <v>44155.428518518522</v>
      </c>
      <c r="J75" s="27"/>
      <c r="K75" s="25"/>
      <c r="L75" s="13" t="str">
        <f t="shared" si="1"/>
        <v>*</v>
      </c>
    </row>
    <row r="76" spans="1:12" ht="28.5" x14ac:dyDescent="0.2">
      <c r="A76" s="1">
        <v>25559</v>
      </c>
      <c r="B76" s="3" t="s">
        <v>279</v>
      </c>
      <c r="C76" s="2">
        <v>57</v>
      </c>
      <c r="D76" s="4">
        <v>2</v>
      </c>
      <c r="E76" s="3"/>
      <c r="F76" s="3" t="s">
        <v>280</v>
      </c>
      <c r="G76" s="12"/>
      <c r="H76" s="33" t="s">
        <v>42</v>
      </c>
      <c r="I76" s="34">
        <v>44035.538935185185</v>
      </c>
      <c r="J76" s="27"/>
      <c r="K76" s="25"/>
      <c r="L76" s="13" t="str">
        <f t="shared" si="1"/>
        <v>*</v>
      </c>
    </row>
    <row r="77" spans="1:12" ht="15" x14ac:dyDescent="0.2">
      <c r="A77" s="1">
        <v>26215</v>
      </c>
      <c r="B77" s="3" t="s">
        <v>10</v>
      </c>
      <c r="C77" s="2">
        <v>74</v>
      </c>
      <c r="D77" s="4">
        <v>9</v>
      </c>
      <c r="E77" s="3" t="s">
        <v>101</v>
      </c>
      <c r="F77" s="3"/>
      <c r="G77" s="12"/>
      <c r="H77" s="33" t="s">
        <v>42</v>
      </c>
      <c r="I77" s="34">
        <v>43872.625069444446</v>
      </c>
      <c r="J77" s="27"/>
      <c r="K77" s="25"/>
      <c r="L77" s="35" t="str">
        <f t="shared" si="1"/>
        <v>*</v>
      </c>
    </row>
    <row r="78" spans="1:12" ht="28.5" x14ac:dyDescent="0.2">
      <c r="A78" s="1">
        <v>26504</v>
      </c>
      <c r="B78" s="3" t="s">
        <v>56</v>
      </c>
      <c r="C78" s="2">
        <v>78</v>
      </c>
      <c r="D78" s="4">
        <v>6</v>
      </c>
      <c r="E78" s="3" t="s">
        <v>57</v>
      </c>
      <c r="F78" s="3"/>
      <c r="G78" s="12" t="s">
        <v>21</v>
      </c>
      <c r="H78" s="33" t="s">
        <v>42</v>
      </c>
      <c r="I78" s="34">
        <v>43872.625069444446</v>
      </c>
      <c r="J78" s="27"/>
      <c r="K78" s="25"/>
      <c r="L78" s="13" t="str">
        <f t="shared" si="1"/>
        <v>*</v>
      </c>
    </row>
    <row r="79" spans="1:12" ht="15" x14ac:dyDescent="0.2">
      <c r="A79" s="1">
        <v>26506</v>
      </c>
      <c r="B79" s="3" t="s">
        <v>58</v>
      </c>
      <c r="C79" s="2">
        <v>78</v>
      </c>
      <c r="D79" s="4">
        <v>6</v>
      </c>
      <c r="E79" s="3" t="s">
        <v>57</v>
      </c>
      <c r="F79" s="3"/>
      <c r="G79" s="12" t="s">
        <v>21</v>
      </c>
      <c r="H79" s="33" t="s">
        <v>42</v>
      </c>
      <c r="I79" s="34">
        <v>43872.625069444446</v>
      </c>
      <c r="J79" s="27"/>
      <c r="K79" s="25"/>
      <c r="L79" s="13" t="str">
        <f t="shared" si="1"/>
        <v>*</v>
      </c>
    </row>
    <row r="80" spans="1:12" ht="28.5" x14ac:dyDescent="0.2">
      <c r="A80" s="1">
        <v>27137</v>
      </c>
      <c r="B80" s="3" t="s">
        <v>281</v>
      </c>
      <c r="C80" s="2">
        <v>57</v>
      </c>
      <c r="D80" s="4">
        <v>2</v>
      </c>
      <c r="E80" s="3"/>
      <c r="F80" s="3" t="s">
        <v>280</v>
      </c>
      <c r="G80" s="12"/>
      <c r="H80" s="33" t="s">
        <v>42</v>
      </c>
      <c r="I80" s="34">
        <v>44035.538935185185</v>
      </c>
      <c r="J80" s="27"/>
      <c r="K80" s="25"/>
      <c r="L80" s="13" t="str">
        <f t="shared" si="1"/>
        <v>*</v>
      </c>
    </row>
    <row r="81" spans="1:12" ht="28.5" x14ac:dyDescent="0.2">
      <c r="A81" s="1">
        <v>27138</v>
      </c>
      <c r="B81" s="3" t="s">
        <v>282</v>
      </c>
      <c r="C81" s="2">
        <v>57</v>
      </c>
      <c r="D81" s="4">
        <v>2</v>
      </c>
      <c r="E81" s="3"/>
      <c r="F81" s="3" t="s">
        <v>280</v>
      </c>
      <c r="G81" s="12"/>
      <c r="H81" s="33" t="s">
        <v>42</v>
      </c>
      <c r="I81" s="34">
        <v>44035.538935185185</v>
      </c>
      <c r="J81" s="27"/>
      <c r="K81" s="25"/>
      <c r="L81" s="13" t="str">
        <f t="shared" si="1"/>
        <v>*</v>
      </c>
    </row>
    <row r="82" spans="1:12" ht="28.5" x14ac:dyDescent="0.2">
      <c r="A82" s="1">
        <v>27139</v>
      </c>
      <c r="B82" s="3" t="s">
        <v>283</v>
      </c>
      <c r="C82" s="2">
        <v>57</v>
      </c>
      <c r="D82" s="4">
        <v>2</v>
      </c>
      <c r="E82" s="3"/>
      <c r="F82" s="3" t="s">
        <v>280</v>
      </c>
      <c r="G82" s="12"/>
      <c r="H82" s="33" t="s">
        <v>42</v>
      </c>
      <c r="I82" s="34">
        <v>44035.538935185185</v>
      </c>
      <c r="J82" s="27"/>
      <c r="K82" s="25"/>
      <c r="L82" s="13" t="str">
        <f t="shared" si="1"/>
        <v>*</v>
      </c>
    </row>
    <row r="83" spans="1:12" ht="28.5" x14ac:dyDescent="0.2">
      <c r="A83" s="1">
        <v>27140</v>
      </c>
      <c r="B83" s="3" t="s">
        <v>284</v>
      </c>
      <c r="C83" s="2">
        <v>57</v>
      </c>
      <c r="D83" s="4">
        <v>2</v>
      </c>
      <c r="E83" s="3"/>
      <c r="F83" s="3" t="s">
        <v>280</v>
      </c>
      <c r="G83" s="12"/>
      <c r="H83" s="33" t="s">
        <v>42</v>
      </c>
      <c r="I83" s="34">
        <v>44035.538935185185</v>
      </c>
      <c r="J83" s="27"/>
      <c r="K83" s="25"/>
      <c r="L83" s="13" t="str">
        <f t="shared" si="1"/>
        <v>*</v>
      </c>
    </row>
    <row r="84" spans="1:12" ht="28.5" x14ac:dyDescent="0.2">
      <c r="A84" s="1">
        <v>28181</v>
      </c>
      <c r="B84" s="3" t="s">
        <v>164</v>
      </c>
      <c r="C84" s="2">
        <v>61</v>
      </c>
      <c r="D84" s="19"/>
      <c r="E84" s="3" t="s">
        <v>158</v>
      </c>
      <c r="F84" s="3" t="s">
        <v>187</v>
      </c>
      <c r="G84" s="20"/>
      <c r="H84" s="36" t="s">
        <v>42</v>
      </c>
      <c r="I84" s="37">
        <v>43872.625069444446</v>
      </c>
      <c r="J84" s="28"/>
      <c r="K84" s="26"/>
      <c r="L84" s="21" t="str">
        <f t="shared" si="1"/>
        <v>*</v>
      </c>
    </row>
    <row r="85" spans="1:12" ht="15" x14ac:dyDescent="0.2">
      <c r="A85" s="1">
        <v>28184</v>
      </c>
      <c r="B85" s="3" t="s">
        <v>308</v>
      </c>
      <c r="C85" s="2">
        <v>61</v>
      </c>
      <c r="D85" s="4">
        <v>8</v>
      </c>
      <c r="E85" s="3"/>
      <c r="F85" s="45" t="s">
        <v>158</v>
      </c>
      <c r="G85" s="12"/>
      <c r="H85" s="33" t="s">
        <v>60</v>
      </c>
      <c r="I85" s="34">
        <v>44155.427083333336</v>
      </c>
      <c r="J85" s="27"/>
      <c r="K85" s="25"/>
      <c r="L85" s="13" t="str">
        <f t="shared" si="1"/>
        <v>*</v>
      </c>
    </row>
    <row r="86" spans="1:12" ht="28.5" x14ac:dyDescent="0.2">
      <c r="A86" s="1">
        <v>29956</v>
      </c>
      <c r="B86" s="3" t="s">
        <v>285</v>
      </c>
      <c r="C86" s="2">
        <v>57</v>
      </c>
      <c r="D86" s="4">
        <v>15</v>
      </c>
      <c r="E86" s="3"/>
      <c r="F86" s="3" t="s">
        <v>286</v>
      </c>
      <c r="G86" s="12"/>
      <c r="H86" s="33" t="s">
        <v>42</v>
      </c>
      <c r="I86" s="34">
        <v>44035.538935185185</v>
      </c>
      <c r="J86" s="27"/>
      <c r="K86" s="25"/>
      <c r="L86" s="13" t="str">
        <f t="shared" si="1"/>
        <v>*</v>
      </c>
    </row>
    <row r="87" spans="1:12" ht="28.5" x14ac:dyDescent="0.2">
      <c r="A87" s="1">
        <v>29959</v>
      </c>
      <c r="B87" s="3" t="s">
        <v>287</v>
      </c>
      <c r="C87" s="2">
        <v>57</v>
      </c>
      <c r="D87" s="4">
        <v>15</v>
      </c>
      <c r="E87" s="3"/>
      <c r="F87" s="3" t="s">
        <v>286</v>
      </c>
      <c r="G87" s="12"/>
      <c r="H87" s="33" t="s">
        <v>42</v>
      </c>
      <c r="I87" s="34">
        <v>44035.538935185185</v>
      </c>
      <c r="J87" s="27"/>
      <c r="K87" s="25"/>
      <c r="L87" s="13" t="str">
        <f t="shared" si="1"/>
        <v>*</v>
      </c>
    </row>
    <row r="88" spans="1:12" ht="28.5" x14ac:dyDescent="0.2">
      <c r="A88" s="1">
        <v>29961</v>
      </c>
      <c r="B88" s="3" t="s">
        <v>288</v>
      </c>
      <c r="C88" s="2">
        <v>57</v>
      </c>
      <c r="D88" s="4">
        <v>15</v>
      </c>
      <c r="E88" s="3"/>
      <c r="F88" s="3" t="s">
        <v>286</v>
      </c>
      <c r="G88" s="12"/>
      <c r="H88" s="33" t="s">
        <v>42</v>
      </c>
      <c r="I88" s="34">
        <v>44035.538935185185</v>
      </c>
      <c r="J88" s="27"/>
      <c r="K88" s="25"/>
      <c r="L88" s="13" t="str">
        <f t="shared" si="1"/>
        <v>*</v>
      </c>
    </row>
    <row r="89" spans="1:12" ht="28.5" x14ac:dyDescent="0.2">
      <c r="A89" s="1">
        <v>29962</v>
      </c>
      <c r="B89" s="3" t="s">
        <v>289</v>
      </c>
      <c r="C89" s="2">
        <v>57</v>
      </c>
      <c r="D89" s="4">
        <v>15</v>
      </c>
      <c r="E89" s="3"/>
      <c r="F89" s="3" t="s">
        <v>286</v>
      </c>
      <c r="G89" s="12"/>
      <c r="H89" s="33" t="s">
        <v>42</v>
      </c>
      <c r="I89" s="34">
        <v>44035.538935185185</v>
      </c>
      <c r="J89" s="27"/>
      <c r="K89" s="25"/>
      <c r="L89" s="13" t="str">
        <f t="shared" si="1"/>
        <v>*</v>
      </c>
    </row>
    <row r="90" spans="1:12" ht="28.5" x14ac:dyDescent="0.2">
      <c r="A90" s="1">
        <v>29964</v>
      </c>
      <c r="B90" s="3" t="s">
        <v>290</v>
      </c>
      <c r="C90" s="2">
        <v>57</v>
      </c>
      <c r="D90" s="4">
        <v>15</v>
      </c>
      <c r="E90" s="3"/>
      <c r="F90" s="3" t="s">
        <v>286</v>
      </c>
      <c r="G90" s="12"/>
      <c r="H90" s="33" t="s">
        <v>42</v>
      </c>
      <c r="I90" s="34">
        <v>44035.538935185185</v>
      </c>
      <c r="J90" s="27"/>
      <c r="K90" s="25"/>
      <c r="L90" s="13" t="str">
        <f t="shared" si="1"/>
        <v>*</v>
      </c>
    </row>
    <row r="91" spans="1:12" ht="15" x14ac:dyDescent="0.2">
      <c r="A91" s="1">
        <v>31321</v>
      </c>
      <c r="B91" s="3" t="s">
        <v>246</v>
      </c>
      <c r="C91" s="2">
        <v>55</v>
      </c>
      <c r="D91" s="4">
        <v>19</v>
      </c>
      <c r="E91" s="3"/>
      <c r="F91" s="3" t="s">
        <v>223</v>
      </c>
      <c r="G91" s="12"/>
      <c r="H91" s="33" t="s">
        <v>42</v>
      </c>
      <c r="I91" s="34">
        <v>44013.460925925923</v>
      </c>
      <c r="J91" s="27"/>
      <c r="K91" s="25"/>
      <c r="L91" s="13" t="str">
        <f t="shared" si="1"/>
        <v>*</v>
      </c>
    </row>
    <row r="92" spans="1:12" ht="15" x14ac:dyDescent="0.2">
      <c r="A92" s="1">
        <v>32534</v>
      </c>
      <c r="B92" s="3" t="s">
        <v>47</v>
      </c>
      <c r="C92" s="2">
        <v>51</v>
      </c>
      <c r="D92" s="4">
        <v>7</v>
      </c>
      <c r="E92" s="3" t="s">
        <v>188</v>
      </c>
      <c r="F92" s="3"/>
      <c r="G92" s="12"/>
      <c r="H92" s="33" t="s">
        <v>42</v>
      </c>
      <c r="I92" s="34">
        <v>43872.625069444446</v>
      </c>
      <c r="J92" s="27"/>
      <c r="K92" s="25" t="s">
        <v>184</v>
      </c>
      <c r="L92" s="13" t="str">
        <f t="shared" si="1"/>
        <v>*</v>
      </c>
    </row>
    <row r="93" spans="1:12" ht="15" x14ac:dyDescent="0.2">
      <c r="A93" s="1">
        <v>32927</v>
      </c>
      <c r="B93" s="3" t="s">
        <v>380</v>
      </c>
      <c r="C93" s="2">
        <v>57</v>
      </c>
      <c r="D93" s="4">
        <v>15</v>
      </c>
      <c r="E93" s="3"/>
      <c r="F93" s="3" t="s">
        <v>377</v>
      </c>
      <c r="G93" s="12"/>
      <c r="H93" s="33" t="s">
        <v>60</v>
      </c>
      <c r="I93" s="34">
        <v>44398.636956018519</v>
      </c>
      <c r="J93" s="27"/>
      <c r="K93" s="25"/>
      <c r="L93" s="13" t="str">
        <f t="shared" si="1"/>
        <v>*</v>
      </c>
    </row>
    <row r="94" spans="1:12" ht="15" x14ac:dyDescent="0.2">
      <c r="A94" s="1">
        <v>40086</v>
      </c>
      <c r="B94" s="3" t="s">
        <v>78</v>
      </c>
      <c r="C94" s="2">
        <v>51</v>
      </c>
      <c r="D94" s="4">
        <v>17</v>
      </c>
      <c r="E94" s="3" t="s">
        <v>79</v>
      </c>
      <c r="F94" s="3"/>
      <c r="G94" s="12"/>
      <c r="H94" s="33" t="s">
        <v>42</v>
      </c>
      <c r="I94" s="34">
        <v>43872.625069444446</v>
      </c>
      <c r="J94" s="27"/>
      <c r="K94" s="25"/>
      <c r="L94" s="13" t="str">
        <f t="shared" si="1"/>
        <v>*</v>
      </c>
    </row>
    <row r="95" spans="1:12" ht="15" x14ac:dyDescent="0.2">
      <c r="A95" s="1">
        <v>40685</v>
      </c>
      <c r="B95" s="3" t="s">
        <v>249</v>
      </c>
      <c r="C95" s="2">
        <v>55</v>
      </c>
      <c r="D95" s="4">
        <v>19</v>
      </c>
      <c r="E95" s="3"/>
      <c r="F95" s="3" t="s">
        <v>223</v>
      </c>
      <c r="G95" s="12"/>
      <c r="H95" s="33" t="s">
        <v>42</v>
      </c>
      <c r="I95" s="34">
        <v>44013.460925925923</v>
      </c>
      <c r="J95" s="27"/>
      <c r="K95" s="25"/>
      <c r="L95" s="13" t="str">
        <f t="shared" si="1"/>
        <v>*</v>
      </c>
    </row>
    <row r="96" spans="1:12" ht="15" x14ac:dyDescent="0.2">
      <c r="A96" s="1">
        <v>40882</v>
      </c>
      <c r="B96" s="3" t="s">
        <v>163</v>
      </c>
      <c r="C96" s="2">
        <v>61</v>
      </c>
      <c r="D96" s="19"/>
      <c r="E96" s="3"/>
      <c r="F96" s="3" t="s">
        <v>187</v>
      </c>
      <c r="G96" s="20"/>
      <c r="H96" s="36" t="s">
        <v>42</v>
      </c>
      <c r="I96" s="37">
        <v>43872.630856481483</v>
      </c>
      <c r="J96" s="28"/>
      <c r="K96" s="26"/>
      <c r="L96" s="21" t="str">
        <f t="shared" si="1"/>
        <v>*</v>
      </c>
    </row>
    <row r="97" spans="1:12" ht="42.75" x14ac:dyDescent="0.2">
      <c r="A97" s="1">
        <v>46420</v>
      </c>
      <c r="B97" s="3" t="s">
        <v>63</v>
      </c>
      <c r="C97" s="2">
        <v>45</v>
      </c>
      <c r="D97" s="4">
        <v>0</v>
      </c>
      <c r="E97" s="3"/>
      <c r="F97" s="3" t="s">
        <v>143</v>
      </c>
      <c r="G97" s="12"/>
      <c r="H97" s="33" t="s">
        <v>60</v>
      </c>
      <c r="I97" s="34">
        <v>43734.365173611113</v>
      </c>
      <c r="J97" s="27"/>
      <c r="K97" s="25"/>
      <c r="L97" s="13" t="str">
        <f t="shared" si="1"/>
        <v>*</v>
      </c>
    </row>
    <row r="98" spans="1:12" ht="15" x14ac:dyDescent="0.2">
      <c r="A98" s="1">
        <v>47447</v>
      </c>
      <c r="B98" s="3" t="s">
        <v>268</v>
      </c>
      <c r="C98" s="2">
        <v>57</v>
      </c>
      <c r="D98" s="4">
        <v>16</v>
      </c>
      <c r="E98" s="3"/>
      <c r="F98" s="3" t="s">
        <v>265</v>
      </c>
      <c r="G98" s="12"/>
      <c r="H98" s="33" t="s">
        <v>42</v>
      </c>
      <c r="I98" s="34">
        <v>44035.532534722224</v>
      </c>
      <c r="J98" s="27"/>
      <c r="K98" s="25"/>
      <c r="L98" s="13" t="str">
        <f t="shared" si="1"/>
        <v>*</v>
      </c>
    </row>
    <row r="99" spans="1:12" ht="15" x14ac:dyDescent="0.2">
      <c r="A99" s="1">
        <v>49254</v>
      </c>
      <c r="B99" s="3" t="s">
        <v>127</v>
      </c>
      <c r="C99" s="2">
        <v>72</v>
      </c>
      <c r="D99" s="4">
        <v>7</v>
      </c>
      <c r="E99" s="3"/>
      <c r="F99" s="3" t="s">
        <v>145</v>
      </c>
      <c r="G99" s="12"/>
      <c r="H99" s="33" t="s">
        <v>60</v>
      </c>
      <c r="I99" s="34">
        <v>43734.654293981483</v>
      </c>
      <c r="J99" s="27"/>
      <c r="K99" s="25"/>
      <c r="L99" s="13" t="str">
        <f t="shared" si="1"/>
        <v>*</v>
      </c>
    </row>
    <row r="100" spans="1:12" ht="15" x14ac:dyDescent="0.2">
      <c r="A100" s="1">
        <v>49695</v>
      </c>
      <c r="B100" s="3" t="s">
        <v>125</v>
      </c>
      <c r="C100" s="2">
        <v>51</v>
      </c>
      <c r="D100" s="4">
        <v>8</v>
      </c>
      <c r="E100" s="3"/>
      <c r="F100" s="3" t="s">
        <v>126</v>
      </c>
      <c r="G100" s="12"/>
      <c r="H100" s="33" t="s">
        <v>60</v>
      </c>
      <c r="I100" s="34">
        <v>43732.572013888886</v>
      </c>
      <c r="J100" s="27"/>
      <c r="K100" s="25"/>
      <c r="L100" s="13" t="str">
        <f t="shared" si="1"/>
        <v>*</v>
      </c>
    </row>
    <row r="101" spans="1:12" ht="15" x14ac:dyDescent="0.2">
      <c r="A101" s="1">
        <v>51579</v>
      </c>
      <c r="B101" s="3" t="s">
        <v>108</v>
      </c>
      <c r="C101" s="2">
        <v>45</v>
      </c>
      <c r="D101" s="4">
        <v>12</v>
      </c>
      <c r="E101" s="3"/>
      <c r="F101" s="3"/>
      <c r="G101" s="12" t="s">
        <v>31</v>
      </c>
      <c r="H101" s="33" t="s">
        <v>42</v>
      </c>
      <c r="I101" s="34">
        <v>43719.552314814813</v>
      </c>
      <c r="J101" s="27"/>
      <c r="K101" s="25"/>
      <c r="L101" s="13" t="str">
        <f t="shared" si="1"/>
        <v>*</v>
      </c>
    </row>
    <row r="102" spans="1:12" ht="15" x14ac:dyDescent="0.2">
      <c r="A102" s="1">
        <v>52994</v>
      </c>
      <c r="B102" s="3" t="s">
        <v>162</v>
      </c>
      <c r="C102" s="2">
        <v>61</v>
      </c>
      <c r="D102" s="19"/>
      <c r="E102" s="3"/>
      <c r="F102" s="3" t="s">
        <v>158</v>
      </c>
      <c r="G102" s="20"/>
      <c r="H102" s="36" t="s">
        <v>60</v>
      </c>
      <c r="I102" s="37">
        <v>44176.419791666667</v>
      </c>
      <c r="J102" s="28"/>
      <c r="K102" s="26"/>
      <c r="L102" s="21" t="str">
        <f t="shared" si="1"/>
        <v>*</v>
      </c>
    </row>
    <row r="103" spans="1:12" ht="15" x14ac:dyDescent="0.2">
      <c r="A103" s="1">
        <v>53446</v>
      </c>
      <c r="B103" s="3" t="s">
        <v>99</v>
      </c>
      <c r="C103" s="2">
        <v>51</v>
      </c>
      <c r="D103" s="4">
        <v>19</v>
      </c>
      <c r="E103" s="3"/>
      <c r="F103" s="3"/>
      <c r="G103" s="12"/>
      <c r="H103" s="33" t="s">
        <v>42</v>
      </c>
      <c r="I103" s="34">
        <v>43700.344305555554</v>
      </c>
      <c r="J103" s="27">
        <v>18</v>
      </c>
      <c r="K103" s="25"/>
      <c r="L103" s="13" t="str">
        <f t="shared" si="1"/>
        <v>*</v>
      </c>
    </row>
    <row r="104" spans="1:12" ht="15" x14ac:dyDescent="0.2">
      <c r="A104" s="1">
        <v>53813</v>
      </c>
      <c r="B104" s="3" t="s">
        <v>213</v>
      </c>
      <c r="C104" s="2">
        <v>51</v>
      </c>
      <c r="D104" s="4">
        <v>13</v>
      </c>
      <c r="E104" s="3"/>
      <c r="F104" s="3" t="s">
        <v>214</v>
      </c>
      <c r="G104" s="12"/>
      <c r="H104" s="33" t="s">
        <v>42</v>
      </c>
      <c r="I104" s="34">
        <v>43896.569097222222</v>
      </c>
      <c r="J104" s="27"/>
      <c r="K104" s="25"/>
      <c r="L104" s="13" t="str">
        <f t="shared" si="1"/>
        <v>*</v>
      </c>
    </row>
    <row r="105" spans="1:12" ht="15" x14ac:dyDescent="0.2">
      <c r="A105" s="1">
        <v>54586</v>
      </c>
      <c r="B105" s="3" t="s">
        <v>309</v>
      </c>
      <c r="C105" s="2">
        <v>61</v>
      </c>
      <c r="D105" s="4">
        <v>2</v>
      </c>
      <c r="E105" s="3"/>
      <c r="F105" s="45" t="s">
        <v>158</v>
      </c>
      <c r="G105" s="12"/>
      <c r="H105" s="33" t="s">
        <v>60</v>
      </c>
      <c r="I105" s="34">
        <v>44155.427372685182</v>
      </c>
      <c r="J105" s="27"/>
      <c r="K105" s="25"/>
      <c r="L105" s="13" t="str">
        <f t="shared" si="1"/>
        <v>*</v>
      </c>
    </row>
    <row r="106" spans="1:12" ht="15" x14ac:dyDescent="0.2">
      <c r="A106" s="1">
        <v>54587</v>
      </c>
      <c r="B106" s="3" t="s">
        <v>311</v>
      </c>
      <c r="C106" s="2">
        <v>61</v>
      </c>
      <c r="D106" s="4">
        <v>2</v>
      </c>
      <c r="E106" s="3"/>
      <c r="F106" s="45" t="s">
        <v>158</v>
      </c>
      <c r="G106" s="12"/>
      <c r="H106" s="33" t="s">
        <v>60</v>
      </c>
      <c r="I106" s="34">
        <v>44155.427905092591</v>
      </c>
      <c r="J106" s="27"/>
      <c r="K106" s="25"/>
      <c r="L106" s="13" t="str">
        <f t="shared" si="1"/>
        <v>*</v>
      </c>
    </row>
    <row r="107" spans="1:12" ht="28.5" x14ac:dyDescent="0.2">
      <c r="A107" s="1">
        <v>58706</v>
      </c>
      <c r="B107" s="3" t="s">
        <v>67</v>
      </c>
      <c r="C107" s="2">
        <v>74</v>
      </c>
      <c r="D107" s="4">
        <v>3</v>
      </c>
      <c r="E107" s="3" t="s">
        <v>103</v>
      </c>
      <c r="F107" s="3"/>
      <c r="G107" s="12"/>
      <c r="H107" s="33" t="s">
        <v>42</v>
      </c>
      <c r="I107" s="34">
        <v>43872.630856481483</v>
      </c>
      <c r="J107" s="27"/>
      <c r="K107" s="25"/>
      <c r="L107" s="13" t="str">
        <f t="shared" si="1"/>
        <v>*</v>
      </c>
    </row>
    <row r="108" spans="1:12" ht="15" x14ac:dyDescent="0.2">
      <c r="A108" s="1">
        <v>59069</v>
      </c>
      <c r="B108" s="3" t="s">
        <v>318</v>
      </c>
      <c r="C108" s="2">
        <v>61</v>
      </c>
      <c r="D108" s="4">
        <v>8</v>
      </c>
      <c r="E108" s="3"/>
      <c r="F108" s="45" t="s">
        <v>158</v>
      </c>
      <c r="G108" s="12"/>
      <c r="H108" s="33" t="s">
        <v>60</v>
      </c>
      <c r="I108" s="34">
        <v>44155.4296412037</v>
      </c>
      <c r="J108" s="27"/>
      <c r="K108" s="25"/>
      <c r="L108" s="13" t="str">
        <f t="shared" si="1"/>
        <v>*</v>
      </c>
    </row>
    <row r="109" spans="1:12" ht="15" x14ac:dyDescent="0.2">
      <c r="A109" s="1">
        <v>59074</v>
      </c>
      <c r="B109" s="3" t="s">
        <v>328</v>
      </c>
      <c r="C109" s="2">
        <v>45</v>
      </c>
      <c r="D109" s="4">
        <v>11</v>
      </c>
      <c r="E109" s="3"/>
      <c r="F109" s="31" t="s">
        <v>329</v>
      </c>
      <c r="G109" s="12"/>
      <c r="H109" s="33" t="s">
        <v>60</v>
      </c>
      <c r="I109" s="34">
        <v>44370.450752314813</v>
      </c>
      <c r="J109" s="27"/>
      <c r="K109" s="25"/>
      <c r="L109" s="13" t="str">
        <f t="shared" si="1"/>
        <v>*</v>
      </c>
    </row>
    <row r="110" spans="1:12" ht="15" x14ac:dyDescent="0.2">
      <c r="A110" s="1">
        <v>60889</v>
      </c>
      <c r="B110" s="3" t="s">
        <v>212</v>
      </c>
      <c r="C110" s="2">
        <v>55</v>
      </c>
      <c r="D110" s="4">
        <v>32</v>
      </c>
      <c r="E110" s="3"/>
      <c r="F110" s="3" t="s">
        <v>211</v>
      </c>
      <c r="G110" s="12"/>
      <c r="H110" s="33" t="s">
        <v>60</v>
      </c>
      <c r="I110" s="34">
        <v>43882.592268518521</v>
      </c>
      <c r="J110" s="27"/>
      <c r="K110" s="25"/>
      <c r="L110" s="13" t="str">
        <f t="shared" si="1"/>
        <v>*</v>
      </c>
    </row>
    <row r="111" spans="1:12" ht="15" x14ac:dyDescent="0.2">
      <c r="A111" s="1">
        <v>63991</v>
      </c>
      <c r="B111" s="3" t="s">
        <v>195</v>
      </c>
      <c r="C111" s="2">
        <v>58</v>
      </c>
      <c r="D111" s="4">
        <v>8</v>
      </c>
      <c r="E111" s="3"/>
      <c r="F111" s="3"/>
      <c r="G111" s="12" t="s">
        <v>21</v>
      </c>
      <c r="H111" s="33" t="s">
        <v>60</v>
      </c>
      <c r="I111" s="34">
        <v>43881.344629629632</v>
      </c>
      <c r="J111" s="27"/>
      <c r="K111" s="25"/>
      <c r="L111" s="13" t="str">
        <f t="shared" si="1"/>
        <v>*</v>
      </c>
    </row>
    <row r="112" spans="1:12" ht="15" x14ac:dyDescent="0.2">
      <c r="A112" s="1">
        <v>64302</v>
      </c>
      <c r="B112" s="3" t="s">
        <v>248</v>
      </c>
      <c r="C112" s="2">
        <v>55</v>
      </c>
      <c r="D112" s="4">
        <v>19</v>
      </c>
      <c r="E112" s="3"/>
      <c r="F112" s="3" t="s">
        <v>223</v>
      </c>
      <c r="G112" s="12"/>
      <c r="H112" s="33" t="s">
        <v>42</v>
      </c>
      <c r="I112" s="34">
        <v>44013.460925925923</v>
      </c>
      <c r="J112" s="27"/>
      <c r="K112" s="25"/>
      <c r="L112" s="13" t="str">
        <f t="shared" si="1"/>
        <v>*</v>
      </c>
    </row>
    <row r="113" spans="1:12" ht="15" x14ac:dyDescent="0.2">
      <c r="A113" s="1">
        <v>64634</v>
      </c>
      <c r="B113" s="3" t="s">
        <v>123</v>
      </c>
      <c r="C113" s="2">
        <v>83</v>
      </c>
      <c r="D113" s="4">
        <v>10</v>
      </c>
      <c r="E113" s="3"/>
      <c r="F113" s="3" t="s">
        <v>124</v>
      </c>
      <c r="G113" s="12"/>
      <c r="H113" s="33" t="s">
        <v>42</v>
      </c>
      <c r="I113" s="34">
        <v>43726.570532407408</v>
      </c>
      <c r="J113" s="27"/>
      <c r="K113" s="25"/>
      <c r="L113" s="13" t="str">
        <f t="shared" si="1"/>
        <v>*</v>
      </c>
    </row>
    <row r="114" spans="1:12" ht="15" x14ac:dyDescent="0.2">
      <c r="A114" s="1">
        <v>64636</v>
      </c>
      <c r="B114" s="3" t="s">
        <v>315</v>
      </c>
      <c r="C114" s="2">
        <v>61</v>
      </c>
      <c r="D114" s="4">
        <v>8</v>
      </c>
      <c r="E114" s="3"/>
      <c r="F114" s="45" t="s">
        <v>158</v>
      </c>
      <c r="G114" s="12"/>
      <c r="H114" s="33" t="s">
        <v>60</v>
      </c>
      <c r="I114" s="34">
        <v>44155.428773148145</v>
      </c>
      <c r="J114" s="27"/>
      <c r="K114" s="25"/>
      <c r="L114" s="13" t="str">
        <f t="shared" si="1"/>
        <v>*</v>
      </c>
    </row>
    <row r="115" spans="1:12" ht="15" x14ac:dyDescent="0.2">
      <c r="A115" s="1">
        <v>64647</v>
      </c>
      <c r="B115" s="3" t="s">
        <v>317</v>
      </c>
      <c r="C115" s="2">
        <v>61</v>
      </c>
      <c r="D115" s="4">
        <v>8</v>
      </c>
      <c r="E115" s="3"/>
      <c r="F115" s="45" t="s">
        <v>158</v>
      </c>
      <c r="G115" s="12"/>
      <c r="H115" s="33" t="s">
        <v>60</v>
      </c>
      <c r="I115" s="34">
        <v>44155.429351851853</v>
      </c>
      <c r="J115" s="27"/>
      <c r="K115" s="25"/>
      <c r="L115" s="13" t="str">
        <f t="shared" si="1"/>
        <v>*</v>
      </c>
    </row>
    <row r="116" spans="1:12" ht="15" x14ac:dyDescent="0.2">
      <c r="A116" s="1">
        <v>65748</v>
      </c>
      <c r="B116" s="3" t="s">
        <v>247</v>
      </c>
      <c r="C116" s="2">
        <v>55</v>
      </c>
      <c r="D116" s="4">
        <v>19</v>
      </c>
      <c r="E116" s="3"/>
      <c r="F116" s="3" t="s">
        <v>223</v>
      </c>
      <c r="G116" s="12"/>
      <c r="H116" s="33" t="s">
        <v>42</v>
      </c>
      <c r="I116" s="34">
        <v>44013.460925925923</v>
      </c>
      <c r="J116" s="27"/>
      <c r="K116" s="25"/>
      <c r="L116" s="13" t="str">
        <f t="shared" si="1"/>
        <v>*</v>
      </c>
    </row>
    <row r="117" spans="1:12" ht="15" x14ac:dyDescent="0.2">
      <c r="A117" s="1">
        <v>69222</v>
      </c>
      <c r="B117" s="3" t="s">
        <v>327</v>
      </c>
      <c r="C117" s="2">
        <v>45</v>
      </c>
      <c r="D117" s="4">
        <v>11</v>
      </c>
      <c r="E117" s="3"/>
      <c r="F117" s="31" t="s">
        <v>329</v>
      </c>
      <c r="G117" s="12"/>
      <c r="H117" s="33" t="s">
        <v>60</v>
      </c>
      <c r="I117" s="34">
        <v>44370.450497685182</v>
      </c>
      <c r="J117" s="27"/>
      <c r="K117" s="25"/>
      <c r="L117" s="13" t="str">
        <f t="shared" si="1"/>
        <v>*</v>
      </c>
    </row>
    <row r="118" spans="1:12" ht="15" x14ac:dyDescent="0.2">
      <c r="A118" s="1">
        <v>74124</v>
      </c>
      <c r="B118" s="3" t="s">
        <v>245</v>
      </c>
      <c r="C118" s="2">
        <v>55</v>
      </c>
      <c r="D118" s="4">
        <v>19</v>
      </c>
      <c r="E118" s="3"/>
      <c r="F118" s="3" t="s">
        <v>223</v>
      </c>
      <c r="G118" s="12"/>
      <c r="H118" s="33" t="s">
        <v>42</v>
      </c>
      <c r="I118" s="34">
        <v>44013.460266203707</v>
      </c>
      <c r="J118" s="27"/>
      <c r="K118" s="25"/>
      <c r="L118" s="13" t="str">
        <f t="shared" si="1"/>
        <v>*</v>
      </c>
    </row>
    <row r="119" spans="1:12" ht="28.5" x14ac:dyDescent="0.2">
      <c r="A119" s="1">
        <v>74907</v>
      </c>
      <c r="B119" s="3" t="s">
        <v>76</v>
      </c>
      <c r="C119" s="2">
        <v>74</v>
      </c>
      <c r="D119" s="4">
        <v>3</v>
      </c>
      <c r="E119" s="3" t="s">
        <v>103</v>
      </c>
      <c r="F119" s="3"/>
      <c r="G119" s="12"/>
      <c r="H119" s="33" t="s">
        <v>42</v>
      </c>
      <c r="I119" s="34">
        <v>43872.630856481483</v>
      </c>
      <c r="J119" s="27"/>
      <c r="K119" s="25"/>
      <c r="L119" s="13" t="str">
        <f t="shared" si="1"/>
        <v>*</v>
      </c>
    </row>
    <row r="120" spans="1:12" ht="28.5" x14ac:dyDescent="0.2">
      <c r="A120" s="1">
        <v>74908</v>
      </c>
      <c r="B120" s="3" t="s">
        <v>74</v>
      </c>
      <c r="C120" s="2">
        <v>74</v>
      </c>
      <c r="D120" s="4">
        <v>3</v>
      </c>
      <c r="E120" s="3" t="s">
        <v>103</v>
      </c>
      <c r="F120" s="3"/>
      <c r="G120" s="12"/>
      <c r="H120" s="33" t="s">
        <v>42</v>
      </c>
      <c r="I120" s="34">
        <v>43872.630856481483</v>
      </c>
      <c r="J120" s="27"/>
      <c r="K120" s="25"/>
      <c r="L120" s="13" t="str">
        <f t="shared" si="1"/>
        <v>*</v>
      </c>
    </row>
    <row r="121" spans="1:12" ht="28.5" x14ac:dyDescent="0.2">
      <c r="A121" s="1">
        <v>74909</v>
      </c>
      <c r="B121" s="3" t="s">
        <v>69</v>
      </c>
      <c r="C121" s="2">
        <v>74</v>
      </c>
      <c r="D121" s="4">
        <v>3</v>
      </c>
      <c r="E121" s="3" t="s">
        <v>103</v>
      </c>
      <c r="F121" s="3"/>
      <c r="G121" s="12"/>
      <c r="H121" s="33" t="s">
        <v>42</v>
      </c>
      <c r="I121" s="34">
        <v>43872.630856481483</v>
      </c>
      <c r="J121" s="27"/>
      <c r="K121" s="25"/>
      <c r="L121" s="13" t="str">
        <f t="shared" si="1"/>
        <v>*</v>
      </c>
    </row>
    <row r="122" spans="1:12" ht="28.5" x14ac:dyDescent="0.2">
      <c r="A122" s="1">
        <v>74911</v>
      </c>
      <c r="B122" s="3" t="s">
        <v>65</v>
      </c>
      <c r="C122" s="2">
        <v>74</v>
      </c>
      <c r="D122" s="4">
        <v>3</v>
      </c>
      <c r="E122" s="3" t="s">
        <v>103</v>
      </c>
      <c r="F122" s="3"/>
      <c r="G122" s="12"/>
      <c r="H122" s="33" t="s">
        <v>42</v>
      </c>
      <c r="I122" s="34">
        <v>43872.630856481483</v>
      </c>
      <c r="J122" s="27"/>
      <c r="K122" s="25"/>
      <c r="L122" s="13" t="str">
        <f t="shared" si="1"/>
        <v>*</v>
      </c>
    </row>
    <row r="123" spans="1:12" ht="15" x14ac:dyDescent="0.2">
      <c r="A123" s="1">
        <v>74979</v>
      </c>
      <c r="B123" s="3" t="s">
        <v>316</v>
      </c>
      <c r="C123" s="2">
        <v>61</v>
      </c>
      <c r="D123" s="4">
        <v>8</v>
      </c>
      <c r="E123" s="3"/>
      <c r="F123" s="45" t="s">
        <v>158</v>
      </c>
      <c r="G123" s="12"/>
      <c r="H123" s="33" t="s">
        <v>60</v>
      </c>
      <c r="I123" s="34">
        <v>44155.428993055553</v>
      </c>
      <c r="J123" s="27"/>
      <c r="K123" s="25"/>
      <c r="L123" s="13" t="str">
        <f t="shared" si="1"/>
        <v>*</v>
      </c>
    </row>
    <row r="124" spans="1:12" ht="15" x14ac:dyDescent="0.2">
      <c r="A124" s="1">
        <v>75324</v>
      </c>
      <c r="B124" s="3" t="s">
        <v>11</v>
      </c>
      <c r="C124" s="2">
        <v>69</v>
      </c>
      <c r="D124" s="4">
        <v>1</v>
      </c>
      <c r="E124" s="3" t="s">
        <v>101</v>
      </c>
      <c r="F124" s="3"/>
      <c r="G124" s="12"/>
      <c r="H124" s="33" t="s">
        <v>42</v>
      </c>
      <c r="I124" s="34">
        <v>43872.630856481483</v>
      </c>
      <c r="J124" s="27"/>
      <c r="K124" s="25"/>
      <c r="L124" s="35" t="str">
        <f t="shared" si="1"/>
        <v>*</v>
      </c>
    </row>
    <row r="125" spans="1:12" ht="15" x14ac:dyDescent="0.2">
      <c r="A125" s="1">
        <v>75334</v>
      </c>
      <c r="B125" s="3" t="s">
        <v>12</v>
      </c>
      <c r="C125" s="2">
        <v>69</v>
      </c>
      <c r="D125" s="5">
        <v>1</v>
      </c>
      <c r="E125" s="3" t="s">
        <v>101</v>
      </c>
      <c r="F125" s="3" t="s">
        <v>216</v>
      </c>
      <c r="G125" s="12"/>
      <c r="H125" s="33" t="s">
        <v>219</v>
      </c>
      <c r="I125" s="34">
        <v>43962.565266203703</v>
      </c>
      <c r="J125" s="27"/>
      <c r="K125" s="25"/>
      <c r="L125" s="35" t="str">
        <f t="shared" si="1"/>
        <v>*</v>
      </c>
    </row>
    <row r="126" spans="1:12" ht="28.5" x14ac:dyDescent="0.2">
      <c r="A126" s="1">
        <v>75938</v>
      </c>
      <c r="B126" s="3" t="s">
        <v>291</v>
      </c>
      <c r="C126" s="2">
        <v>57</v>
      </c>
      <c r="D126" s="4">
        <v>15</v>
      </c>
      <c r="E126" s="3"/>
      <c r="F126" s="3" t="s">
        <v>286</v>
      </c>
      <c r="G126" s="12"/>
      <c r="H126" s="33" t="s">
        <v>42</v>
      </c>
      <c r="I126" s="34">
        <v>44035.538935185185</v>
      </c>
      <c r="J126" s="27"/>
      <c r="K126" s="25"/>
      <c r="L126" s="13" t="str">
        <f t="shared" si="1"/>
        <v>*</v>
      </c>
    </row>
    <row r="127" spans="1:12" ht="15" x14ac:dyDescent="0.2">
      <c r="A127" s="1">
        <v>76218</v>
      </c>
      <c r="B127" s="3" t="s">
        <v>80</v>
      </c>
      <c r="C127" s="2">
        <v>51</v>
      </c>
      <c r="D127" s="4">
        <v>17</v>
      </c>
      <c r="E127" s="3" t="s">
        <v>79</v>
      </c>
      <c r="F127" s="3"/>
      <c r="G127" s="12"/>
      <c r="H127" s="33" t="s">
        <v>42</v>
      </c>
      <c r="I127" s="34">
        <v>43872.630856481483</v>
      </c>
      <c r="J127" s="27"/>
      <c r="K127" s="25"/>
      <c r="L127" s="13" t="str">
        <f t="shared" si="1"/>
        <v>*</v>
      </c>
    </row>
    <row r="128" spans="1:12" ht="28.5" x14ac:dyDescent="0.2">
      <c r="A128" s="1">
        <v>76583</v>
      </c>
      <c r="B128" s="3" t="s">
        <v>9</v>
      </c>
      <c r="C128" s="2">
        <v>74</v>
      </c>
      <c r="D128" s="4">
        <v>9</v>
      </c>
      <c r="E128" s="3" t="s">
        <v>103</v>
      </c>
      <c r="F128" s="3"/>
      <c r="G128" s="12"/>
      <c r="H128" s="33" t="s">
        <v>42</v>
      </c>
      <c r="I128" s="34">
        <v>43872.630856481483</v>
      </c>
      <c r="J128" s="27"/>
      <c r="K128" s="25"/>
      <c r="L128" s="35" t="str">
        <f t="shared" si="1"/>
        <v>*</v>
      </c>
    </row>
    <row r="129" spans="1:12" ht="15" x14ac:dyDescent="0.2">
      <c r="A129" s="1">
        <v>76776</v>
      </c>
      <c r="B129" s="3" t="s">
        <v>254</v>
      </c>
      <c r="C129" s="2">
        <v>55</v>
      </c>
      <c r="D129" s="4">
        <v>19</v>
      </c>
      <c r="E129" s="3"/>
      <c r="F129" s="3" t="s">
        <v>223</v>
      </c>
      <c r="G129" s="12"/>
      <c r="H129" s="33" t="s">
        <v>42</v>
      </c>
      <c r="I129" s="34">
        <v>44013.462453703702</v>
      </c>
      <c r="J129" s="27"/>
      <c r="K129" s="25"/>
      <c r="L129" s="13" t="str">
        <f t="shared" si="1"/>
        <v>*</v>
      </c>
    </row>
    <row r="130" spans="1:12" ht="15" x14ac:dyDescent="0.2">
      <c r="A130" s="1">
        <v>76777</v>
      </c>
      <c r="B130" s="3" t="s">
        <v>252</v>
      </c>
      <c r="C130" s="2">
        <v>55</v>
      </c>
      <c r="D130" s="4">
        <v>19</v>
      </c>
      <c r="E130" s="3"/>
      <c r="F130" s="3" t="s">
        <v>223</v>
      </c>
      <c r="G130" s="12"/>
      <c r="H130" s="33" t="s">
        <v>42</v>
      </c>
      <c r="I130" s="34">
        <v>44013.462453703702</v>
      </c>
      <c r="J130" s="27"/>
      <c r="K130" s="25"/>
      <c r="L130" s="13" t="str">
        <f t="shared" si="1"/>
        <v>*</v>
      </c>
    </row>
    <row r="131" spans="1:12" ht="15" x14ac:dyDescent="0.2">
      <c r="A131" s="1">
        <v>76780</v>
      </c>
      <c r="B131" s="3" t="s">
        <v>255</v>
      </c>
      <c r="C131" s="2">
        <v>55</v>
      </c>
      <c r="D131" s="4">
        <v>19</v>
      </c>
      <c r="E131" s="3"/>
      <c r="F131" s="3" t="s">
        <v>223</v>
      </c>
      <c r="G131" s="12"/>
      <c r="H131" s="33" t="s">
        <v>42</v>
      </c>
      <c r="I131" s="34">
        <v>44013.462453703702</v>
      </c>
      <c r="J131" s="27"/>
      <c r="K131" s="25"/>
      <c r="L131" s="13" t="str">
        <f t="shared" ref="L131:L195" si="2">"*"</f>
        <v>*</v>
      </c>
    </row>
    <row r="132" spans="1:12" ht="15" x14ac:dyDescent="0.2">
      <c r="A132" s="1">
        <v>76781</v>
      </c>
      <c r="B132" s="3" t="s">
        <v>253</v>
      </c>
      <c r="C132" s="2">
        <v>55</v>
      </c>
      <c r="D132" s="4">
        <v>19</v>
      </c>
      <c r="E132" s="3"/>
      <c r="F132" s="3" t="s">
        <v>223</v>
      </c>
      <c r="G132" s="12"/>
      <c r="H132" s="33" t="s">
        <v>42</v>
      </c>
      <c r="I132" s="34">
        <v>44013.462453703702</v>
      </c>
      <c r="J132" s="27"/>
      <c r="K132" s="25"/>
      <c r="L132" s="13" t="str">
        <f t="shared" si="2"/>
        <v>*</v>
      </c>
    </row>
    <row r="133" spans="1:12" ht="199.5" x14ac:dyDescent="0.2">
      <c r="A133" s="1">
        <v>77380</v>
      </c>
      <c r="B133" s="3" t="s">
        <v>146</v>
      </c>
      <c r="C133" s="2">
        <v>72</v>
      </c>
      <c r="D133" s="4">
        <v>6</v>
      </c>
      <c r="E133" s="3"/>
      <c r="F133" s="3" t="s">
        <v>155</v>
      </c>
      <c r="G133" s="12"/>
      <c r="H133" s="33" t="s">
        <v>60</v>
      </c>
      <c r="I133" s="34">
        <v>43754.469733796293</v>
      </c>
      <c r="J133" s="27"/>
      <c r="K133" s="25"/>
      <c r="L133" s="13" t="str">
        <f t="shared" si="2"/>
        <v>*</v>
      </c>
    </row>
    <row r="134" spans="1:12" ht="28.5" x14ac:dyDescent="0.2">
      <c r="A134" s="1">
        <v>77554</v>
      </c>
      <c r="B134" s="3" t="s">
        <v>70</v>
      </c>
      <c r="C134" s="2">
        <v>74</v>
      </c>
      <c r="D134" s="4">
        <v>3</v>
      </c>
      <c r="E134" s="3" t="s">
        <v>103</v>
      </c>
      <c r="F134" s="3"/>
      <c r="G134" s="12"/>
      <c r="H134" s="33" t="s">
        <v>42</v>
      </c>
      <c r="I134" s="34">
        <v>43872.630856481483</v>
      </c>
      <c r="J134" s="27"/>
      <c r="K134" s="25"/>
      <c r="L134" s="13" t="str">
        <f t="shared" si="2"/>
        <v>*</v>
      </c>
    </row>
    <row r="135" spans="1:12" ht="28.5" x14ac:dyDescent="0.2">
      <c r="A135" s="1">
        <v>77556</v>
      </c>
      <c r="B135" s="3" t="s">
        <v>75</v>
      </c>
      <c r="C135" s="2">
        <v>74</v>
      </c>
      <c r="D135" s="4">
        <v>3</v>
      </c>
      <c r="E135" s="3" t="s">
        <v>103</v>
      </c>
      <c r="F135" s="3"/>
      <c r="G135" s="12"/>
      <c r="H135" s="33" t="s">
        <v>42</v>
      </c>
      <c r="I135" s="34">
        <v>43872.630856481483</v>
      </c>
      <c r="J135" s="27"/>
      <c r="K135" s="25"/>
      <c r="L135" s="13" t="str">
        <f t="shared" si="2"/>
        <v>*</v>
      </c>
    </row>
    <row r="136" spans="1:12" ht="28.5" x14ac:dyDescent="0.2">
      <c r="A136" s="1">
        <v>77557</v>
      </c>
      <c r="B136" s="3" t="s">
        <v>68</v>
      </c>
      <c r="C136" s="2">
        <v>74</v>
      </c>
      <c r="D136" s="4">
        <v>3</v>
      </c>
      <c r="E136" s="3" t="s">
        <v>103</v>
      </c>
      <c r="F136" s="3"/>
      <c r="G136" s="12"/>
      <c r="H136" s="33" t="s">
        <v>42</v>
      </c>
      <c r="I136" s="34">
        <v>43872.630856481483</v>
      </c>
      <c r="J136" s="27"/>
      <c r="K136" s="25"/>
      <c r="L136" s="13" t="str">
        <f t="shared" si="2"/>
        <v>*</v>
      </c>
    </row>
    <row r="137" spans="1:12" ht="57" x14ac:dyDescent="0.2">
      <c r="A137" s="1">
        <v>77562</v>
      </c>
      <c r="B137" s="3" t="s">
        <v>66</v>
      </c>
      <c r="C137" s="2">
        <v>74</v>
      </c>
      <c r="D137" s="4">
        <v>2</v>
      </c>
      <c r="E137" s="3"/>
      <c r="F137" s="3" t="s">
        <v>152</v>
      </c>
      <c r="G137" s="12"/>
      <c r="H137" s="33" t="s">
        <v>42</v>
      </c>
      <c r="I137" s="34">
        <v>43747.309513888889</v>
      </c>
      <c r="J137" s="27"/>
      <c r="K137" s="25"/>
      <c r="L137" s="13" t="str">
        <f t="shared" si="2"/>
        <v>*</v>
      </c>
    </row>
    <row r="138" spans="1:12" ht="15" x14ac:dyDescent="0.2">
      <c r="A138" s="1">
        <v>77819</v>
      </c>
      <c r="B138" s="3" t="s">
        <v>302</v>
      </c>
      <c r="C138" s="2">
        <v>52</v>
      </c>
      <c r="D138" s="4">
        <v>15</v>
      </c>
      <c r="E138" s="3"/>
      <c r="F138" s="12" t="s">
        <v>303</v>
      </c>
      <c r="G138" s="12"/>
      <c r="H138" s="33" t="s">
        <v>60</v>
      </c>
      <c r="I138" s="34">
        <v>44154.680787037039</v>
      </c>
      <c r="J138" s="27"/>
      <c r="K138" s="25"/>
      <c r="L138" s="13" t="str">
        <f t="shared" si="2"/>
        <v>*</v>
      </c>
    </row>
    <row r="139" spans="1:12" ht="15" x14ac:dyDescent="0.2">
      <c r="A139" s="1">
        <v>78509</v>
      </c>
      <c r="B139" s="3" t="s">
        <v>383</v>
      </c>
      <c r="C139" s="2">
        <v>51</v>
      </c>
      <c r="D139" s="4">
        <v>36</v>
      </c>
      <c r="E139" s="3"/>
      <c r="F139" s="3" t="s">
        <v>384</v>
      </c>
      <c r="G139" s="12"/>
      <c r="H139" s="33" t="s">
        <v>60</v>
      </c>
      <c r="I139" s="34">
        <v>44466.344467592593</v>
      </c>
      <c r="J139" s="27"/>
      <c r="K139" s="25"/>
      <c r="L139" s="13" t="str">
        <f t="shared" si="2"/>
        <v>*</v>
      </c>
    </row>
    <row r="140" spans="1:12" ht="15" x14ac:dyDescent="0.2">
      <c r="A140" s="1">
        <v>80300</v>
      </c>
      <c r="B140" s="3" t="s">
        <v>59</v>
      </c>
      <c r="C140" s="2">
        <v>74</v>
      </c>
      <c r="D140" s="4">
        <v>10</v>
      </c>
      <c r="E140" s="3" t="s">
        <v>57</v>
      </c>
      <c r="F140" s="3" t="s">
        <v>295</v>
      </c>
      <c r="G140" s="12"/>
      <c r="H140" s="33" t="s">
        <v>60</v>
      </c>
      <c r="I140" s="34">
        <v>44112.352280092593</v>
      </c>
      <c r="J140" s="27"/>
      <c r="K140" s="25"/>
      <c r="L140" s="13" t="str">
        <f t="shared" si="2"/>
        <v>*</v>
      </c>
    </row>
    <row r="141" spans="1:12" ht="15" x14ac:dyDescent="0.2">
      <c r="A141" s="1">
        <v>81370</v>
      </c>
      <c r="B141" s="3" t="s">
        <v>198</v>
      </c>
      <c r="C141" s="2">
        <v>71</v>
      </c>
      <c r="D141" s="4">
        <v>33</v>
      </c>
      <c r="E141" s="3"/>
      <c r="F141" s="3"/>
      <c r="G141" s="12" t="s">
        <v>21</v>
      </c>
      <c r="H141" s="33" t="s">
        <v>60</v>
      </c>
      <c r="I141" s="34">
        <v>43881.349328703705</v>
      </c>
      <c r="J141" s="27"/>
      <c r="K141" s="25"/>
      <c r="L141" s="13" t="str">
        <f t="shared" si="2"/>
        <v>*</v>
      </c>
    </row>
    <row r="142" spans="1:12" ht="15" x14ac:dyDescent="0.2">
      <c r="A142" s="1">
        <v>81371</v>
      </c>
      <c r="B142" s="3" t="s">
        <v>196</v>
      </c>
      <c r="C142" s="2">
        <v>71</v>
      </c>
      <c r="D142" s="4">
        <v>33</v>
      </c>
      <c r="E142" s="3"/>
      <c r="F142" s="3"/>
      <c r="G142" s="12" t="s">
        <v>21</v>
      </c>
      <c r="H142" s="33" t="s">
        <v>60</v>
      </c>
      <c r="I142" s="34">
        <v>43881.348865740743</v>
      </c>
      <c r="J142" s="27"/>
      <c r="K142" s="25"/>
      <c r="L142" s="13" t="str">
        <f t="shared" si="2"/>
        <v>*</v>
      </c>
    </row>
    <row r="143" spans="1:12" ht="28.5" x14ac:dyDescent="0.2">
      <c r="A143" s="1">
        <v>82185</v>
      </c>
      <c r="B143" s="3" t="s">
        <v>71</v>
      </c>
      <c r="C143" s="2">
        <v>74</v>
      </c>
      <c r="D143" s="4">
        <v>3</v>
      </c>
      <c r="E143" s="3" t="s">
        <v>103</v>
      </c>
      <c r="F143" s="3"/>
      <c r="G143" s="12"/>
      <c r="H143" s="33" t="s">
        <v>42</v>
      </c>
      <c r="I143" s="34">
        <v>43872.630856481483</v>
      </c>
      <c r="J143" s="27"/>
      <c r="K143" s="25"/>
      <c r="L143" s="13" t="str">
        <f t="shared" si="2"/>
        <v>*</v>
      </c>
    </row>
    <row r="144" spans="1:12" ht="28.5" x14ac:dyDescent="0.2">
      <c r="A144" s="1">
        <v>83627</v>
      </c>
      <c r="B144" s="3" t="s">
        <v>37</v>
      </c>
      <c r="C144" s="2">
        <v>45</v>
      </c>
      <c r="D144" s="4">
        <v>11</v>
      </c>
      <c r="E144" s="3"/>
      <c r="F144" s="3" t="s">
        <v>38</v>
      </c>
      <c r="G144" s="12"/>
      <c r="H144" s="33" t="s">
        <v>42</v>
      </c>
      <c r="I144" s="34">
        <v>43600.602719907409</v>
      </c>
      <c r="J144" s="27"/>
      <c r="K144" s="25"/>
      <c r="L144" s="35" t="str">
        <f t="shared" si="2"/>
        <v>*</v>
      </c>
    </row>
    <row r="145" spans="1:12" ht="15" x14ac:dyDescent="0.2">
      <c r="A145" s="1">
        <v>83838</v>
      </c>
      <c r="B145" s="3" t="s">
        <v>182</v>
      </c>
      <c r="C145" s="2">
        <v>54</v>
      </c>
      <c r="D145" s="4">
        <v>4</v>
      </c>
      <c r="E145" s="3"/>
      <c r="F145" s="3"/>
      <c r="G145" s="12" t="s">
        <v>21</v>
      </c>
      <c r="H145" s="33" t="s">
        <v>42</v>
      </c>
      <c r="I145" s="34">
        <v>43812.382337962961</v>
      </c>
      <c r="J145" s="27"/>
      <c r="K145" s="25"/>
      <c r="L145" s="13" t="str">
        <f t="shared" si="2"/>
        <v>*</v>
      </c>
    </row>
    <row r="146" spans="1:12" ht="15" x14ac:dyDescent="0.2">
      <c r="A146" s="1">
        <v>83839</v>
      </c>
      <c r="B146" s="3" t="s">
        <v>111</v>
      </c>
      <c r="C146" s="2">
        <v>54</v>
      </c>
      <c r="D146" s="4">
        <v>4</v>
      </c>
      <c r="E146" s="3"/>
      <c r="F146" s="3"/>
      <c r="G146" s="12" t="s">
        <v>21</v>
      </c>
      <c r="H146" s="33" t="s">
        <v>42</v>
      </c>
      <c r="I146" s="34">
        <v>43719.559872685182</v>
      </c>
      <c r="J146" s="27"/>
      <c r="K146" s="25"/>
      <c r="L146" s="13" t="str">
        <f t="shared" si="2"/>
        <v>*</v>
      </c>
    </row>
    <row r="147" spans="1:12" ht="15" x14ac:dyDescent="0.2">
      <c r="A147" s="1">
        <v>91250</v>
      </c>
      <c r="B147" s="3" t="s">
        <v>150</v>
      </c>
      <c r="C147" s="2">
        <v>45</v>
      </c>
      <c r="D147" s="4">
        <v>17</v>
      </c>
      <c r="E147" s="3"/>
      <c r="F147" s="3"/>
      <c r="G147" s="12" t="s">
        <v>21</v>
      </c>
      <c r="H147" s="33" t="s">
        <v>60</v>
      </c>
      <c r="I147" s="34">
        <v>43735.640879629631</v>
      </c>
      <c r="J147" s="27"/>
      <c r="K147" s="25"/>
      <c r="L147" s="13" t="str">
        <f t="shared" si="2"/>
        <v>*</v>
      </c>
    </row>
    <row r="148" spans="1:12" ht="15" x14ac:dyDescent="0.2">
      <c r="A148" s="1">
        <v>91669</v>
      </c>
      <c r="B148" s="3" t="s">
        <v>104</v>
      </c>
      <c r="C148" s="2">
        <v>72</v>
      </c>
      <c r="D148" s="4">
        <v>9</v>
      </c>
      <c r="E148" s="3"/>
      <c r="F148" s="3"/>
      <c r="G148" s="12" t="s">
        <v>21</v>
      </c>
      <c r="H148" s="33" t="s">
        <v>42</v>
      </c>
      <c r="I148" s="34">
        <v>43719.552708333336</v>
      </c>
      <c r="J148" s="27"/>
      <c r="K148" s="25"/>
      <c r="L148" s="13" t="str">
        <f t="shared" si="2"/>
        <v>*</v>
      </c>
    </row>
    <row r="149" spans="1:12" ht="15" x14ac:dyDescent="0.2">
      <c r="A149" s="1">
        <v>92111</v>
      </c>
      <c r="B149" s="3" t="s">
        <v>250</v>
      </c>
      <c r="C149" s="2">
        <v>55</v>
      </c>
      <c r="D149" s="4">
        <v>19</v>
      </c>
      <c r="E149" s="3"/>
      <c r="F149" s="3" t="s">
        <v>221</v>
      </c>
      <c r="G149" s="12"/>
      <c r="H149" s="33" t="s">
        <v>42</v>
      </c>
      <c r="I149" s="34">
        <v>44013.460925925923</v>
      </c>
      <c r="J149" s="27"/>
      <c r="K149" s="25"/>
      <c r="L149" s="13" t="str">
        <f t="shared" si="2"/>
        <v>*</v>
      </c>
    </row>
    <row r="150" spans="1:12" ht="28.5" x14ac:dyDescent="0.2">
      <c r="A150" s="1">
        <v>93453</v>
      </c>
      <c r="B150" s="3" t="s">
        <v>296</v>
      </c>
      <c r="C150" s="2">
        <v>57</v>
      </c>
      <c r="D150" s="4">
        <v>2</v>
      </c>
      <c r="E150" s="3"/>
      <c r="F150" s="3" t="s">
        <v>297</v>
      </c>
      <c r="G150" s="12"/>
      <c r="H150" s="33" t="s">
        <v>60</v>
      </c>
      <c r="I150" s="34">
        <v>44117.622743055559</v>
      </c>
      <c r="J150" s="27"/>
      <c r="K150" s="25"/>
      <c r="L150" s="13" t="str">
        <f t="shared" si="2"/>
        <v>*</v>
      </c>
    </row>
    <row r="151" spans="1:12" ht="28.5" x14ac:dyDescent="0.2">
      <c r="A151" s="1">
        <v>93454</v>
      </c>
      <c r="B151" s="3" t="s">
        <v>298</v>
      </c>
      <c r="C151" s="2">
        <v>57</v>
      </c>
      <c r="D151" s="4">
        <v>2</v>
      </c>
      <c r="E151" s="3"/>
      <c r="F151" s="3" t="s">
        <v>297</v>
      </c>
      <c r="G151" s="12"/>
      <c r="H151" s="33" t="s">
        <v>60</v>
      </c>
      <c r="I151" s="34">
        <v>44117.623402777775</v>
      </c>
      <c r="J151" s="27"/>
      <c r="K151" s="25"/>
      <c r="L151" s="13" t="str">
        <f t="shared" si="2"/>
        <v>*</v>
      </c>
    </row>
    <row r="152" spans="1:12" ht="28.5" x14ac:dyDescent="0.2">
      <c r="A152" s="1">
        <v>93456</v>
      </c>
      <c r="B152" s="3" t="s">
        <v>299</v>
      </c>
      <c r="C152" s="2">
        <v>57</v>
      </c>
      <c r="D152" s="4">
        <v>2</v>
      </c>
      <c r="E152" s="3"/>
      <c r="F152" s="3" t="s">
        <v>297</v>
      </c>
      <c r="G152" s="12"/>
      <c r="H152" s="33" t="s">
        <v>60</v>
      </c>
      <c r="I152" s="34">
        <v>44117.623923611114</v>
      </c>
      <c r="J152" s="27"/>
      <c r="K152" s="25"/>
      <c r="L152" s="13" t="str">
        <f t="shared" si="2"/>
        <v>*</v>
      </c>
    </row>
    <row r="153" spans="1:12" ht="28.5" x14ac:dyDescent="0.2">
      <c r="A153" s="1">
        <v>93461</v>
      </c>
      <c r="B153" s="3" t="s">
        <v>300</v>
      </c>
      <c r="C153" s="2">
        <v>57</v>
      </c>
      <c r="D153" s="4">
        <v>2</v>
      </c>
      <c r="E153" s="3"/>
      <c r="F153" s="3" t="s">
        <v>297</v>
      </c>
      <c r="G153" s="12"/>
      <c r="H153" s="33" t="s">
        <v>60</v>
      </c>
      <c r="I153" s="34">
        <v>44117.624212962961</v>
      </c>
      <c r="J153" s="27"/>
      <c r="K153" s="25"/>
      <c r="L153" s="13" t="str">
        <f t="shared" si="2"/>
        <v>*</v>
      </c>
    </row>
    <row r="154" spans="1:12" ht="28.5" x14ac:dyDescent="0.2">
      <c r="A154" s="1">
        <v>93462</v>
      </c>
      <c r="B154" s="3" t="s">
        <v>301</v>
      </c>
      <c r="C154" s="2">
        <v>57</v>
      </c>
      <c r="D154" s="4">
        <v>2</v>
      </c>
      <c r="E154" s="3"/>
      <c r="F154" s="3" t="s">
        <v>297</v>
      </c>
      <c r="G154" s="12"/>
      <c r="H154" s="33" t="s">
        <v>60</v>
      </c>
      <c r="I154" s="34">
        <v>44117.624571759261</v>
      </c>
      <c r="J154" s="27"/>
      <c r="K154" s="25"/>
      <c r="L154" s="13" t="str">
        <f t="shared" si="2"/>
        <v>*</v>
      </c>
    </row>
    <row r="155" spans="1:12" ht="28.5" x14ac:dyDescent="0.2">
      <c r="A155" s="1">
        <v>95513</v>
      </c>
      <c r="B155" s="3" t="s">
        <v>256</v>
      </c>
      <c r="C155" s="2">
        <v>55</v>
      </c>
      <c r="D155" s="4">
        <v>19</v>
      </c>
      <c r="E155" s="3"/>
      <c r="F155" s="3" t="s">
        <v>221</v>
      </c>
      <c r="G155" s="12"/>
      <c r="H155" s="33" t="s">
        <v>42</v>
      </c>
      <c r="I155" s="34">
        <v>44013.462453703702</v>
      </c>
      <c r="J155" s="27"/>
      <c r="K155" s="25"/>
      <c r="L155" s="13" t="str">
        <f t="shared" si="2"/>
        <v>*</v>
      </c>
    </row>
    <row r="156" spans="1:12" ht="15" x14ac:dyDescent="0.2">
      <c r="A156" s="1">
        <v>96516</v>
      </c>
      <c r="B156" s="3" t="s">
        <v>120</v>
      </c>
      <c r="C156" s="2">
        <v>54</v>
      </c>
      <c r="D156" s="4">
        <v>4</v>
      </c>
      <c r="E156" s="3"/>
      <c r="F156" s="3"/>
      <c r="G156" s="12" t="s">
        <v>31</v>
      </c>
      <c r="H156" s="33" t="s">
        <v>42</v>
      </c>
      <c r="I156" s="34">
        <v>43719.562893518516</v>
      </c>
      <c r="J156" s="27"/>
      <c r="K156" s="25"/>
      <c r="L156" s="13" t="str">
        <f t="shared" si="2"/>
        <v>*</v>
      </c>
    </row>
    <row r="157" spans="1:12" ht="15" x14ac:dyDescent="0.2">
      <c r="A157" s="1">
        <v>98080</v>
      </c>
      <c r="B157" s="3" t="s">
        <v>119</v>
      </c>
      <c r="C157" s="2">
        <v>54</v>
      </c>
      <c r="D157" s="4">
        <v>19</v>
      </c>
      <c r="E157" s="3"/>
      <c r="F157" s="3"/>
      <c r="G157" s="12" t="s">
        <v>31</v>
      </c>
      <c r="H157" s="33" t="s">
        <v>42</v>
      </c>
      <c r="I157" s="34">
        <v>43719.562893518516</v>
      </c>
      <c r="J157" s="27"/>
      <c r="K157" s="25"/>
      <c r="L157" s="13" t="str">
        <f t="shared" si="2"/>
        <v>*</v>
      </c>
    </row>
    <row r="158" spans="1:12" ht="28.5" x14ac:dyDescent="0.2">
      <c r="A158" s="1">
        <v>98702</v>
      </c>
      <c r="B158" s="3" t="s">
        <v>55</v>
      </c>
      <c r="C158" s="2">
        <v>51</v>
      </c>
      <c r="D158" s="4">
        <v>24</v>
      </c>
      <c r="E158" s="3" t="s">
        <v>101</v>
      </c>
      <c r="F158" s="3"/>
      <c r="G158" s="12"/>
      <c r="H158" s="33" t="s">
        <v>42</v>
      </c>
      <c r="I158" s="34">
        <v>43872.630856481483</v>
      </c>
      <c r="J158" s="27"/>
      <c r="K158" s="25"/>
      <c r="L158" s="13" t="str">
        <f t="shared" si="2"/>
        <v>*</v>
      </c>
    </row>
    <row r="159" spans="1:12" ht="28.5" x14ac:dyDescent="0.2">
      <c r="A159" s="1">
        <v>99787</v>
      </c>
      <c r="B159" s="3" t="s">
        <v>210</v>
      </c>
      <c r="C159" s="2">
        <v>55</v>
      </c>
      <c r="D159" s="4">
        <v>32</v>
      </c>
      <c r="E159" s="3"/>
      <c r="F159" s="3" t="s">
        <v>211</v>
      </c>
      <c r="G159" s="12"/>
      <c r="H159" s="33" t="s">
        <v>60</v>
      </c>
      <c r="I159" s="34">
        <v>43882.589398148149</v>
      </c>
      <c r="J159" s="27"/>
      <c r="K159" s="25"/>
      <c r="L159" s="13" t="str">
        <f t="shared" si="2"/>
        <v>*</v>
      </c>
    </row>
    <row r="160" spans="1:12" ht="28.5" x14ac:dyDescent="0.2">
      <c r="A160" s="1">
        <v>99810</v>
      </c>
      <c r="B160" s="3" t="s">
        <v>240</v>
      </c>
      <c r="C160" s="2">
        <v>55</v>
      </c>
      <c r="D160" s="4">
        <v>19</v>
      </c>
      <c r="E160" s="3"/>
      <c r="F160" s="3" t="s">
        <v>223</v>
      </c>
      <c r="G160" s="12"/>
      <c r="H160" s="33" t="s">
        <v>42</v>
      </c>
      <c r="I160" s="34">
        <v>44013.45826388889</v>
      </c>
      <c r="J160" s="27"/>
      <c r="K160" s="25"/>
      <c r="L160" s="13" t="str">
        <f t="shared" si="2"/>
        <v>*</v>
      </c>
    </row>
    <row r="161" spans="1:12" ht="15" x14ac:dyDescent="0.2">
      <c r="A161" s="1">
        <v>100362</v>
      </c>
      <c r="B161" s="3" t="s">
        <v>193</v>
      </c>
      <c r="C161" s="2">
        <v>51</v>
      </c>
      <c r="D161" s="4">
        <v>3</v>
      </c>
      <c r="E161" s="3" t="s">
        <v>194</v>
      </c>
      <c r="F161" s="3"/>
      <c r="G161" s="12"/>
      <c r="H161" s="33" t="s">
        <v>42</v>
      </c>
      <c r="I161" s="34">
        <v>43879.30673611111</v>
      </c>
      <c r="J161" s="27">
        <v>9</v>
      </c>
      <c r="K161" s="25"/>
      <c r="L161" s="13" t="str">
        <f t="shared" si="2"/>
        <v>*</v>
      </c>
    </row>
    <row r="162" spans="1:12" ht="57" x14ac:dyDescent="0.2">
      <c r="A162" s="1">
        <v>100802</v>
      </c>
      <c r="B162" s="3" t="s">
        <v>319</v>
      </c>
      <c r="C162" s="2">
        <v>61</v>
      </c>
      <c r="D162" s="4">
        <v>9</v>
      </c>
      <c r="E162" s="3"/>
      <c r="F162" s="3" t="s">
        <v>395</v>
      </c>
      <c r="G162" s="12"/>
      <c r="H162" s="33" t="s">
        <v>219</v>
      </c>
      <c r="I162" s="34">
        <v>45132.637870370374</v>
      </c>
      <c r="J162" s="27"/>
      <c r="K162" s="25"/>
      <c r="L162" s="13" t="str">
        <f t="shared" si="2"/>
        <v>*</v>
      </c>
    </row>
    <row r="163" spans="1:12" ht="28.5" x14ac:dyDescent="0.2">
      <c r="A163" s="1">
        <v>101917</v>
      </c>
      <c r="B163" s="3" t="s">
        <v>239</v>
      </c>
      <c r="C163" s="2">
        <v>55</v>
      </c>
      <c r="D163" s="4">
        <v>19</v>
      </c>
      <c r="E163" s="3"/>
      <c r="F163" s="3" t="s">
        <v>223</v>
      </c>
      <c r="G163" s="12"/>
      <c r="H163" s="33" t="s">
        <v>42</v>
      </c>
      <c r="I163" s="34">
        <v>44013.458124999997</v>
      </c>
      <c r="J163" s="27"/>
      <c r="K163" s="25"/>
      <c r="L163" s="13" t="str">
        <f t="shared" si="2"/>
        <v>*</v>
      </c>
    </row>
    <row r="164" spans="1:12" ht="15" x14ac:dyDescent="0.2">
      <c r="A164" s="1">
        <v>102588</v>
      </c>
      <c r="B164" s="3" t="s">
        <v>393</v>
      </c>
      <c r="C164" s="2">
        <v>61</v>
      </c>
      <c r="D164" s="4">
        <v>11</v>
      </c>
      <c r="E164" s="3"/>
      <c r="F164" s="3" t="s">
        <v>394</v>
      </c>
      <c r="G164" s="12"/>
      <c r="H164" s="33" t="s">
        <v>60</v>
      </c>
      <c r="I164" s="34">
        <v>44547.365555555552</v>
      </c>
      <c r="J164" s="27"/>
      <c r="K164" s="25"/>
      <c r="L164" s="13" t="str">
        <f t="shared" si="2"/>
        <v>*</v>
      </c>
    </row>
    <row r="165" spans="1:12" ht="28.5" x14ac:dyDescent="0.2">
      <c r="A165" s="1">
        <v>102723</v>
      </c>
      <c r="B165" s="3" t="s">
        <v>401</v>
      </c>
      <c r="C165" s="2">
        <v>69</v>
      </c>
      <c r="D165" s="4">
        <v>5</v>
      </c>
      <c r="E165" s="3"/>
      <c r="F165" s="3" t="s">
        <v>402</v>
      </c>
      <c r="G165" s="12"/>
      <c r="H165" s="33" t="s">
        <v>219</v>
      </c>
      <c r="I165" s="34">
        <v>45174.588310185187</v>
      </c>
      <c r="J165" s="27"/>
      <c r="K165" s="25"/>
      <c r="L165" s="13" t="str">
        <f>"*"</f>
        <v>*</v>
      </c>
    </row>
    <row r="166" spans="1:12" ht="28.5" x14ac:dyDescent="0.2">
      <c r="A166" s="1">
        <v>102791</v>
      </c>
      <c r="B166" s="3" t="s">
        <v>242</v>
      </c>
      <c r="C166" s="2">
        <v>55</v>
      </c>
      <c r="D166" s="4">
        <v>19</v>
      </c>
      <c r="E166" s="3"/>
      <c r="F166" s="3" t="s">
        <v>221</v>
      </c>
      <c r="G166" s="12"/>
      <c r="H166" s="33" t="s">
        <v>42</v>
      </c>
      <c r="I166" s="34">
        <v>44013.459374999999</v>
      </c>
      <c r="J166" s="27"/>
      <c r="K166" s="25"/>
      <c r="L166" s="13" t="str">
        <f t="shared" si="2"/>
        <v>*</v>
      </c>
    </row>
    <row r="167" spans="1:12" ht="15" x14ac:dyDescent="0.2">
      <c r="A167" s="1">
        <v>102922</v>
      </c>
      <c r="B167" s="3" t="s">
        <v>381</v>
      </c>
      <c r="C167" s="2">
        <v>72</v>
      </c>
      <c r="D167" s="4">
        <v>10</v>
      </c>
      <c r="E167" s="3"/>
      <c r="F167" s="3"/>
      <c r="G167" s="12" t="s">
        <v>31</v>
      </c>
      <c r="H167" s="33" t="s">
        <v>60</v>
      </c>
      <c r="I167" s="34">
        <v>44399.401307870372</v>
      </c>
      <c r="J167" s="27"/>
      <c r="K167" s="25"/>
      <c r="L167" s="13" t="str">
        <f t="shared" si="2"/>
        <v>*</v>
      </c>
    </row>
    <row r="168" spans="1:12" ht="28.5" x14ac:dyDescent="0.2">
      <c r="A168" s="1">
        <v>103251</v>
      </c>
      <c r="B168" s="3" t="s">
        <v>251</v>
      </c>
      <c r="C168" s="2">
        <v>55</v>
      </c>
      <c r="D168" s="4">
        <v>19</v>
      </c>
      <c r="E168" s="3"/>
      <c r="F168" s="3" t="s">
        <v>223</v>
      </c>
      <c r="G168" s="12"/>
      <c r="H168" s="33" t="s">
        <v>42</v>
      </c>
      <c r="I168" s="34">
        <v>44013.462453703702</v>
      </c>
      <c r="J168" s="27"/>
      <c r="K168" s="25"/>
      <c r="L168" s="13" t="str">
        <f t="shared" si="2"/>
        <v>*</v>
      </c>
    </row>
    <row r="169" spans="1:12" ht="28.5" x14ac:dyDescent="0.2">
      <c r="A169" s="1">
        <v>105293</v>
      </c>
      <c r="B169" s="3" t="s">
        <v>396</v>
      </c>
      <c r="C169" s="2">
        <v>51</v>
      </c>
      <c r="D169" s="4">
        <v>11</v>
      </c>
      <c r="E169" s="3"/>
      <c r="F169" s="3" t="s">
        <v>397</v>
      </c>
      <c r="G169" s="12"/>
      <c r="H169" s="33" t="s">
        <v>219</v>
      </c>
      <c r="I169" s="34">
        <v>45142.582083333335</v>
      </c>
      <c r="J169" s="27"/>
      <c r="K169" s="25"/>
      <c r="L169" s="13" t="str">
        <f t="shared" si="2"/>
        <v>*</v>
      </c>
    </row>
    <row r="170" spans="1:12" ht="15" x14ac:dyDescent="0.2">
      <c r="A170" s="1">
        <v>106038</v>
      </c>
      <c r="B170" s="3" t="s">
        <v>387</v>
      </c>
      <c r="C170" s="2">
        <v>60</v>
      </c>
      <c r="D170" s="4">
        <v>21</v>
      </c>
      <c r="E170" s="3"/>
      <c r="F170" s="3" t="s">
        <v>386</v>
      </c>
      <c r="G170" s="12"/>
      <c r="H170" s="33" t="s">
        <v>60</v>
      </c>
      <c r="I170" s="34">
        <v>44466.431504629632</v>
      </c>
      <c r="J170" s="27"/>
      <c r="K170" s="25"/>
      <c r="L170" s="13" t="str">
        <f t="shared" si="2"/>
        <v>*</v>
      </c>
    </row>
    <row r="171" spans="1:12" ht="15" x14ac:dyDescent="0.2">
      <c r="A171" s="1">
        <v>106375</v>
      </c>
      <c r="B171" s="3" t="s">
        <v>77</v>
      </c>
      <c r="C171" s="2">
        <v>51</v>
      </c>
      <c r="D171" s="4">
        <v>17</v>
      </c>
      <c r="E171" s="3" t="s">
        <v>79</v>
      </c>
      <c r="F171" s="3"/>
      <c r="G171" s="12"/>
      <c r="H171" s="33" t="s">
        <v>42</v>
      </c>
      <c r="I171" s="34">
        <v>43872.630856481483</v>
      </c>
      <c r="J171" s="27"/>
      <c r="K171" s="25"/>
      <c r="L171" s="13" t="str">
        <f t="shared" si="2"/>
        <v>*</v>
      </c>
    </row>
    <row r="172" spans="1:12" ht="15" x14ac:dyDescent="0.2">
      <c r="A172" s="1">
        <v>106376</v>
      </c>
      <c r="B172" s="3" t="s">
        <v>43</v>
      </c>
      <c r="C172" s="2">
        <v>51</v>
      </c>
      <c r="D172" s="4">
        <v>17</v>
      </c>
      <c r="E172" s="3" t="s">
        <v>79</v>
      </c>
      <c r="F172" s="3"/>
      <c r="G172" s="12"/>
      <c r="H172" s="33" t="s">
        <v>42</v>
      </c>
      <c r="I172" s="34">
        <v>43872.630856481483</v>
      </c>
      <c r="J172" s="27"/>
      <c r="K172" s="25"/>
      <c r="L172" s="13" t="str">
        <f t="shared" si="2"/>
        <v>*</v>
      </c>
    </row>
    <row r="173" spans="1:12" ht="15" x14ac:dyDescent="0.2">
      <c r="A173" s="1">
        <v>107401</v>
      </c>
      <c r="B173" s="3" t="s">
        <v>389</v>
      </c>
      <c r="C173" s="2">
        <v>61</v>
      </c>
      <c r="D173" s="4">
        <v>8</v>
      </c>
      <c r="E173" s="3"/>
      <c r="F173" s="3" t="s">
        <v>158</v>
      </c>
      <c r="G173" s="12"/>
      <c r="H173" s="33" t="s">
        <v>60</v>
      </c>
      <c r="I173" s="34">
        <v>44466.482592592591</v>
      </c>
      <c r="J173" s="27"/>
      <c r="K173" s="25"/>
      <c r="L173" s="13" t="str">
        <f t="shared" si="2"/>
        <v>*</v>
      </c>
    </row>
    <row r="174" spans="1:12" ht="28.5" x14ac:dyDescent="0.2">
      <c r="A174" s="1">
        <v>108463</v>
      </c>
      <c r="B174" s="3" t="s">
        <v>234</v>
      </c>
      <c r="C174" s="2">
        <v>55</v>
      </c>
      <c r="D174" s="4">
        <v>19</v>
      </c>
      <c r="E174" s="3"/>
      <c r="F174" s="3" t="s">
        <v>221</v>
      </c>
      <c r="G174" s="12"/>
      <c r="H174" s="33" t="s">
        <v>42</v>
      </c>
      <c r="I174" s="34">
        <v>44013.457499999997</v>
      </c>
      <c r="J174" s="27"/>
      <c r="K174" s="25"/>
      <c r="L174" s="13" t="str">
        <f t="shared" si="2"/>
        <v>*</v>
      </c>
    </row>
    <row r="175" spans="1:12" ht="42.75" x14ac:dyDescent="0.2">
      <c r="A175" s="1">
        <v>109944</v>
      </c>
      <c r="B175" s="3" t="s">
        <v>49</v>
      </c>
      <c r="C175" s="2">
        <v>74</v>
      </c>
      <c r="D175" s="4">
        <v>8</v>
      </c>
      <c r="E175" s="3" t="s">
        <v>101</v>
      </c>
      <c r="F175" s="3"/>
      <c r="G175" s="12"/>
      <c r="H175" s="33" t="s">
        <v>42</v>
      </c>
      <c r="I175" s="34">
        <v>43872.630856481483</v>
      </c>
      <c r="J175" s="27"/>
      <c r="K175" s="25"/>
      <c r="L175" s="13" t="str">
        <f t="shared" si="2"/>
        <v>*</v>
      </c>
    </row>
    <row r="176" spans="1:12" ht="15" x14ac:dyDescent="0.2">
      <c r="A176" s="1">
        <v>110578</v>
      </c>
      <c r="B176" s="3" t="s">
        <v>110</v>
      </c>
      <c r="C176" s="2">
        <v>72</v>
      </c>
      <c r="D176" s="4">
        <v>9</v>
      </c>
      <c r="E176" s="3"/>
      <c r="F176" s="3"/>
      <c r="G176" s="12" t="s">
        <v>31</v>
      </c>
      <c r="H176" s="33" t="s">
        <v>60</v>
      </c>
      <c r="I176" s="34">
        <v>44361.612349537034</v>
      </c>
      <c r="J176" s="27"/>
      <c r="K176" s="25"/>
      <c r="L176" s="13" t="str">
        <f t="shared" si="2"/>
        <v>*</v>
      </c>
    </row>
    <row r="177" spans="1:12" ht="28.5" x14ac:dyDescent="0.2">
      <c r="A177" s="1">
        <v>110889</v>
      </c>
      <c r="B177" s="3" t="s">
        <v>228</v>
      </c>
      <c r="C177" s="2">
        <v>55</v>
      </c>
      <c r="D177" s="4">
        <v>19</v>
      </c>
      <c r="E177" s="3"/>
      <c r="F177" s="3" t="s">
        <v>221</v>
      </c>
      <c r="G177" s="12"/>
      <c r="H177" s="33" t="s">
        <v>42</v>
      </c>
      <c r="I177" s="34">
        <v>44013.456666666665</v>
      </c>
      <c r="J177" s="27"/>
      <c r="K177" s="25"/>
      <c r="L177" s="13" t="str">
        <f t="shared" si="2"/>
        <v>*</v>
      </c>
    </row>
    <row r="178" spans="1:12" ht="28.5" x14ac:dyDescent="0.2">
      <c r="A178" s="1">
        <v>110890</v>
      </c>
      <c r="B178" s="3" t="s">
        <v>220</v>
      </c>
      <c r="C178" s="2">
        <v>55</v>
      </c>
      <c r="D178" s="4">
        <v>19</v>
      </c>
      <c r="E178" s="3"/>
      <c r="F178" s="3" t="s">
        <v>221</v>
      </c>
      <c r="G178" s="12"/>
      <c r="H178" s="33" t="s">
        <v>42</v>
      </c>
      <c r="I178" s="34">
        <v>44013.455648148149</v>
      </c>
      <c r="J178" s="27"/>
      <c r="K178" s="25"/>
      <c r="L178" s="13" t="str">
        <f t="shared" si="2"/>
        <v>*</v>
      </c>
    </row>
    <row r="179" spans="1:12" ht="28.5" x14ac:dyDescent="0.2">
      <c r="A179" s="1">
        <v>110891</v>
      </c>
      <c r="B179" s="3" t="s">
        <v>236</v>
      </c>
      <c r="C179" s="2">
        <v>55</v>
      </c>
      <c r="D179" s="4">
        <v>19</v>
      </c>
      <c r="E179" s="3"/>
      <c r="F179" s="3" t="s">
        <v>221</v>
      </c>
      <c r="G179" s="12"/>
      <c r="H179" s="33" t="s">
        <v>42</v>
      </c>
      <c r="I179" s="34">
        <v>44013.458124999997</v>
      </c>
      <c r="J179" s="27"/>
      <c r="K179" s="25"/>
      <c r="L179" s="13" t="str">
        <f t="shared" si="2"/>
        <v>*</v>
      </c>
    </row>
    <row r="180" spans="1:12" ht="28.5" x14ac:dyDescent="0.2">
      <c r="A180" s="1">
        <v>112965</v>
      </c>
      <c r="B180" s="3" t="s">
        <v>235</v>
      </c>
      <c r="C180" s="2">
        <v>55</v>
      </c>
      <c r="D180" s="4">
        <v>19</v>
      </c>
      <c r="E180" s="3"/>
      <c r="F180" s="3" t="s">
        <v>221</v>
      </c>
      <c r="G180" s="12"/>
      <c r="H180" s="33" t="s">
        <v>42</v>
      </c>
      <c r="I180" s="34">
        <v>44013.458124999997</v>
      </c>
      <c r="J180" s="27"/>
      <c r="K180" s="25"/>
      <c r="L180" s="13" t="str">
        <f t="shared" si="2"/>
        <v>*</v>
      </c>
    </row>
    <row r="181" spans="1:12" ht="15" x14ac:dyDescent="0.2">
      <c r="A181" s="1">
        <v>113846</v>
      </c>
      <c r="B181" s="3" t="s">
        <v>97</v>
      </c>
      <c r="C181" s="2">
        <v>51</v>
      </c>
      <c r="D181" s="4">
        <v>19</v>
      </c>
      <c r="E181" s="3"/>
      <c r="F181" s="3" t="s">
        <v>293</v>
      </c>
      <c r="G181" s="12"/>
      <c r="H181" s="33" t="s">
        <v>60</v>
      </c>
      <c r="I181" s="34">
        <v>44067.476111111115</v>
      </c>
      <c r="J181" s="27">
        <v>18</v>
      </c>
      <c r="K181" s="25"/>
      <c r="L181" s="13" t="str">
        <f t="shared" si="2"/>
        <v>*</v>
      </c>
    </row>
    <row r="182" spans="1:12" ht="42.75" x14ac:dyDescent="0.2">
      <c r="A182" s="1">
        <v>114297</v>
      </c>
      <c r="B182" s="3" t="s">
        <v>81</v>
      </c>
      <c r="C182" s="2">
        <v>51</v>
      </c>
      <c r="D182" s="4">
        <v>17</v>
      </c>
      <c r="E182" s="3" t="s">
        <v>79</v>
      </c>
      <c r="F182" s="3"/>
      <c r="G182" s="12"/>
      <c r="H182" s="33" t="s">
        <v>42</v>
      </c>
      <c r="I182" s="34">
        <v>43872.630856481483</v>
      </c>
      <c r="J182" s="27"/>
      <c r="K182" s="25"/>
      <c r="L182" s="13" t="str">
        <f t="shared" si="2"/>
        <v>*</v>
      </c>
    </row>
    <row r="183" spans="1:12" ht="42.75" x14ac:dyDescent="0.2">
      <c r="A183" s="1">
        <v>114299</v>
      </c>
      <c r="B183" s="3" t="s">
        <v>82</v>
      </c>
      <c r="C183" s="2">
        <v>51</v>
      </c>
      <c r="D183" s="4">
        <v>17</v>
      </c>
      <c r="E183" s="3" t="s">
        <v>79</v>
      </c>
      <c r="F183" s="3"/>
      <c r="G183" s="12"/>
      <c r="H183" s="33" t="s">
        <v>42</v>
      </c>
      <c r="I183" s="34">
        <v>43872.630856481483</v>
      </c>
      <c r="J183" s="27"/>
      <c r="K183" s="25"/>
      <c r="L183" s="13" t="str">
        <f t="shared" si="2"/>
        <v>*</v>
      </c>
    </row>
    <row r="184" spans="1:12" ht="28.5" x14ac:dyDescent="0.2">
      <c r="A184" s="1">
        <v>114852</v>
      </c>
      <c r="B184" s="3" t="s">
        <v>72</v>
      </c>
      <c r="C184" s="2">
        <v>74</v>
      </c>
      <c r="D184" s="4">
        <v>3</v>
      </c>
      <c r="E184" s="3" t="s">
        <v>103</v>
      </c>
      <c r="F184" s="3"/>
      <c r="G184" s="12"/>
      <c r="H184" s="33" t="s">
        <v>42</v>
      </c>
      <c r="I184" s="34">
        <v>43872.630856481483</v>
      </c>
      <c r="J184" s="27"/>
      <c r="K184" s="25"/>
      <c r="L184" s="13" t="str">
        <f t="shared" si="2"/>
        <v>*</v>
      </c>
    </row>
    <row r="185" spans="1:12" ht="28.5" x14ac:dyDescent="0.2">
      <c r="A185" s="1">
        <v>114853</v>
      </c>
      <c r="B185" s="3" t="s">
        <v>73</v>
      </c>
      <c r="C185" s="2">
        <v>74</v>
      </c>
      <c r="D185" s="4">
        <v>3</v>
      </c>
      <c r="E185" s="3" t="s">
        <v>103</v>
      </c>
      <c r="F185" s="3"/>
      <c r="G185" s="12"/>
      <c r="H185" s="33" t="s">
        <v>42</v>
      </c>
      <c r="I185" s="34">
        <v>43872.630856481483</v>
      </c>
      <c r="J185" s="27"/>
      <c r="K185" s="25"/>
      <c r="L185" s="13" t="str">
        <f t="shared" si="2"/>
        <v>*</v>
      </c>
    </row>
    <row r="186" spans="1:12" ht="28.5" x14ac:dyDescent="0.2">
      <c r="A186" s="1">
        <v>114976</v>
      </c>
      <c r="B186" s="3" t="s">
        <v>230</v>
      </c>
      <c r="C186" s="2">
        <v>55</v>
      </c>
      <c r="D186" s="4">
        <v>19</v>
      </c>
      <c r="E186" s="3"/>
      <c r="F186" s="3" t="s">
        <v>221</v>
      </c>
      <c r="G186" s="12"/>
      <c r="H186" s="33" t="s">
        <v>42</v>
      </c>
      <c r="I186" s="34">
        <v>44013.457499999997</v>
      </c>
      <c r="J186" s="27"/>
      <c r="K186" s="25"/>
      <c r="L186" s="13" t="str">
        <f t="shared" si="2"/>
        <v>*</v>
      </c>
    </row>
    <row r="187" spans="1:12" ht="42.75" x14ac:dyDescent="0.2">
      <c r="A187" s="1">
        <v>115282</v>
      </c>
      <c r="B187" s="3" t="s">
        <v>325</v>
      </c>
      <c r="C187" s="2">
        <v>73</v>
      </c>
      <c r="D187" s="4">
        <v>10</v>
      </c>
      <c r="E187" s="3"/>
      <c r="F187" s="3" t="s">
        <v>326</v>
      </c>
      <c r="G187" s="12"/>
      <c r="H187" s="33" t="s">
        <v>60</v>
      </c>
      <c r="I187" s="34">
        <v>44314.421689814815</v>
      </c>
      <c r="J187" s="27"/>
      <c r="K187" s="25"/>
      <c r="L187" s="13" t="str">
        <f t="shared" si="2"/>
        <v>*</v>
      </c>
    </row>
    <row r="188" spans="1:12" ht="15" x14ac:dyDescent="0.2">
      <c r="A188" s="1">
        <v>115807</v>
      </c>
      <c r="B188" s="3" t="s">
        <v>13</v>
      </c>
      <c r="C188" s="2">
        <v>69</v>
      </c>
      <c r="D188" s="5">
        <v>1</v>
      </c>
      <c r="E188" s="3" t="s">
        <v>101</v>
      </c>
      <c r="F188" s="3" t="s">
        <v>217</v>
      </c>
      <c r="G188" s="12"/>
      <c r="H188" s="33" t="s">
        <v>219</v>
      </c>
      <c r="I188" s="34">
        <v>43962.565266203703</v>
      </c>
      <c r="J188" s="27"/>
      <c r="K188" s="25"/>
      <c r="L188" s="35" t="str">
        <f t="shared" si="2"/>
        <v>*</v>
      </c>
    </row>
    <row r="189" spans="1:12" ht="28.5" x14ac:dyDescent="0.2">
      <c r="A189" s="1">
        <v>118427</v>
      </c>
      <c r="B189" s="3" t="s">
        <v>36</v>
      </c>
      <c r="C189" s="2">
        <v>74</v>
      </c>
      <c r="D189" s="4">
        <v>2</v>
      </c>
      <c r="E189" s="3" t="s">
        <v>103</v>
      </c>
      <c r="F189" s="3"/>
      <c r="G189" s="12"/>
      <c r="H189" s="33" t="s">
        <v>42</v>
      </c>
      <c r="I189" s="34">
        <v>43872.630856481483</v>
      </c>
      <c r="J189" s="27"/>
      <c r="K189" s="25"/>
      <c r="L189" s="35" t="str">
        <f t="shared" si="2"/>
        <v>*</v>
      </c>
    </row>
    <row r="190" spans="1:12" ht="20.100000000000001" hidden="1" customHeight="1" x14ac:dyDescent="0.2">
      <c r="A190" s="1">
        <v>118515</v>
      </c>
      <c r="B190" s="3" t="s">
        <v>359</v>
      </c>
      <c r="C190" s="2">
        <v>51</v>
      </c>
      <c r="D190" s="4">
        <v>21</v>
      </c>
      <c r="E190" s="3"/>
      <c r="F190" s="3" t="s">
        <v>400</v>
      </c>
      <c r="G190" s="12"/>
      <c r="H190" s="33" t="s">
        <v>219</v>
      </c>
      <c r="I190" s="34">
        <v>45149.384618055556</v>
      </c>
      <c r="J190" s="27"/>
      <c r="K190" s="25"/>
      <c r="L190" s="13" t="str">
        <f t="shared" si="2"/>
        <v>*</v>
      </c>
    </row>
    <row r="191" spans="1:12" ht="20.100000000000001" hidden="1" customHeight="1" x14ac:dyDescent="0.2">
      <c r="A191" s="1">
        <v>118577</v>
      </c>
      <c r="B191" s="3" t="s">
        <v>360</v>
      </c>
      <c r="C191" s="2">
        <v>51</v>
      </c>
      <c r="D191" s="4">
        <v>21</v>
      </c>
      <c r="E191" s="3"/>
      <c r="F191" s="3" t="s">
        <v>400</v>
      </c>
      <c r="G191" s="12"/>
      <c r="H191" s="33" t="s">
        <v>219</v>
      </c>
      <c r="I191" s="34">
        <v>45149.384618055556</v>
      </c>
      <c r="J191" s="27"/>
      <c r="K191" s="25"/>
      <c r="L191" s="13" t="str">
        <f t="shared" si="2"/>
        <v>*</v>
      </c>
    </row>
    <row r="192" spans="1:12" ht="28.5" hidden="1" x14ac:dyDescent="0.2">
      <c r="A192" s="1">
        <v>118660</v>
      </c>
      <c r="B192" s="3" t="s">
        <v>129</v>
      </c>
      <c r="C192" s="2">
        <v>45</v>
      </c>
      <c r="D192" s="4">
        <v>29</v>
      </c>
      <c r="E192" s="3"/>
      <c r="F192" s="3" t="s">
        <v>149</v>
      </c>
      <c r="G192" s="12" t="s">
        <v>21</v>
      </c>
      <c r="H192" s="33" t="s">
        <v>60</v>
      </c>
      <c r="I192" s="34">
        <v>43735.639768518522</v>
      </c>
      <c r="J192" s="27"/>
      <c r="K192" s="25"/>
      <c r="L192" s="13" t="str">
        <f t="shared" si="2"/>
        <v>*</v>
      </c>
    </row>
    <row r="193" spans="1:12" ht="28.5" hidden="1" x14ac:dyDescent="0.2">
      <c r="A193" s="1">
        <v>119554</v>
      </c>
      <c r="B193" s="3" t="s">
        <v>14</v>
      </c>
      <c r="C193" s="2">
        <v>74</v>
      </c>
      <c r="D193" s="4">
        <v>9</v>
      </c>
      <c r="E193" s="3" t="s">
        <v>101</v>
      </c>
      <c r="F193" s="3" t="s">
        <v>392</v>
      </c>
      <c r="G193" s="12"/>
      <c r="H193" s="33" t="s">
        <v>60</v>
      </c>
      <c r="I193" s="34">
        <v>44512.675208333334</v>
      </c>
      <c r="J193" s="27"/>
      <c r="K193" s="25"/>
      <c r="L193" s="35" t="str">
        <f t="shared" si="2"/>
        <v>*</v>
      </c>
    </row>
    <row r="194" spans="1:12" ht="28.5" hidden="1" x14ac:dyDescent="0.2">
      <c r="A194" s="1">
        <v>119621</v>
      </c>
      <c r="B194" s="3" t="s">
        <v>15</v>
      </c>
      <c r="C194" s="2">
        <v>74</v>
      </c>
      <c r="D194" s="4">
        <v>9</v>
      </c>
      <c r="E194" s="3" t="s">
        <v>101</v>
      </c>
      <c r="F194" s="3" t="s">
        <v>218</v>
      </c>
      <c r="G194" s="12"/>
      <c r="H194" s="33" t="s">
        <v>219</v>
      </c>
      <c r="I194" s="34">
        <v>43962.565266203703</v>
      </c>
      <c r="J194" s="27"/>
      <c r="K194" s="25"/>
      <c r="L194" s="35" t="str">
        <f t="shared" si="2"/>
        <v>*</v>
      </c>
    </row>
    <row r="195" spans="1:12" ht="28.5" hidden="1" x14ac:dyDescent="0.2">
      <c r="A195" s="1">
        <v>119627</v>
      </c>
      <c r="B195" s="3" t="s">
        <v>225</v>
      </c>
      <c r="C195" s="2">
        <v>55</v>
      </c>
      <c r="D195" s="4">
        <v>19</v>
      </c>
      <c r="E195" s="3"/>
      <c r="F195" s="3" t="s">
        <v>223</v>
      </c>
      <c r="G195" s="12"/>
      <c r="H195" s="33" t="s">
        <v>42</v>
      </c>
      <c r="I195" s="34">
        <v>44013.45590277778</v>
      </c>
      <c r="J195" s="27"/>
      <c r="K195" s="25"/>
      <c r="L195" s="13" t="str">
        <f t="shared" si="2"/>
        <v>*</v>
      </c>
    </row>
    <row r="196" spans="1:12" ht="28.5" hidden="1" x14ac:dyDescent="0.2">
      <c r="A196" s="1">
        <v>119628</v>
      </c>
      <c r="B196" s="3" t="s">
        <v>233</v>
      </c>
      <c r="C196" s="2">
        <v>55</v>
      </c>
      <c r="D196" s="4">
        <v>19</v>
      </c>
      <c r="E196" s="3"/>
      <c r="F196" s="3" t="s">
        <v>221</v>
      </c>
      <c r="G196" s="12"/>
      <c r="H196" s="33" t="s">
        <v>42</v>
      </c>
      <c r="I196" s="34">
        <v>44013.457499999997</v>
      </c>
      <c r="J196" s="27"/>
      <c r="K196" s="25"/>
      <c r="L196" s="13" t="str">
        <f t="shared" ref="L196:L259" si="3">"*"</f>
        <v>*</v>
      </c>
    </row>
    <row r="197" spans="1:12" ht="128.25" hidden="1" x14ac:dyDescent="0.2">
      <c r="A197" s="1">
        <v>122818</v>
      </c>
      <c r="B197" s="12" t="s">
        <v>156</v>
      </c>
      <c r="C197" s="2">
        <v>51</v>
      </c>
      <c r="D197" s="4">
        <v>21</v>
      </c>
      <c r="E197" s="3"/>
      <c r="F197" s="3" t="s">
        <v>259</v>
      </c>
      <c r="G197" s="12"/>
      <c r="H197" s="33" t="s">
        <v>260</v>
      </c>
      <c r="I197" s="34">
        <v>44014.471134259256</v>
      </c>
      <c r="J197" s="27"/>
      <c r="K197" s="25"/>
      <c r="L197" s="13" t="str">
        <f t="shared" si="3"/>
        <v>*</v>
      </c>
    </row>
    <row r="198" spans="1:12" ht="20.100000000000001" hidden="1" customHeight="1" x14ac:dyDescent="0.2">
      <c r="A198" s="1">
        <v>123146</v>
      </c>
      <c r="B198" s="3" t="s">
        <v>98</v>
      </c>
      <c r="C198" s="2">
        <v>51</v>
      </c>
      <c r="D198" s="4">
        <v>4</v>
      </c>
      <c r="E198" s="3"/>
      <c r="F198" s="3"/>
      <c r="G198" s="12"/>
      <c r="H198" s="33" t="s">
        <v>42</v>
      </c>
      <c r="I198" s="34">
        <v>43698.455833333333</v>
      </c>
      <c r="J198" s="27">
        <v>9</v>
      </c>
      <c r="K198" s="25"/>
      <c r="L198" s="13" t="str">
        <f t="shared" si="3"/>
        <v>*</v>
      </c>
    </row>
    <row r="199" spans="1:12" ht="28.5" hidden="1" x14ac:dyDescent="0.2">
      <c r="A199" s="1">
        <v>123370</v>
      </c>
      <c r="B199" s="3" t="s">
        <v>229</v>
      </c>
      <c r="C199" s="2">
        <v>55</v>
      </c>
      <c r="D199" s="4">
        <v>19</v>
      </c>
      <c r="E199" s="3"/>
      <c r="F199" s="3" t="s">
        <v>221</v>
      </c>
      <c r="G199" s="12"/>
      <c r="H199" s="33" t="s">
        <v>42</v>
      </c>
      <c r="I199" s="34">
        <v>44013.457499999997</v>
      </c>
      <c r="J199" s="27"/>
      <c r="K199" s="25"/>
      <c r="L199" s="13" t="str">
        <f t="shared" si="3"/>
        <v>*</v>
      </c>
    </row>
    <row r="200" spans="1:12" ht="28.5" hidden="1" x14ac:dyDescent="0.2">
      <c r="A200" s="1">
        <v>123371</v>
      </c>
      <c r="B200" s="3" t="s">
        <v>226</v>
      </c>
      <c r="C200" s="2">
        <v>55</v>
      </c>
      <c r="D200" s="4">
        <v>19</v>
      </c>
      <c r="E200" s="3"/>
      <c r="F200" s="3" t="s">
        <v>221</v>
      </c>
      <c r="G200" s="12"/>
      <c r="H200" s="33" t="s">
        <v>42</v>
      </c>
      <c r="I200" s="34">
        <v>44013.456134259257</v>
      </c>
      <c r="J200" s="27"/>
      <c r="K200" s="25"/>
      <c r="L200" s="13" t="str">
        <f t="shared" si="3"/>
        <v>*</v>
      </c>
    </row>
    <row r="201" spans="1:12" ht="28.5" hidden="1" x14ac:dyDescent="0.2">
      <c r="A201" s="1">
        <v>123372</v>
      </c>
      <c r="B201" s="3" t="s">
        <v>237</v>
      </c>
      <c r="C201" s="2">
        <v>55</v>
      </c>
      <c r="D201" s="4">
        <v>19</v>
      </c>
      <c r="E201" s="3"/>
      <c r="F201" s="3" t="s">
        <v>221</v>
      </c>
      <c r="G201" s="12"/>
      <c r="H201" s="33" t="s">
        <v>42</v>
      </c>
      <c r="I201" s="34">
        <v>44013.458124999997</v>
      </c>
      <c r="J201" s="27"/>
      <c r="K201" s="25"/>
      <c r="L201" s="13" t="str">
        <f t="shared" si="3"/>
        <v>*</v>
      </c>
    </row>
    <row r="202" spans="1:12" ht="28.5" hidden="1" x14ac:dyDescent="0.2">
      <c r="A202" s="1">
        <v>123373</v>
      </c>
      <c r="B202" s="3" t="s">
        <v>238</v>
      </c>
      <c r="C202" s="2">
        <v>55</v>
      </c>
      <c r="D202" s="4">
        <v>19</v>
      </c>
      <c r="E202" s="3"/>
      <c r="F202" s="3" t="s">
        <v>221</v>
      </c>
      <c r="G202" s="12"/>
      <c r="H202" s="33" t="s">
        <v>42</v>
      </c>
      <c r="I202" s="34">
        <v>44013.458124999997</v>
      </c>
      <c r="J202" s="27"/>
      <c r="K202" s="25"/>
      <c r="L202" s="13" t="str">
        <f t="shared" si="3"/>
        <v>*</v>
      </c>
    </row>
    <row r="203" spans="1:12" ht="28.5" hidden="1" x14ac:dyDescent="0.2">
      <c r="A203" s="1">
        <v>124261</v>
      </c>
      <c r="B203" s="3" t="s">
        <v>292</v>
      </c>
      <c r="C203" s="2">
        <v>57</v>
      </c>
      <c r="D203" s="4">
        <v>15</v>
      </c>
      <c r="E203" s="3"/>
      <c r="F203" s="3" t="s">
        <v>286</v>
      </c>
      <c r="G203" s="12"/>
      <c r="H203" s="33" t="s">
        <v>42</v>
      </c>
      <c r="I203" s="34">
        <v>44035.538935185185</v>
      </c>
      <c r="J203" s="27"/>
      <c r="K203" s="25"/>
      <c r="L203" s="13" t="str">
        <f t="shared" si="3"/>
        <v>*</v>
      </c>
    </row>
    <row r="204" spans="1:12" ht="57" hidden="1" x14ac:dyDescent="0.2">
      <c r="A204" s="1">
        <v>124335</v>
      </c>
      <c r="B204" s="3" t="s">
        <v>46</v>
      </c>
      <c r="C204" s="2">
        <v>55</v>
      </c>
      <c r="D204" s="4">
        <v>49</v>
      </c>
      <c r="E204" s="3" t="s">
        <v>128</v>
      </c>
      <c r="F204" s="3"/>
      <c r="G204" s="12"/>
      <c r="H204" s="33" t="s">
        <v>42</v>
      </c>
      <c r="I204" s="34">
        <v>43872.630856481483</v>
      </c>
      <c r="J204" s="27"/>
      <c r="K204" s="25"/>
      <c r="L204" s="13" t="str">
        <f t="shared" si="3"/>
        <v>*</v>
      </c>
    </row>
    <row r="205" spans="1:12" ht="28.5" hidden="1" x14ac:dyDescent="0.2">
      <c r="A205" s="1">
        <v>124980</v>
      </c>
      <c r="B205" s="3" t="s">
        <v>241</v>
      </c>
      <c r="C205" s="2">
        <v>55</v>
      </c>
      <c r="D205" s="4">
        <v>19</v>
      </c>
      <c r="E205" s="3"/>
      <c r="F205" s="3" t="s">
        <v>221</v>
      </c>
      <c r="G205" s="12"/>
      <c r="H205" s="33" t="s">
        <v>42</v>
      </c>
      <c r="I205" s="34">
        <v>44013.459178240744</v>
      </c>
      <c r="J205" s="27"/>
      <c r="K205" s="25"/>
      <c r="L205" s="13" t="str">
        <f t="shared" si="3"/>
        <v>*</v>
      </c>
    </row>
    <row r="206" spans="1:12" ht="128.25" hidden="1" x14ac:dyDescent="0.2">
      <c r="A206" s="1">
        <v>125262</v>
      </c>
      <c r="B206" s="3" t="s">
        <v>157</v>
      </c>
      <c r="C206" s="2">
        <v>51</v>
      </c>
      <c r="D206" s="4">
        <v>21</v>
      </c>
      <c r="E206" s="3"/>
      <c r="F206" s="3" t="s">
        <v>259</v>
      </c>
      <c r="G206" s="12"/>
      <c r="H206" s="33" t="s">
        <v>260</v>
      </c>
      <c r="I206" s="34">
        <v>44014.471319444441</v>
      </c>
      <c r="J206" s="27"/>
      <c r="K206" s="25"/>
      <c r="L206" s="13" t="str">
        <f t="shared" si="3"/>
        <v>*</v>
      </c>
    </row>
    <row r="207" spans="1:12" ht="20.100000000000001" hidden="1" customHeight="1" x14ac:dyDescent="0.2">
      <c r="A207" s="1">
        <v>125269</v>
      </c>
      <c r="B207" s="3" t="s">
        <v>388</v>
      </c>
      <c r="C207" s="2">
        <v>60</v>
      </c>
      <c r="D207" s="4">
        <v>21</v>
      </c>
      <c r="E207" s="3"/>
      <c r="F207" s="3" t="s">
        <v>386</v>
      </c>
      <c r="G207" s="12"/>
      <c r="H207" s="33" t="s">
        <v>60</v>
      </c>
      <c r="I207" s="34">
        <v>44466.431631944448</v>
      </c>
      <c r="J207" s="27"/>
      <c r="K207" s="25"/>
      <c r="L207" s="13" t="str">
        <f t="shared" si="3"/>
        <v>*</v>
      </c>
    </row>
    <row r="208" spans="1:12" ht="20.100000000000001" hidden="1" customHeight="1" x14ac:dyDescent="0.2">
      <c r="A208" s="1">
        <v>126345</v>
      </c>
      <c r="B208" s="3" t="s">
        <v>294</v>
      </c>
      <c r="C208" s="2">
        <v>89</v>
      </c>
      <c r="D208" s="4">
        <v>7</v>
      </c>
      <c r="E208" s="3"/>
      <c r="F208" s="3"/>
      <c r="G208" s="12" t="s">
        <v>31</v>
      </c>
      <c r="H208" s="33" t="s">
        <v>60</v>
      </c>
      <c r="I208" s="34">
        <v>44074.58326388889</v>
      </c>
      <c r="J208" s="27"/>
      <c r="K208" s="25"/>
      <c r="L208" s="13" t="str">
        <f t="shared" si="3"/>
        <v>*</v>
      </c>
    </row>
    <row r="209" spans="1:12" ht="20.100000000000001" hidden="1" customHeight="1" x14ac:dyDescent="0.2">
      <c r="A209" s="1">
        <v>127664</v>
      </c>
      <c r="B209" s="3" t="s">
        <v>96</v>
      </c>
      <c r="C209" s="2">
        <v>71</v>
      </c>
      <c r="D209" s="4">
        <v>34</v>
      </c>
      <c r="E209" s="3"/>
      <c r="F209" s="3"/>
      <c r="G209" s="12" t="s">
        <v>31</v>
      </c>
      <c r="H209" s="33" t="s">
        <v>42</v>
      </c>
      <c r="I209" s="34">
        <v>43676.472696759258</v>
      </c>
      <c r="J209" s="27"/>
      <c r="K209" s="25"/>
      <c r="L209" s="13" t="str">
        <f t="shared" si="3"/>
        <v>*</v>
      </c>
    </row>
    <row r="210" spans="1:12" ht="28.5" hidden="1" x14ac:dyDescent="0.2">
      <c r="A210" s="1">
        <v>129959</v>
      </c>
      <c r="B210" s="3" t="s">
        <v>227</v>
      </c>
      <c r="C210" s="2">
        <v>55</v>
      </c>
      <c r="D210" s="4">
        <v>19</v>
      </c>
      <c r="E210" s="3"/>
      <c r="F210" s="3" t="s">
        <v>221</v>
      </c>
      <c r="G210" s="12"/>
      <c r="H210" s="33" t="s">
        <v>42</v>
      </c>
      <c r="I210" s="34">
        <v>44013.456666666665</v>
      </c>
      <c r="J210" s="27"/>
      <c r="K210" s="25"/>
      <c r="L210" s="13" t="str">
        <f t="shared" si="3"/>
        <v>*</v>
      </c>
    </row>
    <row r="211" spans="1:12" ht="28.5" hidden="1" x14ac:dyDescent="0.2">
      <c r="A211" s="1">
        <v>129960</v>
      </c>
      <c r="B211" s="3" t="s">
        <v>231</v>
      </c>
      <c r="C211" s="2">
        <v>55</v>
      </c>
      <c r="D211" s="4">
        <v>19</v>
      </c>
      <c r="E211" s="3"/>
      <c r="F211" s="3" t="s">
        <v>221</v>
      </c>
      <c r="G211" s="12"/>
      <c r="H211" s="33" t="s">
        <v>42</v>
      </c>
      <c r="I211" s="34">
        <v>44013.457499999997</v>
      </c>
      <c r="J211" s="27"/>
      <c r="K211" s="25"/>
      <c r="L211" s="13" t="str">
        <f t="shared" si="3"/>
        <v>*</v>
      </c>
    </row>
    <row r="212" spans="1:12" ht="20.100000000000001" hidden="1" customHeight="1" x14ac:dyDescent="0.2">
      <c r="A212" s="1">
        <v>130024</v>
      </c>
      <c r="B212" s="3" t="s">
        <v>117</v>
      </c>
      <c r="C212" s="2">
        <v>52</v>
      </c>
      <c r="D212" s="4">
        <v>8</v>
      </c>
      <c r="E212" s="3"/>
      <c r="F212" s="3"/>
      <c r="G212" s="12" t="s">
        <v>31</v>
      </c>
      <c r="H212" s="33" t="s">
        <v>42</v>
      </c>
      <c r="I212" s="34">
        <v>43719.559872685182</v>
      </c>
      <c r="J212" s="27"/>
      <c r="K212" s="25"/>
      <c r="L212" s="13" t="str">
        <f t="shared" si="3"/>
        <v>*</v>
      </c>
    </row>
    <row r="213" spans="1:12" ht="142.5" hidden="1" x14ac:dyDescent="0.2">
      <c r="A213" s="1">
        <v>131926</v>
      </c>
      <c r="B213" s="3" t="s">
        <v>136</v>
      </c>
      <c r="C213" s="2">
        <v>45</v>
      </c>
      <c r="D213" s="4">
        <v>9</v>
      </c>
      <c r="E213" s="3"/>
      <c r="F213" s="3" t="s">
        <v>199</v>
      </c>
      <c r="G213" s="12"/>
      <c r="H213" s="33" t="s">
        <v>60</v>
      </c>
      <c r="I213" s="34">
        <v>43881.713437500002</v>
      </c>
      <c r="J213" s="27"/>
      <c r="K213" s="25"/>
      <c r="L213" s="13" t="str">
        <f t="shared" si="3"/>
        <v>*</v>
      </c>
    </row>
    <row r="214" spans="1:12" ht="142.5" hidden="1" x14ac:dyDescent="0.2">
      <c r="A214" s="1">
        <v>131927</v>
      </c>
      <c r="B214" s="3" t="s">
        <v>137</v>
      </c>
      <c r="C214" s="2">
        <v>45</v>
      </c>
      <c r="D214" s="4">
        <v>9</v>
      </c>
      <c r="E214" s="3"/>
      <c r="F214" s="3" t="s">
        <v>199</v>
      </c>
      <c r="G214" s="12"/>
      <c r="H214" s="33" t="s">
        <v>60</v>
      </c>
      <c r="I214" s="34">
        <v>43881.713437500002</v>
      </c>
      <c r="J214" s="27"/>
      <c r="K214" s="25"/>
      <c r="L214" s="13" t="str">
        <f t="shared" si="3"/>
        <v>*</v>
      </c>
    </row>
    <row r="215" spans="1:12" ht="20.100000000000001" hidden="1" customHeight="1" x14ac:dyDescent="0.2">
      <c r="A215" s="1">
        <v>131931</v>
      </c>
      <c r="B215" s="3" t="s">
        <v>204</v>
      </c>
      <c r="C215" s="2">
        <v>45</v>
      </c>
      <c r="D215" s="4">
        <v>9</v>
      </c>
      <c r="E215" s="3"/>
      <c r="F215" s="3" t="s">
        <v>205</v>
      </c>
      <c r="G215" s="12"/>
      <c r="H215" s="33" t="s">
        <v>60</v>
      </c>
      <c r="I215" s="34">
        <v>43882.422858796293</v>
      </c>
      <c r="J215" s="27"/>
      <c r="K215" s="25"/>
      <c r="L215" s="13" t="str">
        <f t="shared" si="3"/>
        <v>*</v>
      </c>
    </row>
    <row r="216" spans="1:12" ht="28.5" hidden="1" x14ac:dyDescent="0.2">
      <c r="A216" s="1">
        <v>132229</v>
      </c>
      <c r="B216" s="3" t="s">
        <v>243</v>
      </c>
      <c r="C216" s="2">
        <v>55</v>
      </c>
      <c r="D216" s="4">
        <v>19</v>
      </c>
      <c r="E216" s="3"/>
      <c r="F216" s="3" t="s">
        <v>221</v>
      </c>
      <c r="G216" s="12"/>
      <c r="H216" s="33" t="s">
        <v>42</v>
      </c>
      <c r="I216" s="34">
        <v>44013.459907407407</v>
      </c>
      <c r="J216" s="27"/>
      <c r="K216" s="25"/>
      <c r="L216" s="13" t="str">
        <f t="shared" si="3"/>
        <v>*</v>
      </c>
    </row>
    <row r="217" spans="1:12" ht="28.5" hidden="1" x14ac:dyDescent="0.2">
      <c r="A217" s="1">
        <v>132230</v>
      </c>
      <c r="B217" s="3" t="s">
        <v>244</v>
      </c>
      <c r="C217" s="2">
        <v>55</v>
      </c>
      <c r="D217" s="4">
        <v>19</v>
      </c>
      <c r="E217" s="3"/>
      <c r="F217" s="3" t="s">
        <v>221</v>
      </c>
      <c r="G217" s="12"/>
      <c r="H217" s="33" t="s">
        <v>42</v>
      </c>
      <c r="I217" s="34">
        <v>44013.460092592592</v>
      </c>
      <c r="J217" s="27"/>
      <c r="K217" s="25"/>
      <c r="L217" s="13" t="str">
        <f t="shared" si="3"/>
        <v>*</v>
      </c>
    </row>
    <row r="218" spans="1:12" ht="28.5" hidden="1" x14ac:dyDescent="0.2">
      <c r="A218" s="1">
        <v>132231</v>
      </c>
      <c r="B218" s="3" t="s">
        <v>232</v>
      </c>
      <c r="C218" s="2">
        <v>55</v>
      </c>
      <c r="D218" s="4">
        <v>19</v>
      </c>
      <c r="E218" s="3"/>
      <c r="F218" s="3" t="s">
        <v>221</v>
      </c>
      <c r="G218" s="12"/>
      <c r="H218" s="33" t="s">
        <v>42</v>
      </c>
      <c r="I218" s="34">
        <v>44013.457499999997</v>
      </c>
      <c r="J218" s="27"/>
      <c r="K218" s="25"/>
      <c r="L218" s="13" t="str">
        <f t="shared" si="3"/>
        <v>*</v>
      </c>
    </row>
    <row r="219" spans="1:12" ht="42.75" hidden="1" x14ac:dyDescent="0.2">
      <c r="A219" s="1">
        <v>132299</v>
      </c>
      <c r="B219" s="3" t="s">
        <v>382</v>
      </c>
      <c r="C219" s="2">
        <v>45</v>
      </c>
      <c r="D219" s="4">
        <v>16</v>
      </c>
      <c r="E219" s="3"/>
      <c r="F219" s="46" t="s">
        <v>205</v>
      </c>
      <c r="G219" s="12" t="s">
        <v>21</v>
      </c>
      <c r="H219" s="33" t="s">
        <v>60</v>
      </c>
      <c r="I219" s="34">
        <v>44455.464641203704</v>
      </c>
      <c r="J219" s="27"/>
      <c r="K219" s="25"/>
      <c r="L219" s="13" t="str">
        <f t="shared" si="3"/>
        <v>*</v>
      </c>
    </row>
    <row r="220" spans="1:12" ht="142.5" hidden="1" x14ac:dyDescent="0.2">
      <c r="A220" s="1">
        <v>132300</v>
      </c>
      <c r="B220" s="3" t="s">
        <v>144</v>
      </c>
      <c r="C220" s="2">
        <v>45</v>
      </c>
      <c r="D220" s="4">
        <v>16</v>
      </c>
      <c r="E220" s="3"/>
      <c r="F220" s="3" t="s">
        <v>199</v>
      </c>
      <c r="G220" s="12"/>
      <c r="H220" s="33" t="s">
        <v>60</v>
      </c>
      <c r="I220" s="34">
        <v>43881.713437500002</v>
      </c>
      <c r="J220" s="27"/>
      <c r="K220" s="25"/>
      <c r="L220" s="13" t="str">
        <f t="shared" si="3"/>
        <v>*</v>
      </c>
    </row>
    <row r="221" spans="1:12" ht="28.5" hidden="1" x14ac:dyDescent="0.2">
      <c r="A221" s="1">
        <v>132308</v>
      </c>
      <c r="B221" s="3" t="s">
        <v>348</v>
      </c>
      <c r="C221" s="2">
        <v>45</v>
      </c>
      <c r="D221" s="4">
        <v>9</v>
      </c>
      <c r="E221" s="3"/>
      <c r="F221" s="3" t="s">
        <v>349</v>
      </c>
      <c r="G221" s="12"/>
      <c r="H221" s="33" t="s">
        <v>60</v>
      </c>
      <c r="I221" s="34">
        <v>44375.605439814812</v>
      </c>
      <c r="J221" s="27"/>
      <c r="K221" s="25"/>
      <c r="L221" s="13" t="str">
        <f t="shared" si="3"/>
        <v>*</v>
      </c>
    </row>
    <row r="222" spans="1:12" ht="28.5" hidden="1" x14ac:dyDescent="0.2">
      <c r="A222" s="1">
        <v>132394</v>
      </c>
      <c r="B222" s="3" t="s">
        <v>334</v>
      </c>
      <c r="C222" s="2">
        <v>45</v>
      </c>
      <c r="D222" s="4">
        <v>14</v>
      </c>
      <c r="E222" s="3"/>
      <c r="F222" s="3" t="s">
        <v>335</v>
      </c>
      <c r="G222" s="12"/>
      <c r="H222" s="33" t="s">
        <v>60</v>
      </c>
      <c r="I222" s="34">
        <v>44372.563020833331</v>
      </c>
      <c r="J222" s="27"/>
      <c r="K222" s="25"/>
      <c r="L222" s="13" t="str">
        <f t="shared" si="3"/>
        <v>*</v>
      </c>
    </row>
    <row r="223" spans="1:12" ht="42.75" hidden="1" x14ac:dyDescent="0.2">
      <c r="A223" s="1">
        <v>132395</v>
      </c>
      <c r="B223" s="3" t="s">
        <v>336</v>
      </c>
      <c r="C223" s="2">
        <v>45</v>
      </c>
      <c r="D223" s="4">
        <v>14</v>
      </c>
      <c r="E223" s="3"/>
      <c r="F223" s="3" t="s">
        <v>335</v>
      </c>
      <c r="G223" s="12"/>
      <c r="H223" s="33" t="s">
        <v>60</v>
      </c>
      <c r="I223" s="34">
        <v>44372.563275462962</v>
      </c>
      <c r="J223" s="27"/>
      <c r="K223" s="25"/>
      <c r="L223" s="13" t="str">
        <f t="shared" si="3"/>
        <v>*</v>
      </c>
    </row>
    <row r="224" spans="1:12" ht="20.100000000000001" hidden="1" customHeight="1" x14ac:dyDescent="0.2">
      <c r="A224" s="1">
        <v>132400</v>
      </c>
      <c r="B224" s="3" t="s">
        <v>197</v>
      </c>
      <c r="C224" s="2">
        <v>71</v>
      </c>
      <c r="D224" s="4">
        <v>33</v>
      </c>
      <c r="E224" s="3"/>
      <c r="F224" s="3"/>
      <c r="G224" s="12" t="s">
        <v>21</v>
      </c>
      <c r="H224" s="33" t="s">
        <v>60</v>
      </c>
      <c r="I224" s="34">
        <v>43881.349016203705</v>
      </c>
      <c r="J224" s="27"/>
      <c r="K224" s="25"/>
      <c r="L224" s="13" t="str">
        <f t="shared" si="3"/>
        <v>*</v>
      </c>
    </row>
    <row r="225" spans="1:12" ht="42.75" hidden="1" x14ac:dyDescent="0.2">
      <c r="A225" s="1">
        <v>132623</v>
      </c>
      <c r="B225" s="3" t="s">
        <v>185</v>
      </c>
      <c r="C225" s="2">
        <v>51</v>
      </c>
      <c r="D225" s="4">
        <v>35</v>
      </c>
      <c r="E225" s="3"/>
      <c r="F225" s="3"/>
      <c r="G225" s="12" t="s">
        <v>21</v>
      </c>
      <c r="H225" s="33" t="s">
        <v>42</v>
      </c>
      <c r="I225" s="34">
        <v>43872.600810185184</v>
      </c>
      <c r="J225" s="27"/>
      <c r="K225" s="25"/>
      <c r="L225" s="13" t="str">
        <f t="shared" si="3"/>
        <v>*</v>
      </c>
    </row>
    <row r="226" spans="1:12" ht="20.100000000000001" hidden="1" customHeight="1" x14ac:dyDescent="0.2">
      <c r="A226" s="1">
        <v>132646</v>
      </c>
      <c r="B226" s="3" t="s">
        <v>139</v>
      </c>
      <c r="C226" s="2">
        <v>45</v>
      </c>
      <c r="D226" s="4">
        <v>10</v>
      </c>
      <c r="E226" s="3"/>
      <c r="F226" s="3" t="s">
        <v>207</v>
      </c>
      <c r="G226" s="12"/>
      <c r="H226" s="33" t="s">
        <v>219</v>
      </c>
      <c r="I226" s="34">
        <v>44820.498854166668</v>
      </c>
      <c r="J226" s="27"/>
      <c r="K226" s="25"/>
      <c r="L226" s="13" t="str">
        <f t="shared" si="3"/>
        <v>*</v>
      </c>
    </row>
    <row r="227" spans="1:12" ht="20.100000000000001" hidden="1" customHeight="1" x14ac:dyDescent="0.2">
      <c r="A227" s="1">
        <v>132647</v>
      </c>
      <c r="B227" s="3" t="s">
        <v>140</v>
      </c>
      <c r="C227" s="2">
        <v>45</v>
      </c>
      <c r="D227" s="4">
        <v>10</v>
      </c>
      <c r="E227" s="3"/>
      <c r="F227" s="3" t="s">
        <v>207</v>
      </c>
      <c r="G227" s="12"/>
      <c r="H227" s="33" t="s">
        <v>219</v>
      </c>
      <c r="I227" s="34">
        <v>44820.498854166668</v>
      </c>
      <c r="J227" s="27"/>
      <c r="K227" s="25"/>
      <c r="L227" s="13" t="str">
        <f t="shared" si="3"/>
        <v>*</v>
      </c>
    </row>
    <row r="228" spans="1:12" ht="20.100000000000001" hidden="1" customHeight="1" x14ac:dyDescent="0.2">
      <c r="A228" s="1">
        <v>132649</v>
      </c>
      <c r="B228" s="3" t="s">
        <v>141</v>
      </c>
      <c r="C228" s="2">
        <v>45</v>
      </c>
      <c r="D228" s="4">
        <v>10</v>
      </c>
      <c r="E228" s="3"/>
      <c r="F228" s="3" t="s">
        <v>207</v>
      </c>
      <c r="G228" s="12"/>
      <c r="H228" s="33" t="s">
        <v>219</v>
      </c>
      <c r="I228" s="34">
        <v>44820.498854166668</v>
      </c>
      <c r="J228" s="27"/>
      <c r="K228" s="25"/>
      <c r="L228" s="13" t="str">
        <f t="shared" si="3"/>
        <v>*</v>
      </c>
    </row>
    <row r="229" spans="1:12" ht="57" hidden="1" x14ac:dyDescent="0.2">
      <c r="A229" s="1">
        <v>134246</v>
      </c>
      <c r="B229" s="3" t="s">
        <v>4</v>
      </c>
      <c r="C229" s="2">
        <v>51</v>
      </c>
      <c r="D229" s="4">
        <v>2</v>
      </c>
      <c r="E229" s="3" t="s">
        <v>188</v>
      </c>
      <c r="F229" s="3"/>
      <c r="G229" s="12"/>
      <c r="H229" s="33" t="s">
        <v>42</v>
      </c>
      <c r="I229" s="34">
        <v>43872.632384259261</v>
      </c>
      <c r="J229" s="27"/>
      <c r="K229" s="25" t="s">
        <v>184</v>
      </c>
      <c r="L229" s="35" t="str">
        <f t="shared" si="3"/>
        <v>*</v>
      </c>
    </row>
    <row r="230" spans="1:12" ht="85.5" hidden="1" x14ac:dyDescent="0.2">
      <c r="A230" s="1">
        <v>134247</v>
      </c>
      <c r="B230" s="3" t="s">
        <v>5</v>
      </c>
      <c r="C230" s="2">
        <v>51</v>
      </c>
      <c r="D230" s="4">
        <v>2</v>
      </c>
      <c r="E230" s="3" t="s">
        <v>188</v>
      </c>
      <c r="F230" s="3"/>
      <c r="G230" s="12"/>
      <c r="H230" s="33" t="s">
        <v>42</v>
      </c>
      <c r="I230" s="34">
        <v>43872.632384259261</v>
      </c>
      <c r="J230" s="27"/>
      <c r="K230" s="25" t="s">
        <v>184</v>
      </c>
      <c r="L230" s="35" t="str">
        <f t="shared" si="3"/>
        <v>*</v>
      </c>
    </row>
    <row r="231" spans="1:12" ht="114" hidden="1" x14ac:dyDescent="0.2">
      <c r="A231" s="1">
        <v>134373</v>
      </c>
      <c r="B231" s="3" t="s">
        <v>50</v>
      </c>
      <c r="C231" s="2">
        <v>55</v>
      </c>
      <c r="D231" s="4">
        <v>66</v>
      </c>
      <c r="E231" s="3"/>
      <c r="F231" s="3" t="s">
        <v>54</v>
      </c>
      <c r="G231" s="12"/>
      <c r="H231" s="33" t="s">
        <v>42</v>
      </c>
      <c r="I231" s="34">
        <v>43622.63962962963</v>
      </c>
      <c r="J231" s="27"/>
      <c r="K231" s="25"/>
      <c r="L231" s="13" t="str">
        <f t="shared" si="3"/>
        <v>*</v>
      </c>
    </row>
    <row r="232" spans="1:12" ht="71.25" hidden="1" x14ac:dyDescent="0.2">
      <c r="A232" s="1">
        <v>135088</v>
      </c>
      <c r="B232" s="3" t="s">
        <v>53</v>
      </c>
      <c r="C232" s="2">
        <v>55</v>
      </c>
      <c r="D232" s="4">
        <v>66</v>
      </c>
      <c r="E232" s="3"/>
      <c r="F232" s="3" t="s">
        <v>51</v>
      </c>
      <c r="G232" s="12"/>
      <c r="H232" s="33" t="s">
        <v>42</v>
      </c>
      <c r="I232" s="34">
        <v>43622.637314814812</v>
      </c>
      <c r="J232" s="27"/>
      <c r="K232" s="25"/>
      <c r="L232" s="13" t="str">
        <f t="shared" si="3"/>
        <v>*</v>
      </c>
    </row>
    <row r="233" spans="1:12" ht="28.5" hidden="1" x14ac:dyDescent="0.2">
      <c r="A233" s="1">
        <v>135225</v>
      </c>
      <c r="B233" s="3" t="s">
        <v>352</v>
      </c>
      <c r="C233" s="2">
        <v>76</v>
      </c>
      <c r="D233" s="4">
        <v>10</v>
      </c>
      <c r="E233" s="3"/>
      <c r="F233" s="3" t="s">
        <v>353</v>
      </c>
      <c r="G233" s="12"/>
      <c r="H233" s="33" t="s">
        <v>60</v>
      </c>
      <c r="I233" s="34">
        <v>44375.606886574074</v>
      </c>
      <c r="J233" s="27"/>
      <c r="K233" s="25"/>
      <c r="L233" s="13" t="str">
        <f t="shared" si="3"/>
        <v>*</v>
      </c>
    </row>
    <row r="234" spans="1:12" ht="28.5" hidden="1" x14ac:dyDescent="0.2">
      <c r="A234" s="1">
        <v>135226</v>
      </c>
      <c r="B234" s="3" t="s">
        <v>354</v>
      </c>
      <c r="C234" s="2">
        <v>76</v>
      </c>
      <c r="D234" s="4">
        <v>10</v>
      </c>
      <c r="E234" s="3"/>
      <c r="F234" s="3" t="s">
        <v>355</v>
      </c>
      <c r="G234" s="12"/>
      <c r="H234" s="33" t="s">
        <v>60</v>
      </c>
      <c r="I234" s="34">
        <v>44375.607557870368</v>
      </c>
      <c r="J234" s="27"/>
      <c r="K234" s="25"/>
      <c r="L234" s="13" t="str">
        <f t="shared" si="3"/>
        <v>*</v>
      </c>
    </row>
    <row r="235" spans="1:12" ht="128.25" hidden="1" x14ac:dyDescent="0.2">
      <c r="A235" s="1">
        <v>135297</v>
      </c>
      <c r="B235" s="3" t="s">
        <v>200</v>
      </c>
      <c r="C235" s="2">
        <v>45</v>
      </c>
      <c r="D235" s="4">
        <v>9</v>
      </c>
      <c r="E235" s="3"/>
      <c r="F235" s="3" t="s">
        <v>201</v>
      </c>
      <c r="G235" s="12"/>
      <c r="H235" s="33" t="s">
        <v>60</v>
      </c>
      <c r="I235" s="34">
        <v>43881.717581018522</v>
      </c>
      <c r="J235" s="27"/>
      <c r="K235" s="25"/>
      <c r="L235" s="13" t="str">
        <f t="shared" si="3"/>
        <v>*</v>
      </c>
    </row>
    <row r="236" spans="1:12" ht="20.100000000000001" hidden="1" customHeight="1" x14ac:dyDescent="0.2">
      <c r="A236" s="1">
        <v>135703</v>
      </c>
      <c r="B236" s="3" t="s">
        <v>138</v>
      </c>
      <c r="C236" s="2">
        <v>45</v>
      </c>
      <c r="D236" s="4">
        <v>9</v>
      </c>
      <c r="E236" s="3"/>
      <c r="F236" s="3" t="s">
        <v>207</v>
      </c>
      <c r="G236" s="12"/>
      <c r="H236" s="33" t="s">
        <v>219</v>
      </c>
      <c r="I236" s="34">
        <v>44820.498854166668</v>
      </c>
      <c r="J236" s="27"/>
      <c r="K236" s="25"/>
      <c r="L236" s="13" t="str">
        <f t="shared" si="3"/>
        <v>*</v>
      </c>
    </row>
    <row r="237" spans="1:12" ht="42.75" hidden="1" x14ac:dyDescent="0.2">
      <c r="A237" s="1">
        <v>136555</v>
      </c>
      <c r="B237" s="3" t="s">
        <v>398</v>
      </c>
      <c r="C237" s="2">
        <v>51</v>
      </c>
      <c r="D237" s="4">
        <v>9</v>
      </c>
      <c r="E237" s="3"/>
      <c r="F237" s="3" t="s">
        <v>399</v>
      </c>
      <c r="G237" s="12"/>
      <c r="H237" s="33" t="s">
        <v>219</v>
      </c>
      <c r="I237" s="34">
        <v>45142.582083333335</v>
      </c>
      <c r="J237" s="27"/>
      <c r="K237" s="25"/>
      <c r="L237" s="13" t="str">
        <f t="shared" si="3"/>
        <v>*</v>
      </c>
    </row>
    <row r="238" spans="1:12" ht="20.100000000000001" hidden="1" customHeight="1" x14ac:dyDescent="0.2">
      <c r="A238" s="1">
        <v>136564</v>
      </c>
      <c r="B238" s="3" t="s">
        <v>385</v>
      </c>
      <c r="C238" s="2">
        <v>60</v>
      </c>
      <c r="D238" s="4">
        <v>21</v>
      </c>
      <c r="E238" s="3"/>
      <c r="F238" s="3" t="s">
        <v>386</v>
      </c>
      <c r="G238" s="12"/>
      <c r="H238" s="33" t="s">
        <v>60</v>
      </c>
      <c r="I238" s="34">
        <v>44466.431354166663</v>
      </c>
      <c r="J238" s="27"/>
      <c r="K238" s="25"/>
      <c r="L238" s="13" t="str">
        <f t="shared" si="3"/>
        <v>*</v>
      </c>
    </row>
    <row r="239" spans="1:12" ht="114" hidden="1" x14ac:dyDescent="0.2">
      <c r="A239" s="1">
        <v>136897</v>
      </c>
      <c r="B239" s="3" t="s">
        <v>52</v>
      </c>
      <c r="C239" s="2">
        <v>55</v>
      </c>
      <c r="D239" s="4">
        <v>66</v>
      </c>
      <c r="E239" s="3"/>
      <c r="F239" s="3" t="s">
        <v>54</v>
      </c>
      <c r="G239" s="12"/>
      <c r="H239" s="33" t="s">
        <v>42</v>
      </c>
      <c r="I239" s="34">
        <v>43622.639884259261</v>
      </c>
      <c r="J239" s="27"/>
      <c r="K239" s="25"/>
      <c r="L239" s="13" t="str">
        <f t="shared" si="3"/>
        <v>*</v>
      </c>
    </row>
    <row r="240" spans="1:12" ht="28.5" hidden="1" x14ac:dyDescent="0.2">
      <c r="A240" s="1">
        <v>136910</v>
      </c>
      <c r="B240" s="3" t="s">
        <v>257</v>
      </c>
      <c r="C240" s="2">
        <v>55</v>
      </c>
      <c r="D240" s="4">
        <v>19</v>
      </c>
      <c r="E240" s="3"/>
      <c r="F240" s="3" t="s">
        <v>223</v>
      </c>
      <c r="G240" s="12"/>
      <c r="H240" s="33" t="s">
        <v>42</v>
      </c>
      <c r="I240" s="34">
        <v>44013.462453703702</v>
      </c>
      <c r="J240" s="27"/>
      <c r="K240" s="25"/>
      <c r="L240" s="13" t="str">
        <f t="shared" si="3"/>
        <v>*</v>
      </c>
    </row>
    <row r="241" spans="1:12" ht="28.5" hidden="1" x14ac:dyDescent="0.2">
      <c r="A241" s="1">
        <v>136911</v>
      </c>
      <c r="B241" s="3" t="s">
        <v>258</v>
      </c>
      <c r="C241" s="2">
        <v>55</v>
      </c>
      <c r="D241" s="4">
        <v>19</v>
      </c>
      <c r="E241" s="3"/>
      <c r="F241" s="3" t="s">
        <v>223</v>
      </c>
      <c r="G241" s="12"/>
      <c r="H241" s="33" t="s">
        <v>42</v>
      </c>
      <c r="I241" s="34">
        <v>44013.462453703702</v>
      </c>
      <c r="J241" s="27"/>
      <c r="K241" s="25"/>
      <c r="L241" s="13" t="str">
        <f t="shared" si="3"/>
        <v>*</v>
      </c>
    </row>
    <row r="242" spans="1:12" ht="85.5" hidden="1" x14ac:dyDescent="0.2">
      <c r="A242" s="1">
        <v>138450</v>
      </c>
      <c r="B242" s="3" t="s">
        <v>130</v>
      </c>
      <c r="C242" s="2">
        <v>45</v>
      </c>
      <c r="D242" s="4">
        <v>9</v>
      </c>
      <c r="E242" s="3"/>
      <c r="F242" s="3" t="s">
        <v>207</v>
      </c>
      <c r="G242" s="12"/>
      <c r="H242" s="33" t="s">
        <v>219</v>
      </c>
      <c r="I242" s="34">
        <v>44820.498854166668</v>
      </c>
      <c r="J242" s="27"/>
      <c r="K242" s="25"/>
      <c r="L242" s="13" t="str">
        <f t="shared" si="3"/>
        <v>*</v>
      </c>
    </row>
    <row r="243" spans="1:12" ht="57" hidden="1" x14ac:dyDescent="0.2">
      <c r="A243" s="1">
        <v>138451</v>
      </c>
      <c r="B243" s="3" t="s">
        <v>132</v>
      </c>
      <c r="C243" s="2">
        <v>45</v>
      </c>
      <c r="D243" s="4">
        <v>9</v>
      </c>
      <c r="E243" s="3"/>
      <c r="F243" s="3" t="s">
        <v>207</v>
      </c>
      <c r="G243" s="12"/>
      <c r="H243" s="33" t="s">
        <v>219</v>
      </c>
      <c r="I243" s="34">
        <v>44820.498854166668</v>
      </c>
      <c r="J243" s="27"/>
      <c r="K243" s="25"/>
      <c r="L243" s="13" t="str">
        <f t="shared" si="3"/>
        <v>*</v>
      </c>
    </row>
    <row r="244" spans="1:12" ht="156.75" hidden="1" x14ac:dyDescent="0.2">
      <c r="A244" s="1">
        <v>138453</v>
      </c>
      <c r="B244" s="3" t="s">
        <v>206</v>
      </c>
      <c r="C244" s="2">
        <v>45</v>
      </c>
      <c r="D244" s="4">
        <v>11</v>
      </c>
      <c r="E244" s="3"/>
      <c r="F244" s="3" t="s">
        <v>207</v>
      </c>
      <c r="G244" s="12"/>
      <c r="H244" s="33" t="s">
        <v>60</v>
      </c>
      <c r="I244" s="34">
        <v>43882.440300925926</v>
      </c>
      <c r="J244" s="27"/>
      <c r="K244" s="25"/>
      <c r="L244" s="13" t="str">
        <f t="shared" si="3"/>
        <v>*</v>
      </c>
    </row>
    <row r="245" spans="1:12" ht="156.75" hidden="1" x14ac:dyDescent="0.2">
      <c r="A245" s="1">
        <v>138454</v>
      </c>
      <c r="B245" s="3" t="s">
        <v>208</v>
      </c>
      <c r="C245" s="2">
        <v>45</v>
      </c>
      <c r="D245" s="4">
        <v>11</v>
      </c>
      <c r="E245" s="3"/>
      <c r="F245" s="3" t="s">
        <v>207</v>
      </c>
      <c r="G245" s="12"/>
      <c r="H245" s="33" t="s">
        <v>60</v>
      </c>
      <c r="I245" s="34">
        <v>43882.458020833335</v>
      </c>
      <c r="J245" s="27"/>
      <c r="K245" s="25"/>
      <c r="L245" s="13" t="str">
        <f t="shared" si="3"/>
        <v>*</v>
      </c>
    </row>
    <row r="246" spans="1:12" ht="156.75" hidden="1" x14ac:dyDescent="0.2">
      <c r="A246" s="1">
        <v>138456</v>
      </c>
      <c r="B246" s="3" t="s">
        <v>209</v>
      </c>
      <c r="C246" s="2">
        <v>45</v>
      </c>
      <c r="D246" s="4">
        <v>11</v>
      </c>
      <c r="E246" s="3"/>
      <c r="F246" s="3" t="s">
        <v>207</v>
      </c>
      <c r="G246" s="12" t="s">
        <v>21</v>
      </c>
      <c r="H246" s="33" t="s">
        <v>60</v>
      </c>
      <c r="I246" s="34">
        <v>44466.469155092593</v>
      </c>
      <c r="J246" s="27"/>
      <c r="K246" s="25"/>
      <c r="L246" s="13" t="str">
        <f t="shared" si="3"/>
        <v>*</v>
      </c>
    </row>
    <row r="247" spans="1:12" ht="114" hidden="1" x14ac:dyDescent="0.2">
      <c r="A247" s="1">
        <v>138461</v>
      </c>
      <c r="B247" s="3" t="s">
        <v>133</v>
      </c>
      <c r="C247" s="2">
        <v>45</v>
      </c>
      <c r="D247" s="4">
        <v>9</v>
      </c>
      <c r="E247" s="3"/>
      <c r="F247" s="3" t="s">
        <v>207</v>
      </c>
      <c r="G247" s="12"/>
      <c r="H247" s="33" t="s">
        <v>219</v>
      </c>
      <c r="I247" s="34">
        <v>44820.498854166668</v>
      </c>
      <c r="J247" s="27"/>
      <c r="K247" s="25"/>
      <c r="L247" s="13" t="str">
        <f t="shared" si="3"/>
        <v>*</v>
      </c>
    </row>
    <row r="248" spans="1:12" ht="142.5" hidden="1" x14ac:dyDescent="0.2">
      <c r="A248" s="1">
        <v>138463</v>
      </c>
      <c r="B248" s="3" t="s">
        <v>134</v>
      </c>
      <c r="C248" s="2">
        <v>45</v>
      </c>
      <c r="D248" s="4">
        <v>9</v>
      </c>
      <c r="E248" s="3"/>
      <c r="F248" s="3" t="s">
        <v>207</v>
      </c>
      <c r="G248" s="12"/>
      <c r="H248" s="33" t="s">
        <v>219</v>
      </c>
      <c r="I248" s="34">
        <v>44820.498854166668</v>
      </c>
      <c r="J248" s="27"/>
      <c r="K248" s="25"/>
      <c r="L248" s="13" t="str">
        <f t="shared" si="3"/>
        <v>*</v>
      </c>
    </row>
    <row r="249" spans="1:12" ht="142.5" hidden="1" x14ac:dyDescent="0.2">
      <c r="A249" s="1">
        <v>138464</v>
      </c>
      <c r="B249" s="3" t="s">
        <v>135</v>
      </c>
      <c r="C249" s="2">
        <v>45</v>
      </c>
      <c r="D249" s="4">
        <v>9</v>
      </c>
      <c r="E249" s="3"/>
      <c r="F249" s="3" t="s">
        <v>207</v>
      </c>
      <c r="G249" s="12"/>
      <c r="H249" s="33" t="s">
        <v>219</v>
      </c>
      <c r="I249" s="34">
        <v>44820.498854166668</v>
      </c>
      <c r="J249" s="27"/>
      <c r="K249" s="25"/>
      <c r="L249" s="13" t="str">
        <f t="shared" si="3"/>
        <v>*</v>
      </c>
    </row>
    <row r="250" spans="1:12" ht="71.25" hidden="1" x14ac:dyDescent="0.2">
      <c r="A250" s="1">
        <v>138471</v>
      </c>
      <c r="B250" s="3" t="s">
        <v>142</v>
      </c>
      <c r="C250" s="2">
        <v>45</v>
      </c>
      <c r="D250" s="4">
        <v>12</v>
      </c>
      <c r="E250" s="3"/>
      <c r="F250" s="3" t="s">
        <v>207</v>
      </c>
      <c r="G250" s="12"/>
      <c r="H250" s="33" t="s">
        <v>219</v>
      </c>
      <c r="I250" s="34">
        <v>44820.498854166668</v>
      </c>
      <c r="J250" s="27"/>
      <c r="K250" s="25"/>
      <c r="L250" s="13" t="str">
        <f t="shared" si="3"/>
        <v>*</v>
      </c>
    </row>
    <row r="251" spans="1:12" ht="57" hidden="1" x14ac:dyDescent="0.2">
      <c r="A251" s="1">
        <v>141253</v>
      </c>
      <c r="B251" s="3" t="s">
        <v>365</v>
      </c>
      <c r="C251" s="2">
        <v>76</v>
      </c>
      <c r="D251" s="4">
        <v>13</v>
      </c>
      <c r="E251" s="3"/>
      <c r="F251" s="32" t="s">
        <v>366</v>
      </c>
      <c r="G251" s="12"/>
      <c r="H251" s="33" t="s">
        <v>60</v>
      </c>
      <c r="I251" s="34">
        <v>44376.420601851853</v>
      </c>
      <c r="J251" s="27"/>
      <c r="K251" s="25"/>
      <c r="L251" s="13" t="str">
        <f t="shared" si="3"/>
        <v>*</v>
      </c>
    </row>
    <row r="252" spans="1:12" ht="28.5" hidden="1" x14ac:dyDescent="0.2">
      <c r="A252" s="1">
        <v>141265</v>
      </c>
      <c r="B252" s="3" t="s">
        <v>343</v>
      </c>
      <c r="C252" s="2">
        <v>76</v>
      </c>
      <c r="D252" s="4">
        <v>3</v>
      </c>
      <c r="E252" s="3"/>
      <c r="F252" s="47" t="s">
        <v>408</v>
      </c>
      <c r="G252" s="12"/>
      <c r="H252" s="33" t="s">
        <v>219</v>
      </c>
      <c r="I252" s="34">
        <v>45209.618148148147</v>
      </c>
      <c r="J252" s="27"/>
      <c r="K252" s="25"/>
      <c r="L252" s="13" t="str">
        <f t="shared" si="3"/>
        <v>*</v>
      </c>
    </row>
    <row r="253" spans="1:12" ht="28.5" hidden="1" x14ac:dyDescent="0.2">
      <c r="A253" s="1">
        <v>141266</v>
      </c>
      <c r="B253" s="3" t="s">
        <v>344</v>
      </c>
      <c r="C253" s="2">
        <v>76</v>
      </c>
      <c r="D253" s="4">
        <v>3</v>
      </c>
      <c r="E253" s="3"/>
      <c r="F253" s="47" t="s">
        <v>404</v>
      </c>
      <c r="G253" s="12"/>
      <c r="H253" s="33" t="s">
        <v>219</v>
      </c>
      <c r="I253" s="34">
        <v>45209.618148148147</v>
      </c>
      <c r="J253" s="27"/>
      <c r="K253" s="25"/>
      <c r="L253" s="13" t="str">
        <f t="shared" si="3"/>
        <v>*</v>
      </c>
    </row>
    <row r="254" spans="1:12" ht="28.5" hidden="1" x14ac:dyDescent="0.2">
      <c r="A254" s="1">
        <v>141268</v>
      </c>
      <c r="B254" s="3" t="s">
        <v>342</v>
      </c>
      <c r="C254" s="2">
        <v>76</v>
      </c>
      <c r="D254" s="4">
        <v>3</v>
      </c>
      <c r="E254" s="3"/>
      <c r="F254" s="47" t="s">
        <v>404</v>
      </c>
      <c r="G254" s="12"/>
      <c r="H254" s="33" t="s">
        <v>219</v>
      </c>
      <c r="I254" s="34">
        <v>45209.618148148147</v>
      </c>
      <c r="J254" s="27"/>
      <c r="K254" s="25"/>
      <c r="L254" s="13" t="str">
        <f t="shared" si="3"/>
        <v>*</v>
      </c>
    </row>
    <row r="255" spans="1:12" ht="71.25" hidden="1" x14ac:dyDescent="0.2">
      <c r="A255" s="1">
        <v>141270</v>
      </c>
      <c r="B255" s="3" t="s">
        <v>367</v>
      </c>
      <c r="C255" s="2">
        <v>76</v>
      </c>
      <c r="D255" s="4">
        <v>5</v>
      </c>
      <c r="E255" s="3"/>
      <c r="F255" s="3" t="s">
        <v>368</v>
      </c>
      <c r="G255" s="12"/>
      <c r="H255" s="33" t="s">
        <v>60</v>
      </c>
      <c r="I255" s="34">
        <v>44376.422407407408</v>
      </c>
      <c r="J255" s="27"/>
      <c r="K255" s="25"/>
      <c r="L255" s="13" t="str">
        <f t="shared" si="3"/>
        <v>*</v>
      </c>
    </row>
    <row r="256" spans="1:12" ht="28.5" hidden="1" x14ac:dyDescent="0.2">
      <c r="A256" s="1">
        <v>141393</v>
      </c>
      <c r="B256" s="3" t="s">
        <v>346</v>
      </c>
      <c r="C256" s="2">
        <v>76</v>
      </c>
      <c r="D256" s="4">
        <v>11</v>
      </c>
      <c r="E256" s="3"/>
      <c r="F256" s="3" t="s">
        <v>347</v>
      </c>
      <c r="G256" s="12"/>
      <c r="H256" s="33" t="s">
        <v>60</v>
      </c>
      <c r="I256" s="34">
        <v>44375.60491898148</v>
      </c>
      <c r="J256" s="27"/>
      <c r="K256" s="25"/>
      <c r="L256" s="13" t="str">
        <f t="shared" si="3"/>
        <v>*</v>
      </c>
    </row>
    <row r="257" spans="1:12" ht="28.5" hidden="1" x14ac:dyDescent="0.2">
      <c r="A257" s="1">
        <v>141394</v>
      </c>
      <c r="B257" s="3" t="s">
        <v>350</v>
      </c>
      <c r="C257" s="2">
        <v>76</v>
      </c>
      <c r="D257" s="4">
        <v>11</v>
      </c>
      <c r="E257" s="3"/>
      <c r="F257" s="3" t="s">
        <v>351</v>
      </c>
      <c r="G257" s="12"/>
      <c r="H257" s="33" t="s">
        <v>60</v>
      </c>
      <c r="I257" s="34">
        <v>44375.605925925927</v>
      </c>
      <c r="J257" s="27"/>
      <c r="K257" s="25"/>
      <c r="L257" s="13" t="str">
        <f t="shared" si="3"/>
        <v>*</v>
      </c>
    </row>
    <row r="258" spans="1:12" ht="42.75" hidden="1" x14ac:dyDescent="0.2">
      <c r="A258" s="1">
        <v>141396</v>
      </c>
      <c r="B258" s="3" t="s">
        <v>337</v>
      </c>
      <c r="C258" s="2">
        <v>76</v>
      </c>
      <c r="D258" s="4">
        <v>11</v>
      </c>
      <c r="E258" s="3"/>
      <c r="F258" s="3" t="s">
        <v>338</v>
      </c>
      <c r="G258" s="12"/>
      <c r="H258" s="33" t="s">
        <v>60</v>
      </c>
      <c r="I258" s="34">
        <v>44375.597233796296</v>
      </c>
      <c r="J258" s="27"/>
      <c r="K258" s="25"/>
      <c r="L258" s="13" t="str">
        <f t="shared" si="3"/>
        <v>*</v>
      </c>
    </row>
    <row r="259" spans="1:12" ht="42.75" hidden="1" x14ac:dyDescent="0.2">
      <c r="A259" s="1">
        <v>141418</v>
      </c>
      <c r="B259" s="3" t="s">
        <v>339</v>
      </c>
      <c r="C259" s="2">
        <v>76</v>
      </c>
      <c r="D259" s="4">
        <v>11</v>
      </c>
      <c r="E259" s="3"/>
      <c r="F259" s="3" t="s">
        <v>358</v>
      </c>
      <c r="G259" s="12"/>
      <c r="H259" s="33" t="s">
        <v>60</v>
      </c>
      <c r="I259" s="34">
        <v>44375.654618055552</v>
      </c>
      <c r="J259" s="27"/>
      <c r="K259" s="25"/>
      <c r="L259" s="13" t="str">
        <f t="shared" si="3"/>
        <v>*</v>
      </c>
    </row>
    <row r="260" spans="1:12" ht="142.5" hidden="1" x14ac:dyDescent="0.2">
      <c r="A260" s="1">
        <v>141608</v>
      </c>
      <c r="B260" s="3" t="s">
        <v>369</v>
      </c>
      <c r="C260" s="2">
        <v>76</v>
      </c>
      <c r="D260" s="4">
        <v>9</v>
      </c>
      <c r="E260" s="3"/>
      <c r="F260" s="3" t="s">
        <v>370</v>
      </c>
      <c r="G260" s="12"/>
      <c r="H260" s="33" t="s">
        <v>60</v>
      </c>
      <c r="I260" s="34">
        <v>44376.423321759263</v>
      </c>
      <c r="J260" s="27"/>
      <c r="K260" s="25"/>
      <c r="L260" s="13" t="str">
        <f t="shared" ref="L260:L266" si="4">"*"</f>
        <v>*</v>
      </c>
    </row>
    <row r="261" spans="1:12" ht="28.5" hidden="1" x14ac:dyDescent="0.2">
      <c r="A261" s="1">
        <v>141615</v>
      </c>
      <c r="B261" s="3" t="s">
        <v>364</v>
      </c>
      <c r="C261" s="2">
        <v>76</v>
      </c>
      <c r="D261" s="4">
        <v>10</v>
      </c>
      <c r="E261" s="3"/>
      <c r="F261" s="3" t="s">
        <v>407</v>
      </c>
      <c r="G261" s="12"/>
      <c r="H261" s="33" t="s">
        <v>219</v>
      </c>
      <c r="I261" s="34">
        <v>45209.618148148147</v>
      </c>
      <c r="J261" s="27"/>
      <c r="K261" s="25"/>
      <c r="L261" s="13" t="str">
        <f t="shared" si="4"/>
        <v>*</v>
      </c>
    </row>
    <row r="262" spans="1:12" ht="28.5" hidden="1" x14ac:dyDescent="0.2">
      <c r="A262" s="1">
        <v>141679</v>
      </c>
      <c r="B262" s="3" t="s">
        <v>340</v>
      </c>
      <c r="C262" s="2">
        <v>76</v>
      </c>
      <c r="D262" s="4">
        <v>3</v>
      </c>
      <c r="E262" s="3"/>
      <c r="F262" s="47" t="s">
        <v>404</v>
      </c>
      <c r="G262" s="12"/>
      <c r="H262" s="33" t="s">
        <v>219</v>
      </c>
      <c r="I262" s="34">
        <v>45209.618148148147</v>
      </c>
      <c r="J262" s="27"/>
      <c r="K262" s="25"/>
      <c r="L262" s="13" t="str">
        <f t="shared" si="4"/>
        <v>*</v>
      </c>
    </row>
    <row r="263" spans="1:12" ht="28.5" hidden="1" x14ac:dyDescent="0.2">
      <c r="A263" s="1">
        <v>141680</v>
      </c>
      <c r="B263" s="3" t="s">
        <v>341</v>
      </c>
      <c r="C263" s="2">
        <v>76</v>
      </c>
      <c r="D263" s="4">
        <v>3</v>
      </c>
      <c r="E263" s="3"/>
      <c r="F263" s="47" t="s">
        <v>405</v>
      </c>
      <c r="G263" s="12"/>
      <c r="H263" s="33" t="s">
        <v>219</v>
      </c>
      <c r="I263" s="34">
        <v>45209.618148148147</v>
      </c>
      <c r="J263" s="27"/>
      <c r="K263" s="25"/>
      <c r="L263" s="13" t="str">
        <f t="shared" si="4"/>
        <v>*</v>
      </c>
    </row>
    <row r="264" spans="1:12" ht="114" hidden="1" x14ac:dyDescent="0.2">
      <c r="A264" s="1">
        <v>141681</v>
      </c>
      <c r="B264" s="3" t="s">
        <v>345</v>
      </c>
      <c r="C264" s="2">
        <v>76</v>
      </c>
      <c r="D264" s="4">
        <v>3</v>
      </c>
      <c r="E264" s="3"/>
      <c r="F264" s="47" t="s">
        <v>375</v>
      </c>
      <c r="G264" s="12"/>
      <c r="H264" s="33" t="s">
        <v>60</v>
      </c>
      <c r="I264" s="34">
        <v>44377.345891203702</v>
      </c>
      <c r="J264" s="27"/>
      <c r="K264" s="25"/>
      <c r="L264" s="13" t="str">
        <f t="shared" si="4"/>
        <v>*</v>
      </c>
    </row>
    <row r="265" spans="1:12" ht="128.25" hidden="1" x14ac:dyDescent="0.2">
      <c r="A265" s="1">
        <v>141786</v>
      </c>
      <c r="B265" s="3" t="s">
        <v>362</v>
      </c>
      <c r="C265" s="2">
        <v>76</v>
      </c>
      <c r="D265" s="4">
        <v>10</v>
      </c>
      <c r="E265" s="3"/>
      <c r="F265" s="3" t="s">
        <v>363</v>
      </c>
      <c r="G265" s="12"/>
      <c r="H265" s="33" t="s">
        <v>60</v>
      </c>
      <c r="I265" s="34">
        <v>44376.416608796295</v>
      </c>
      <c r="J265" s="27"/>
      <c r="K265" s="25"/>
      <c r="L265" s="13" t="str">
        <f t="shared" si="4"/>
        <v>*</v>
      </c>
    </row>
    <row r="266" spans="1:12" ht="28.5" hidden="1" x14ac:dyDescent="0.2">
      <c r="A266" s="1">
        <v>141787</v>
      </c>
      <c r="B266" s="3" t="s">
        <v>361</v>
      </c>
      <c r="C266" s="2">
        <v>76</v>
      </c>
      <c r="D266" s="4">
        <v>10</v>
      </c>
      <c r="E266" s="3"/>
      <c r="F266" s="3" t="s">
        <v>404</v>
      </c>
      <c r="G266" s="12"/>
      <c r="H266" s="33" t="s">
        <v>219</v>
      </c>
      <c r="I266" s="34">
        <v>45209.618148148147</v>
      </c>
      <c r="J266" s="27"/>
      <c r="K266" s="25"/>
      <c r="L266" s="13" t="str">
        <f t="shared" si="4"/>
        <v>*</v>
      </c>
    </row>
    <row r="267" spans="1:12" ht="42.75" hidden="1" x14ac:dyDescent="0.2">
      <c r="A267" s="1">
        <v>131917</v>
      </c>
      <c r="B267" s="3" t="s">
        <v>403</v>
      </c>
      <c r="C267" s="2">
        <v>45</v>
      </c>
      <c r="D267" s="4">
        <v>9</v>
      </c>
      <c r="E267" s="3"/>
      <c r="F267" s="3" t="s">
        <v>207</v>
      </c>
      <c r="G267" s="12"/>
      <c r="H267" s="33" t="s">
        <v>219</v>
      </c>
      <c r="I267" s="34">
        <v>45209.618148148147</v>
      </c>
      <c r="J267" s="27"/>
      <c r="K267" s="25"/>
      <c r="L267" s="13" t="str">
        <f>"*"</f>
        <v>*</v>
      </c>
    </row>
    <row r="268" spans="1:12" ht="28.5" hidden="1" x14ac:dyDescent="0.2">
      <c r="A268" s="1">
        <v>87586</v>
      </c>
      <c r="B268" s="3" t="s">
        <v>406</v>
      </c>
      <c r="C268" s="2">
        <v>76</v>
      </c>
      <c r="D268" s="4">
        <v>5</v>
      </c>
      <c r="E268" s="3"/>
      <c r="F268" s="3" t="s">
        <v>404</v>
      </c>
      <c r="G268" s="12"/>
      <c r="H268" s="33" t="s">
        <v>219</v>
      </c>
      <c r="I268" s="34">
        <v>45209.618148148147</v>
      </c>
      <c r="J268" s="27"/>
      <c r="K268" s="25"/>
      <c r="L268" s="13" t="str">
        <f>"*"</f>
        <v>*</v>
      </c>
    </row>
    <row r="269" spans="1:12" ht="28.5" hidden="1" x14ac:dyDescent="0.2">
      <c r="A269" s="1">
        <v>20763</v>
      </c>
      <c r="B269" s="3" t="s">
        <v>409</v>
      </c>
      <c r="C269" s="2">
        <v>76</v>
      </c>
      <c r="D269" s="4">
        <v>5</v>
      </c>
      <c r="E269" s="3"/>
      <c r="F269" s="3" t="s">
        <v>404</v>
      </c>
      <c r="G269" s="12"/>
      <c r="H269" s="33" t="s">
        <v>219</v>
      </c>
      <c r="I269" s="34">
        <v>45209.618148148147</v>
      </c>
      <c r="J269" s="27"/>
      <c r="K269" s="25"/>
      <c r="L269" s="13" t="str">
        <f>"*"</f>
        <v>*</v>
      </c>
    </row>
    <row r="270" spans="1:12" ht="28.5" hidden="1" x14ac:dyDescent="0.2">
      <c r="A270" s="1">
        <v>20760</v>
      </c>
      <c r="B270" s="3" t="s">
        <v>410</v>
      </c>
      <c r="C270" s="2">
        <v>76</v>
      </c>
      <c r="D270" s="4">
        <v>5</v>
      </c>
      <c r="E270" s="3"/>
      <c r="F270" s="3" t="s">
        <v>404</v>
      </c>
      <c r="G270" s="12"/>
      <c r="H270" s="33" t="s">
        <v>219</v>
      </c>
      <c r="I270" s="34">
        <v>45209.618148148147</v>
      </c>
      <c r="J270" s="27"/>
      <c r="K270" s="25"/>
      <c r="L270" s="13" t="str">
        <f>"*"</f>
        <v>*</v>
      </c>
    </row>
    <row r="271" spans="1:12" ht="28.5" hidden="1" x14ac:dyDescent="0.2">
      <c r="A271" s="1">
        <v>69229</v>
      </c>
      <c r="B271" s="3" t="s">
        <v>411</v>
      </c>
      <c r="C271" s="2">
        <v>76</v>
      </c>
      <c r="D271" s="4">
        <v>5</v>
      </c>
      <c r="E271" s="3"/>
      <c r="F271" s="3" t="s">
        <v>404</v>
      </c>
      <c r="G271" s="12"/>
      <c r="H271" s="33" t="s">
        <v>219</v>
      </c>
      <c r="I271" s="34">
        <v>45209.618148148147</v>
      </c>
      <c r="J271" s="27"/>
      <c r="K271" s="25"/>
      <c r="L271" s="13" t="str">
        <f>"*"</f>
        <v>*</v>
      </c>
    </row>
  </sheetData>
  <sortState ref="A3:L266">
    <sortCondition ref="A2:A266"/>
  </sortState>
  <dataConsolidate/>
  <mergeCells count="1">
    <mergeCell ref="A1:L1"/>
  </mergeCells>
  <conditionalFormatting sqref="A3:A271">
    <cfRule type="duplicateValues" dxfId="34" priority="17"/>
  </conditionalFormatting>
  <dataValidations count="1">
    <dataValidation type="list" allowBlank="1" showInputMessage="1" showErrorMessage="1" sqref="K3:K271" xr:uid="{00000000-0002-0000-0000-000000000000}">
      <formula1>",sim"</formula1>
    </dataValidation>
  </dataValidations>
  <pageMargins left="0.7" right="0.7" top="0.75" bottom="0.75" header="0.3" footer="0.3"/>
  <pageSetup paperSize="9" scale="28" fitToWidth="0" orientation="landscape" r:id="rId1"/>
  <drawing r:id="rId2"/>
  <legacyDrawing r:id="rId3"/>
  <controls>
    <mc:AlternateContent xmlns:mc="http://schemas.openxmlformats.org/markup-compatibility/2006">
      <mc:Choice Requires="x14">
        <control shapeId="1178" r:id="rId4" name="btn_Complementos_Fechar">
          <controlPr defaultSize="0" autoLine="0" r:id="rId5">
            <anchor moveWithCells="1">
              <from>
                <xdr:col>5</xdr:col>
                <xdr:colOff>2295525</xdr:colOff>
                <xdr:row>0</xdr:row>
                <xdr:rowOff>85725</xdr:rowOff>
              </from>
              <to>
                <xdr:col>9</xdr:col>
                <xdr:colOff>723900</xdr:colOff>
                <xdr:row>0</xdr:row>
                <xdr:rowOff>466725</xdr:rowOff>
              </to>
            </anchor>
          </controlPr>
        </control>
      </mc:Choice>
      <mc:Fallback>
        <control shapeId="1178" r:id="rId4" name="btn_Complementos_Fechar"/>
      </mc:Fallback>
    </mc:AlternateContent>
    <mc:AlternateContent xmlns:mc="http://schemas.openxmlformats.org/markup-compatibility/2006">
      <mc:Choice Requires="x14">
        <control shapeId="1040" r:id="rId6" name="btn_Complementos_FilCód">
          <controlPr defaultSize="0" autoLine="0" r:id="rId7">
            <anchor moveWithCells="1">
              <from>
                <xdr:col>1</xdr:col>
                <xdr:colOff>1847850</xdr:colOff>
                <xdr:row>0</xdr:row>
                <xdr:rowOff>85725</xdr:rowOff>
              </from>
              <to>
                <xdr:col>1</xdr:col>
                <xdr:colOff>4391025</xdr:colOff>
                <xdr:row>0</xdr:row>
                <xdr:rowOff>466725</xdr:rowOff>
              </to>
            </anchor>
          </controlPr>
        </control>
      </mc:Choice>
      <mc:Fallback>
        <control shapeId="1040" r:id="rId6" name="btn_Complementos_FilCód"/>
      </mc:Fallback>
    </mc:AlternateContent>
    <mc:AlternateContent xmlns:mc="http://schemas.openxmlformats.org/markup-compatibility/2006">
      <mc:Choice Requires="x14">
        <control shapeId="1025" r:id="rId8" name="btn_Complementos_Organizar">
          <controlPr defaultSize="0" autoLine="0" r:id="rId9">
            <anchor moveWithCells="1">
              <from>
                <xdr:col>0</xdr:col>
                <xdr:colOff>66675</xdr:colOff>
                <xdr:row>0</xdr:row>
                <xdr:rowOff>85725</xdr:rowOff>
              </from>
              <to>
                <xdr:col>1</xdr:col>
                <xdr:colOff>1752600</xdr:colOff>
                <xdr:row>0</xdr:row>
                <xdr:rowOff>466725</xdr:rowOff>
              </to>
            </anchor>
          </controlPr>
        </control>
      </mc:Choice>
      <mc:Fallback>
        <control shapeId="1025" r:id="rId8" name="btn_Complementos_Organizar"/>
      </mc:Fallback>
    </mc:AlternateContent>
    <mc:AlternateContent xmlns:mc="http://schemas.openxmlformats.org/markup-compatibility/2006">
      <mc:Choice Requires="x14">
        <control shapeId="1041" r:id="rId10" name="btn_Complementos_LimparF">
          <controlPr defaultSize="0" autoLine="0" r:id="rId11">
            <anchor moveWithCells="1">
              <from>
                <xdr:col>1</xdr:col>
                <xdr:colOff>4486275</xdr:colOff>
                <xdr:row>0</xdr:row>
                <xdr:rowOff>85725</xdr:rowOff>
              </from>
              <to>
                <xdr:col>3</xdr:col>
                <xdr:colOff>266700</xdr:colOff>
                <xdr:row>0</xdr:row>
                <xdr:rowOff>466725</xdr:rowOff>
              </to>
            </anchor>
          </controlPr>
        </control>
      </mc:Choice>
      <mc:Fallback>
        <control shapeId="1041" r:id="rId10" name="btn_Complementos_LimparF"/>
      </mc:Fallback>
    </mc:AlternateContent>
  </controls>
  <tableParts count="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Estáticas!$A$3:$A$7</xm:f>
          </x14:formula1>
          <xm:sqref>G3:G271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
  <dimension ref="A1:B38"/>
  <sheetViews>
    <sheetView workbookViewId="0">
      <pane xSplit="2" ySplit="1" topLeftCell="C14" activePane="bottomRight" state="frozen"/>
      <selection pane="topRight" activeCell="C1" sqref="C1"/>
      <selection pane="bottomLeft" activeCell="A2" sqref="A2"/>
      <selection pane="bottomRight" sqref="A1:B1"/>
    </sheetView>
  </sheetViews>
  <sheetFormatPr defaultRowHeight="15" x14ac:dyDescent="0.25"/>
  <cols>
    <col min="1" max="1" width="76.85546875" bestFit="1" customWidth="1"/>
    <col min="2" max="2" width="55.7109375" customWidth="1"/>
    <col min="3" max="3" width="39.5703125" customWidth="1"/>
  </cols>
  <sheetData>
    <row r="1" spans="1:2" ht="56.25" customHeight="1" x14ac:dyDescent="0.25">
      <c r="A1" s="50"/>
      <c r="B1" s="50"/>
    </row>
    <row r="2" spans="1:2" ht="28.5" customHeight="1" x14ac:dyDescent="0.25">
      <c r="A2" s="6" t="s">
        <v>24</v>
      </c>
      <c r="B2" s="6" t="s">
        <v>25</v>
      </c>
    </row>
    <row r="3" spans="1:2" x14ac:dyDescent="0.25">
      <c r="A3" s="7" t="s">
        <v>26</v>
      </c>
      <c r="B3" s="8" t="s">
        <v>29</v>
      </c>
    </row>
    <row r="4" spans="1:2" x14ac:dyDescent="0.25">
      <c r="A4" s="7" t="s">
        <v>31</v>
      </c>
      <c r="B4" s="8" t="s">
        <v>32</v>
      </c>
    </row>
    <row r="5" spans="1:2" x14ac:dyDescent="0.25">
      <c r="A5" s="7" t="s">
        <v>30</v>
      </c>
      <c r="B5" s="8" t="s">
        <v>28</v>
      </c>
    </row>
    <row r="6" spans="1:2" x14ac:dyDescent="0.25">
      <c r="A6" s="7" t="s">
        <v>113</v>
      </c>
      <c r="B6" s="8" t="s">
        <v>112</v>
      </c>
    </row>
    <row r="7" spans="1:2" x14ac:dyDescent="0.25">
      <c r="A7" s="7" t="s">
        <v>21</v>
      </c>
      <c r="B7" s="8" t="s">
        <v>27</v>
      </c>
    </row>
    <row r="8" spans="1:2" ht="35.25" customHeight="1" x14ac:dyDescent="0.25"/>
    <row r="10" spans="1:2" ht="28.5" x14ac:dyDescent="0.25">
      <c r="A10" s="6" t="s">
        <v>24</v>
      </c>
      <c r="B10" s="6" t="s">
        <v>25</v>
      </c>
    </row>
    <row r="11" spans="1:2" x14ac:dyDescent="0.25">
      <c r="A11" s="9" t="s">
        <v>190</v>
      </c>
      <c r="B11" s="18" t="s">
        <v>131</v>
      </c>
    </row>
    <row r="12" spans="1:2" x14ac:dyDescent="0.25">
      <c r="A12" s="9" t="s">
        <v>221</v>
      </c>
      <c r="B12" s="18" t="s">
        <v>222</v>
      </c>
    </row>
    <row r="13" spans="1:2" ht="45" x14ac:dyDescent="0.25">
      <c r="A13" s="9" t="s">
        <v>101</v>
      </c>
      <c r="B13" s="18" t="s">
        <v>192</v>
      </c>
    </row>
    <row r="14" spans="1:2" ht="30" x14ac:dyDescent="0.25">
      <c r="A14" s="9" t="s">
        <v>188</v>
      </c>
      <c r="B14" s="18" t="s">
        <v>191</v>
      </c>
    </row>
    <row r="15" spans="1:2" x14ac:dyDescent="0.25">
      <c r="A15" s="9" t="s">
        <v>187</v>
      </c>
      <c r="B15" s="18" t="s">
        <v>189</v>
      </c>
    </row>
    <row r="16" spans="1:2" ht="105" x14ac:dyDescent="0.25">
      <c r="A16" s="9" t="s">
        <v>100</v>
      </c>
      <c r="B16" s="18" t="s">
        <v>102</v>
      </c>
    </row>
    <row r="17" spans="1:2" x14ac:dyDescent="0.25">
      <c r="A17" s="9" t="s">
        <v>223</v>
      </c>
      <c r="B17" s="18" t="s">
        <v>224</v>
      </c>
    </row>
    <row r="20" spans="1:2" ht="28.5" x14ac:dyDescent="0.25">
      <c r="A20" s="6" t="s">
        <v>24</v>
      </c>
      <c r="B20" s="6" t="s">
        <v>25</v>
      </c>
    </row>
    <row r="21" spans="1:2" x14ac:dyDescent="0.25">
      <c r="A21" s="10"/>
      <c r="B21" s="11"/>
    </row>
    <row r="38" ht="15.75" customHeight="1" x14ac:dyDescent="0.25"/>
  </sheetData>
  <mergeCells count="1">
    <mergeCell ref="A1:B1"/>
  </mergeCells>
  <conditionalFormatting sqref="A17">
    <cfRule type="duplicateValues" dxfId="19" priority="4"/>
  </conditionalFormatting>
  <conditionalFormatting sqref="A21">
    <cfRule type="duplicateValues" dxfId="18" priority="5"/>
  </conditionalFormatting>
  <conditionalFormatting sqref="A11:A16">
    <cfRule type="duplicateValues" dxfId="17" priority="15"/>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050" r:id="rId4" name="btnEstaticasHabilitaAlt">
          <controlPr defaultSize="0" autoLine="0" r:id="rId5">
            <anchor moveWithCells="1">
              <from>
                <xdr:col>0</xdr:col>
                <xdr:colOff>4257675</xdr:colOff>
                <xdr:row>0</xdr:row>
                <xdr:rowOff>123825</xdr:rowOff>
              </from>
              <to>
                <xdr:col>1</xdr:col>
                <xdr:colOff>1676400</xdr:colOff>
                <xdr:row>0</xdr:row>
                <xdr:rowOff>571500</xdr:rowOff>
              </to>
            </anchor>
          </controlPr>
        </control>
      </mc:Choice>
      <mc:Fallback>
        <control shapeId="2050" r:id="rId4" name="btnEstaticasHabilitaAlt"/>
      </mc:Fallback>
    </mc:AlternateContent>
    <mc:AlternateContent xmlns:mc="http://schemas.openxmlformats.org/markup-compatibility/2006">
      <mc:Choice Requires="x14">
        <control shapeId="2049" r:id="rId6" name="btnEstaticasReordena">
          <controlPr defaultSize="0" autoLine="0" r:id="rId7">
            <anchor moveWithCells="1">
              <from>
                <xdr:col>0</xdr:col>
                <xdr:colOff>190500</xdr:colOff>
                <xdr:row>0</xdr:row>
                <xdr:rowOff>123825</xdr:rowOff>
              </from>
              <to>
                <xdr:col>0</xdr:col>
                <xdr:colOff>2733675</xdr:colOff>
                <xdr:row>0</xdr:row>
                <xdr:rowOff>571500</xdr:rowOff>
              </to>
            </anchor>
          </controlPr>
        </control>
      </mc:Choice>
      <mc:Fallback>
        <control shapeId="2049" r:id="rId6" name="btnEstaticasReordena"/>
      </mc:Fallback>
    </mc:AlternateContent>
  </controls>
  <tableParts count="3">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1"/>
  <dimension ref="A1:C8"/>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5" x14ac:dyDescent="0.25"/>
  <cols>
    <col min="1" max="1" width="72.85546875" bestFit="1" customWidth="1"/>
    <col min="2" max="2" width="67.42578125" bestFit="1" customWidth="1"/>
    <col min="3" max="3" width="118.42578125" customWidth="1"/>
  </cols>
  <sheetData>
    <row r="1" spans="1:3" ht="56.25" customHeight="1" x14ac:dyDescent="0.25">
      <c r="A1" s="50"/>
      <c r="B1" s="50"/>
      <c r="C1" s="50"/>
    </row>
    <row r="2" spans="1:3" ht="21" x14ac:dyDescent="0.25">
      <c r="A2" s="14" t="s">
        <v>83</v>
      </c>
      <c r="B2" s="15" t="s">
        <v>84</v>
      </c>
      <c r="C2" s="14" t="s">
        <v>85</v>
      </c>
    </row>
    <row r="3" spans="1:3" ht="18.75" x14ac:dyDescent="0.25">
      <c r="A3" s="16" t="s">
        <v>86</v>
      </c>
      <c r="B3" s="17" t="b">
        <v>1</v>
      </c>
      <c r="C3" s="17" t="s">
        <v>87</v>
      </c>
    </row>
    <row r="4" spans="1:3" ht="18.75" x14ac:dyDescent="0.25">
      <c r="A4" s="16" t="s">
        <v>88</v>
      </c>
      <c r="B4" s="17" t="s">
        <v>89</v>
      </c>
      <c r="C4" s="17" t="s">
        <v>90</v>
      </c>
    </row>
    <row r="5" spans="1:3" ht="18.75" x14ac:dyDescent="0.25">
      <c r="A5" s="16" t="s">
        <v>91</v>
      </c>
      <c r="B5" s="17" t="s">
        <v>92</v>
      </c>
      <c r="C5" s="17" t="s">
        <v>93</v>
      </c>
    </row>
    <row r="6" spans="1:3" ht="18.75" x14ac:dyDescent="0.25">
      <c r="A6" s="16" t="s">
        <v>94</v>
      </c>
      <c r="B6" s="17" t="b">
        <v>0</v>
      </c>
      <c r="C6" s="17" t="s">
        <v>95</v>
      </c>
    </row>
    <row r="7" spans="1:3" ht="18.75" x14ac:dyDescent="0.25">
      <c r="A7" s="22" t="s">
        <v>175</v>
      </c>
      <c r="B7" s="23" t="s">
        <v>177</v>
      </c>
      <c r="C7" s="24" t="s">
        <v>176</v>
      </c>
    </row>
    <row r="8" spans="1:3" ht="18.75" x14ac:dyDescent="0.25">
      <c r="A8" s="29" t="s">
        <v>261</v>
      </c>
      <c r="B8" s="30" t="s">
        <v>263</v>
      </c>
      <c r="C8" s="30" t="s">
        <v>262</v>
      </c>
    </row>
  </sheetData>
  <sortState ref="A3:C7">
    <sortCondition ref="A2:A7"/>
  </sortState>
  <dataConsolidate/>
  <mergeCells count="1">
    <mergeCell ref="A1:C1"/>
  </mergeCells>
  <hyperlinks>
    <hyperlink ref="C7" location="Parâmetros!C7" tooltip="ABA#" display="ABA#" xr:uid="{00000000-0004-0000-0200-000000000000}"/>
  </hyperlink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3" r:id="rId4" name="btn_Parâmetros_Reordenar">
          <controlPr defaultSize="0" autoLine="0" r:id="rId5">
            <anchor moveWithCells="1">
              <from>
                <xdr:col>0</xdr:col>
                <xdr:colOff>638175</xdr:colOff>
                <xdr:row>0</xdr:row>
                <xdr:rowOff>123825</xdr:rowOff>
              </from>
              <to>
                <xdr:col>0</xdr:col>
                <xdr:colOff>3181350</xdr:colOff>
                <xdr:row>0</xdr:row>
                <xdr:rowOff>571500</xdr:rowOff>
              </to>
            </anchor>
          </controlPr>
        </control>
      </mc:Choice>
      <mc:Fallback>
        <control shapeId="3073" r:id="rId4" name="btn_Parâmetros_Reordenar"/>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Complementos</vt:lpstr>
      <vt:lpstr>Estáticas</vt:lpstr>
      <vt:lpstr>Parâmetros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Marcos Vinicio Pereira</dc:creator>
  <cp:lastModifiedBy>Wellington Carlos Duarte</cp:lastModifiedBy>
  <cp:lastPrinted>2019-08-23T17:23:09Z</cp:lastPrinted>
  <dcterms:created xsi:type="dcterms:W3CDTF">2006-09-16T00:00:00Z</dcterms:created>
  <dcterms:modified xsi:type="dcterms:W3CDTF">2023-10-10T17:57:50Z</dcterms:modified>
</cp:coreProperties>
</file>