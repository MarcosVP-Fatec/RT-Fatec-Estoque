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REGIA\Documents\Fatec\Marcos\RT-Fatec-Estoque\Planilhas\local\"/>
    </mc:Choice>
  </mc:AlternateContent>
  <xr:revisionPtr revIDLastSave="0" documentId="13_ncr:1_{BBE908E7-0F27-4AB5-AB6D-6F6C3B629CD8}" xr6:coauthVersionLast="47" xr6:coauthVersionMax="47" xr10:uidLastSave="{00000000-0000-0000-0000-000000000000}"/>
  <bookViews>
    <workbookView xWindow="-108" yWindow="-108" windowWidth="16608" windowHeight="8976" firstSheet="2" activeTab="2" xr2:uid="{00000000-000D-0000-FFFF-FFFF00000000}"/>
  </bookViews>
  <sheets>
    <sheet name="EstimativaDeAta" sheetId="28" state="hidden" r:id="rId1"/>
    <sheet name="ConferirCompra" sheetId="34" state="hidden" r:id="rId2"/>
    <sheet name="ParâmetrosFixos" sheetId="23" r:id="rId3"/>
    <sheet name="RCsGeradas" sheetId="29" state="hidden" r:id="rId4"/>
    <sheet name="VerificarAFs" sheetId="30" state="hidden" r:id="rId5"/>
    <sheet name="VerificarRCsAFs" sheetId="32" state="hidden" r:id="rId6"/>
  </sheets>
  <functionGroups builtInGroupCount="19"/>
  <definedNames>
    <definedName name="_xlnm._FilterDatabase" localSheetId="0" hidden="1">EstimativaDeAta!$B$8:$Y$9</definedName>
    <definedName name="_xlnm.Print_Titles" localSheetId="1">ConferirCompra!$1:$5</definedName>
    <definedName name="_xlnm.Print_Titles" localSheetId="0">EstimativaDeAta!$1:$8</definedName>
    <definedName name="_xlnm.Print_Titles" localSheetId="4">VerificarAFs!$1:$2</definedName>
    <definedName name="_xlnm.Print_Titles" localSheetId="5">VerificarRCsAFs!$1:$2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9" l="1"/>
  <c r="D2" i="29" s="1"/>
  <c r="B3" i="29" l="1"/>
  <c r="C3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8" authorId="0" shapeId="0" xr:uid="{00000000-0006-0000-0000-000001000000}">
      <text>
        <r>
          <rPr>
            <sz val="9"/>
            <color indexed="81"/>
            <rFont val="Segoe UI"/>
            <family val="2"/>
          </rPr>
          <t xml:space="preserve">Ordenado por: CÓDIGO_x000D_
_x000D_
          1ª Coluna  ==  CÓDIGO_x000D_
</t>
        </r>
      </text>
    </comment>
    <comment ref="C8" authorId="1" shapeId="0" xr:uid="{00000000-0006-0000-00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A especificação mostrará a descrição completa da tabela Itens (Informação contida nos comentários das células quando for diferente da descrição resumida).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700-000001000000}">
      <text>
        <r>
          <rPr>
            <sz val="10"/>
            <color indexed="81"/>
            <rFont val="Lucida Console"/>
            <family val="3"/>
          </rPr>
          <t xml:space="preserve">Ordenado por: Referência_x000D_
_x000D_
          1ª Coluna  ==  Referência_x000D_
</t>
        </r>
      </text>
    </comment>
    <comment ref="D2" authorId="0" shapeId="0" xr:uid="{00000000-0006-0000-07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Informação de montagem da planilha de base.
Utilizada para garantir que determinado parâmetro não será excluído da planilha na exclusão geral.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2" authorId="0" shapeId="0" xr:uid="{00000000-0006-0000-0A00-000001000000}">
      <text>
        <r>
          <rPr>
            <sz val="10"/>
            <color indexed="81"/>
            <rFont val="Lucida Console"/>
            <family val="3"/>
          </rPr>
          <t xml:space="preserve">Ordenado por: FORNECEDOR, AF ANO, AF Nº, CÓDIGO_x000D_
_x000D_
          1ª Coluna  ==  FORNECEDOR_x000D_
          2ª Coluna  ==  AF ANO_x000D_
          3ª Coluna  ==  AF Nº_x000D_
          4ª Coluna  ==  CÓDIGO_x000D_
</t>
        </r>
      </text>
    </comment>
    <comment ref="B2" authorId="1" shapeId="0" xr:uid="{00000000-0006-0000-0A00-000002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Nº</t>
        </r>
      </text>
    </comment>
    <comment ref="C2" authorId="1" shapeId="0" xr:uid="{00000000-0006-0000-0A00-000003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SALDO</t>
        </r>
      </text>
    </comment>
    <comment ref="D2" authorId="1" shapeId="0" xr:uid="{00000000-0006-0000-0A00-000004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QTDE</t>
        </r>
      </text>
    </comment>
    <comment ref="E2" authorId="1" shapeId="0" xr:uid="{00000000-0006-0000-0A00-000005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CÓDIGO</t>
        </r>
      </text>
    </comment>
    <comment ref="F2" authorId="1" shapeId="0" xr:uid="{00000000-0006-0000-0A00-000006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DESCRIÇÃO</t>
        </r>
      </text>
    </comment>
    <comment ref="H2" authorId="1" shapeId="0" xr:uid="{00000000-0006-0000-0A00-000007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FORNECEDOR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B00-000001000000}">
      <text>
        <r>
          <rPr>
            <sz val="10"/>
            <color indexed="81"/>
            <rFont val="Lucida Console"/>
            <family val="3"/>
          </rPr>
          <t xml:space="preserve">Ordenado por: DESCRIÇÃO, CÓDIGO, TIPO, ANO, Nº_x000D_
_x000D_
          1ª Coluna  ==  DESCRIÇÃO_x000D_
          2ª Coluna  ==  CÓDIGO_x000D_
          3ª Coluna  ==  TIPO_x000D_
          4ª Coluna  ==  ANO_x000D_
          5ª Coluna  ==  Nº_x000D_
</t>
        </r>
      </text>
    </comment>
  </commentList>
</comments>
</file>

<file path=xl/sharedStrings.xml><?xml version="1.0" encoding="utf-8"?>
<sst xmlns="http://schemas.openxmlformats.org/spreadsheetml/2006/main" count="215" uniqueCount="197">
  <si>
    <t>CÓDIGO</t>
  </si>
  <si>
    <t>DESCRIÇÃO</t>
  </si>
  <si>
    <t>UNIDADE</t>
  </si>
  <si>
    <t>FORNECEDOR</t>
  </si>
  <si>
    <t>LC</t>
  </si>
  <si>
    <t>ATA QTDE</t>
  </si>
  <si>
    <t>GRUPO</t>
  </si>
  <si>
    <t>SUBGRUPO</t>
  </si>
  <si>
    <t>RC Nº</t>
  </si>
  <si>
    <t>RC QTDE</t>
  </si>
  <si>
    <t>AF Nº</t>
  </si>
  <si>
    <t>AF ANO</t>
  </si>
  <si>
    <t>AF SALDO</t>
  </si>
  <si>
    <t>AF QTDE</t>
  </si>
  <si>
    <t>DATA ENTREGA</t>
  </si>
  <si>
    <t>UN</t>
  </si>
  <si>
    <t>ITEM</t>
  </si>
  <si>
    <t>SUBG</t>
  </si>
  <si>
    <t>COMPRA</t>
  </si>
  <si>
    <t>ATA</t>
  </si>
  <si>
    <t>VIGÊNCIA DA ATA</t>
  </si>
  <si>
    <t>RC</t>
  </si>
  <si>
    <t>OBSERVAÇÕES</t>
  </si>
  <si>
    <t>FICHA</t>
  </si>
  <si>
    <t>PROJ</t>
  </si>
  <si>
    <t>Consumo</t>
  </si>
  <si>
    <t>Referência</t>
  </si>
  <si>
    <t>Valor</t>
  </si>
  <si>
    <t>Observações</t>
  </si>
  <si>
    <t>CaminhoPadrãoDasPlanilhasDeCompraNaRede</t>
  </si>
  <si>
    <t>Caminho padrão na rede. Mudar somente se necessário.</t>
  </si>
  <si>
    <t>ESPECIFICAÇÃO</t>
  </si>
  <si>
    <t>QUANTIDADE ESTIMADA</t>
  </si>
  <si>
    <t>PLANILHA Nº 4 / TEMP</t>
  </si>
  <si>
    <t>SALDO ESTOQUE</t>
  </si>
  <si>
    <t>Prefeitura de São José dos Campos</t>
  </si>
  <si>
    <t>Secretaria de Educação e Cidadania</t>
  </si>
  <si>
    <t>Departamento de Apoio de Gestão</t>
  </si>
  <si>
    <t>Divisão de Suprimentos</t>
  </si>
  <si>
    <t>TIPO</t>
  </si>
  <si>
    <t>VALOR</t>
  </si>
  <si>
    <t>Assinatura</t>
  </si>
  <si>
    <t>Diferente</t>
  </si>
  <si>
    <t>OBSERVAÇÃO</t>
  </si>
  <si>
    <t>STATUS</t>
  </si>
  <si>
    <t>SITUAÇÃO</t>
  </si>
  <si>
    <t>PREVISÃO</t>
  </si>
  <si>
    <t>ESTOQUE</t>
  </si>
  <si>
    <t>SALDO</t>
  </si>
  <si>
    <t>ANO</t>
  </si>
  <si>
    <t>Nº</t>
  </si>
  <si>
    <t>QTDE</t>
  </si>
  <si>
    <t>FIM</t>
  </si>
  <si>
    <t>G:\Suprimentos\Compras\3 Planilhas Compras Estoque\</t>
  </si>
  <si>
    <t>ESTOQUE FÍSICO</t>
  </si>
  <si>
    <t>COMPRAS EM ANDAMENTO</t>
  </si>
  <si>
    <t>ÚLTIMA ENTRADA ESTOQUE</t>
  </si>
  <si>
    <t>ÚLTIMA SAÍDA</t>
  </si>
  <si>
    <t>SUGESTÃO DE COMPRA</t>
  </si>
  <si>
    <t>QUANT ESTIMADA PELO SETOR</t>
  </si>
  <si>
    <t>TOTAL CONSUMO ÚLTIMO ANO</t>
  </si>
  <si>
    <t>TEMPO ESTOQUE (MESES)</t>
  </si>
  <si>
    <t>DURAÇÃO EM MESES</t>
  </si>
  <si>
    <t>COMPRA EXTRA</t>
  </si>
  <si>
    <t>Situação das RCs e AFs dos Itens Selecionados_x000D_
Posição de RCs atualizada em 19.12.2019_x000D_
Posição de AFs atualizada em 16.12.2019</t>
  </si>
  <si>
    <t>Situação das AF´s dos Itens Selecionados</t>
  </si>
  <si>
    <t>ESTIMATIVA ANTERIOR</t>
  </si>
  <si>
    <t>INFORMAR "OK" OU NOVA QUANTIDADE</t>
  </si>
  <si>
    <t>Conferir Compra Cronograma</t>
  </si>
  <si>
    <t>&lt;&lt; nome do setor &gt;&gt;</t>
  </si>
  <si>
    <t>Estimar quantidade para &lt;1&gt; meses.</t>
  </si>
  <si>
    <t>CONSUMO</t>
  </si>
  <si>
    <t>Manter</t>
  </si>
  <si>
    <t>X</t>
  </si>
  <si>
    <t xml:space="preserve">RASCUNHO DA ESTIMATIVA DE REABERTURA DE ATA Nº NNN / AAAA_x000D_
XXXXXXXXXXXXXXXXXXXX_x000D_
Obs.: X = Fora de Estoque ou na Lista de Exclusão / 0 = Não estimado por excesso de saldo_x000D_
Vencimento e Previsão de Renovação </t>
  </si>
  <si>
    <t>AF_PrazoParaDesconsiderarQuantidadeDaEntregaAtrasada</t>
  </si>
  <si>
    <t>Quantidade de dias para desconsiderar Afs com atraso na entrega. Isto irá zerar apenas na Itens.</t>
  </si>
  <si>
    <t>ApuraçãoDoCronograma</t>
  </si>
  <si>
    <t>Assinaturas_ChaveUltimaAlteração</t>
  </si>
  <si>
    <t>Assinaturas_Texto_Conferência_de_RCs</t>
  </si>
  <si>
    <t xml:space="preserve">               Roteiro Conferência RCs Emitidas
01) (  ) Lançar os nºs de RCs na planilha Assinaturas
02) (  ) Lançar as folhas geradas de RCs na planilha RCsGeradas. Conferir o total com o líquido da Assinaturas
03) (  ) Verificar na RC se a Orçamentária está correta = 280
04) (  ) Verificar na RC o Endereço de Entrega (Observar casos para entrega no Eldorado)
05) (  ) Verificar na RC se Projeto/Ficha estão corretos
06) (  ) Verificar na RC o Nº da Ata
07) (  ) Verificar na RC a observação Planilha nº nnn/ano
08) (  ) Verificar na RC se tem Complemento na Descrição de cada item
09) (  ) Verificar na RC se a descrição do Projeto confere com a Justificativa (Infantil, fundamental)
10) (  ) Verificar a necessidade de carimbar 25%, FUNDEB ou VERBA FEDERAL
11) (  ) Atualizar Saldos de Ata na planilha "Itens em Ata"
12) (  ) Se tiver alterações de quantidades notificar o Contratos (Vitor/Fernanda)</t>
  </si>
  <si>
    <t>Texto do qual será gerada a impressão de conferência.</t>
  </si>
  <si>
    <t>Assinaturas_Texto_Conferência_de_RCs_Quantidade</t>
  </si>
  <si>
    <t>Quantidade de vezes que o texto de conferência sairá em uma página</t>
  </si>
  <si>
    <t>AtalhoDeComentárioAtivo</t>
  </si>
  <si>
    <t>Ativa rotina executada pelo CTRL + M para comentar células automaticamente</t>
  </si>
  <si>
    <t>Atas_PrazoParaVerificarRenovação</t>
  </si>
  <si>
    <t>Dias de prazo para verificar renovação de ata. Usado em relatório.</t>
  </si>
  <si>
    <t>ConferirCompra_ColunaDeApuração</t>
  </si>
  <si>
    <t>Coluna que será utilizada na apuração da planilha ConferirCompra</t>
  </si>
  <si>
    <t>ConsumoLCMeses</t>
  </si>
  <si>
    <t>Última coluna de meses da planilha Consumo</t>
  </si>
  <si>
    <t>ConsumoLCTotal</t>
  </si>
  <si>
    <t>Última coluna da planilha Consumo</t>
  </si>
  <si>
    <t>ConsumoLR</t>
  </si>
  <si>
    <t>Última linha da planilha Consumo</t>
  </si>
  <si>
    <t>ConsumoMesesMédia</t>
  </si>
  <si>
    <t>Meses de médias lidos na planilha de consumo</t>
  </si>
  <si>
    <t>ConsumoPosiçãoParaProcV</t>
  </si>
  <si>
    <t>Posição da Fórmula ProcV da Coluna de Médias.</t>
  </si>
  <si>
    <t>ConsumoSomarPendentes</t>
  </si>
  <si>
    <t>Define se a coluna PENDENTES entrará na soma do consumo e médias.</t>
  </si>
  <si>
    <t>CronogramaListaDeFornecedoresIgnoradosDeAta</t>
  </si>
  <si>
    <t>&lt;&lt; vazio &gt;&gt; Use o link ao lado para preencher =&gt;</t>
  </si>
  <si>
    <t>COLUNA_DA_TABELA#tabItens#FORNECEDOR</t>
  </si>
  <si>
    <t>EstimativaDeAta_Altura_da_Linha</t>
  </si>
  <si>
    <t>Altura da linha para impressão.</t>
  </si>
  <si>
    <t>EstimativaDeAta_Ano</t>
  </si>
  <si>
    <t>AAAA</t>
  </si>
  <si>
    <t>EstimativaDeAta_Arquivo_Importado</t>
  </si>
  <si>
    <t>EstimativaDeAta_Descrição</t>
  </si>
  <si>
    <t>XXXXXXXXXXXXXXXXXXXX</t>
  </si>
  <si>
    <t>EstimativaDeAta_Número</t>
  </si>
  <si>
    <t>NNN</t>
  </si>
  <si>
    <t>EstimativaDeAta_OcultarColunas_ColunasAnaliseOcultar</t>
  </si>
  <si>
    <t>GRUPO,SUBG,COMPRA,ATA,ATA QTDE,VIGÊNCIA DA ATA,FORNECEDOR,RC Nº,RC QTDE,AF Nº,AF SALDO,DATA ENTREGA,RC,FICHA,PROJ,OBSERVAÇÕES</t>
  </si>
  <si>
    <t>Colunas que serão ocultadas na planilha "EstimativaDeAta" para análise</t>
  </si>
  <si>
    <t>EstimativaDeAta_OcultarColunas_ColunasAOcultar</t>
  </si>
  <si>
    <t>GRUPO,SUBG,COMPRA,VALOR TOTAL,ATA,ATA QTDE,VIGÊNCIA DA ATA,FORNECEDOR,RC Nº,RC QTDE,AF Nº,AF SALDO,Recentes,DATA ENTREGA,RC,FICHA,PROJ,OBSERVAÇÕES</t>
  </si>
  <si>
    <t>Colunas que serão ocultadas na planilha "EstimativaDeAta"</t>
  </si>
  <si>
    <t>EstimativaDeAta_OcultarColunas_EmAnálise</t>
  </si>
  <si>
    <t>Qual tipo de ocultação de coluna será utilizada na "EstimativaDeAta"</t>
  </si>
  <si>
    <t>EstimativaDeAta_Vencimento</t>
  </si>
  <si>
    <t>GráficoItensZerados</t>
  </si>
  <si>
    <t>G:\Suprimentos\Compras\Formulários\Gráfico_Itens_Zerados.xlsx</t>
  </si>
  <si>
    <t>Caminho e nome do arquivo de impressão de gráfico de itens zerados.</t>
  </si>
  <si>
    <t>GruposIgnoradosNosZerados</t>
  </si>
  <si>
    <t>Grupos que serão ignorados no gráfico de itens zerados.</t>
  </si>
  <si>
    <t>Importação_Tempo_Último_Processamento</t>
  </si>
  <si>
    <t>ItensCélulaDeDataEHoraDoArquivoDeRCs</t>
  </si>
  <si>
    <t>D1</t>
  </si>
  <si>
    <t>Célula da planilha "Itens" em que será exibida a data e hora do arquivo de RC´s</t>
  </si>
  <si>
    <t>ItensColunaDeCompra</t>
  </si>
  <si>
    <t>Coluna da planilha Itens em que serão lançadas as quantidades de compra</t>
  </si>
  <si>
    <t>ItensControleDeFiltroEspecial</t>
  </si>
  <si>
    <t>ItensDestaqueDeLinhaAtiva</t>
  </si>
  <si>
    <t>ItensDestaqueDeLinhaColunas</t>
  </si>
  <si>
    <t>CÓDIGO,DESCRIÇÃO,LC,ATA QTDE,DATA ENTREGA,Recentes,PontoMês,Sugestão,COMPRA_EXTRA</t>
  </si>
  <si>
    <t>Colunas que ficarão em destaque quando a linha for selecionada na planilha "Itens"</t>
  </si>
  <si>
    <t>ItensOcultarColunas</t>
  </si>
  <si>
    <t>ItensOcultarColunas_ColunasAOcultar</t>
  </si>
  <si>
    <t>MARCA,COD. ALMOX,PREÇO MÉDIO,ATA VALOR,DESCRIÇÃO DA ESTRUTURA,ESTRUTURA,AF QTDE,PONTO PEDIDO,DATA INCLUSÃO,DATA ALTERAÇÃO,DATA DESATIVAÇÃO,DESCRIÇÃO DETALHADA,Excluir?,ATA VALOR,PctAb</t>
  </si>
  <si>
    <t>Colunas que serão ocultadas na planilha "Itens"</t>
  </si>
  <si>
    <t>ItensOcultarColunas_ColunasAOcultarCronograma</t>
  </si>
  <si>
    <t>Pend,%Pend,CompraAnterior</t>
  </si>
  <si>
    <t>Colunas ocultas quando a planilha não for de apuração de cronograma</t>
  </si>
  <si>
    <t>ItensOcultarColunas_ColunasAtaAOcultar</t>
  </si>
  <si>
    <t xml:space="preserve">MARCA,FORNECEDOR,LICITACAO,COD. ALMOX,PREÇO MÉDIO,L.C. 6 MESES,ATA VALOR,DESCRIÇÃO DA ESTRUTURA,ESTRUTURA,AF QTDE,PONTO PEDIDO,DATA ENTREGA,DATA ALTERAÇÃO,DATA DESATIVAÇÃO,DESCRIÇÃO DETALHADA,Excluir?,Semanas ATA,Recentes,PontoPed,PctAb,PrioriSaldo,Sugestão,NãoComprado </t>
  </si>
  <si>
    <t>Colunas que serão ocultadas na planilha "Itens" para apuração de Ata</t>
  </si>
  <si>
    <t>ItensQuantidadeDeMesesAbaixoFisico</t>
  </si>
  <si>
    <t xml:space="preserve">Parãmetro fixo de meses para ponto de pedido específico de cálculos de estoque físico abaixo do limite. </t>
  </si>
  <si>
    <t>ItensQuantidadeDeMesesFixoDeSugestãoEmAta</t>
  </si>
  <si>
    <t>Quantidade de meses para estimar compra acima do ponto de pedido para itens em ata.</t>
  </si>
  <si>
    <t>ItensQuantidadeDeMesesFixoDeSugestãoForaDeAta</t>
  </si>
  <si>
    <t>Quantidade de meses para estimar compra acima do ponto de pedido para itens fora de ata.</t>
  </si>
  <si>
    <t>ItensQuantidadeDeSemanas_1_ParaVencimentoDeAta</t>
  </si>
  <si>
    <t>Quantidade de dias fixo utilizado no cálculo de semanas para vencimento de ata ser sinalizado com vermelho</t>
  </si>
  <si>
    <t>ItensQuantidadeDeSemanas_2_ParaVencimentoDeAta</t>
  </si>
  <si>
    <t>Quantidade de dias fixo utilizado no cálculo de semanas para vencimento de ata ser sinalizado com laranja</t>
  </si>
  <si>
    <t>LocalNaRedeDaItensEmAta</t>
  </si>
  <si>
    <t>G:\Suprimentos\Compras\1 Estimativas de ATA 14-08-17</t>
  </si>
  <si>
    <t>Local onde a planilha de itens em ata estará guardada.</t>
  </si>
  <si>
    <t>ManterColunasUS</t>
  </si>
  <si>
    <t>Mantém as colunas US_NOME e US_DATH visíveis até fechar a planilha</t>
  </si>
  <si>
    <t>Objetivo_da_Planilha</t>
  </si>
  <si>
    <t>COMPRAS</t>
  </si>
  <si>
    <t>PlanilhaPrincipal</t>
  </si>
  <si>
    <t>Itens</t>
  </si>
  <si>
    <t>ABA#</t>
  </si>
  <si>
    <t>RelatórioAtaComVencimentoErrado_ItensSemPontoPed</t>
  </si>
  <si>
    <t>54|62</t>
  </si>
  <si>
    <t>Grupos que serão ignorados no relatório de Itens Em Ata Sem Ponto de Pedido.</t>
  </si>
  <si>
    <t>TotalDeLinhas</t>
  </si>
  <si>
    <t>VerificarAFs_CaminhoPadrãoDaPlanilhaDoFollowUp</t>
  </si>
  <si>
    <t>S:\Acompanhamento_Compras\</t>
  </si>
  <si>
    <t>Local onde a planilha de acompanhamento de AF´s do Follow-up se encontra</t>
  </si>
  <si>
    <t>VerificarAFs_NomePadrãoDaPlanilhaDoFollowUp</t>
  </si>
  <si>
    <t>Saldo AFs Pendentes.xlsx</t>
  </si>
  <si>
    <t>Nome da planilha de acompanhamento de AF´s do Follow-up</t>
  </si>
  <si>
    <t>VerificarRCsAFs_CaminhoPadrãoDaPlanilha</t>
  </si>
  <si>
    <t>G:\Suprimentos\Compras\0 MATRIZ PLANILHA RCs E ATAs PENDENTES\</t>
  </si>
  <si>
    <t>Local onde a planilha de acompanhamento de RC´s se encontra</t>
  </si>
  <si>
    <t>VerificarRCsComAlterações_AnoDeInício</t>
  </si>
  <si>
    <t>Ano de início da verificação de RCs com alterações pendentes.</t>
  </si>
  <si>
    <t>Define que a planilha está apurando itens para compra pelo cronograma (fora de ata). Dinâmico.</t>
  </si>
  <si>
    <t>Chave que identifica a última alteração das Assinaturas. Dinâmico.</t>
  </si>
  <si>
    <t>O que será colocado no Ano da Ata na planilha de Estimativa de Ata. Dinâmico.</t>
  </si>
  <si>
    <t>Caminho e nome do arquivo importado para a tela de filtros. Dinâmico.</t>
  </si>
  <si>
    <t>O que será colocado na Descrição da planilha de Estimativa de Ata. Dinâmico.</t>
  </si>
  <si>
    <t>O que será colocado em Número da Ata na planilha de Estimativa de Ata. Dinâmico.</t>
  </si>
  <si>
    <t>Vencimento da ATA e Previsão da sua Renovação. Dinâmico.</t>
  </si>
  <si>
    <t>Tempo decorrido do último processamento de importação de planilhas. Dinâmico.</t>
  </si>
  <si>
    <t>Controle que define que um filtro especial está habilitado. Dinâmico.</t>
  </si>
  <si>
    <t>Ativa/desativa a mudança de cor da linha que está em destaque na planilha "Itens". Dinâmico.</t>
  </si>
  <si>
    <t>Sinaliza se o botão Ocultar Colunas da tabela "Itens" está ativo. Dinâmico.</t>
  </si>
  <si>
    <t>ATA ou COMPRAS. Dinâmico.</t>
  </si>
  <si>
    <t>Quantidade total de linhas geradas. Dinâmico.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</si>
</sst>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&quot;R$&quot;* #,##0.00_);_(&quot;R$&quot;* \(#,##0.00\);_(&quot;R$&quot;* &quot;-&quot;??_);_(@_)"/>
    <numFmt numFmtId="165" formatCode="#,##0;;;@"/>
    <numFmt numFmtId="166" formatCode="dd\.mm\.yyyy"/>
    <numFmt numFmtId="167" formatCode="dd\.mm\.yy"/>
    <numFmt numFmtId="168" formatCode="#,##0.00;;;@"/>
    <numFmt numFmtId="169" formatCode="#,##0_ "/>
    <numFmt numFmtId="170" formatCode="#,##0_ ;;;@"/>
    <numFmt numFmtId="171" formatCode="00"/>
    <numFmt numFmtId="172" formatCode="#0.0_ "/>
    <numFmt numFmtId="173" formatCode="#,##0.0;;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i/>
      <sz val="12"/>
      <color rgb="FF3019D7"/>
      <name val="Calibri"/>
      <family val="2"/>
      <scheme val="minor"/>
    </font>
    <font>
      <sz val="10"/>
      <color indexed="81"/>
      <name val="Lucida Console"/>
      <family val="3"/>
    </font>
    <font>
      <b/>
      <u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gradientFill>
        <stop position="0">
          <color theme="0"/>
        </stop>
        <stop position="1">
          <color theme="7" tint="0.39997558519241921"/>
        </stop>
      </gradientFill>
    </fill>
  </fills>
  <borders count="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5"/>
      </right>
      <top style="thin">
        <color theme="1"/>
      </top>
      <bottom style="thin">
        <color theme="1"/>
      </bottom>
      <diagonal/>
    </border>
    <border>
      <left style="thin">
        <color theme="5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164" fontId="8" fillId="0" borderId="0" applyFont="0" applyFill="0" applyBorder="0" applyAlignment="0" applyProtection="0"/>
    <xf numFmtId="0" fontId="9" fillId="0" borderId="0"/>
    <xf numFmtId="0" fontId="14" fillId="0" borderId="0">
      <alignment horizontal="justify"/>
    </xf>
  </cellStyleXfs>
  <cellXfs count="135">
    <xf numFmtId="0" fontId="0" fillId="0" borderId="0" xfId="0"/>
    <xf numFmtId="4" fontId="0" fillId="0" borderId="0" xfId="0" applyNumberFormat="1" applyAlignment="1">
      <alignment horizontal="right" indent="1"/>
    </xf>
    <xf numFmtId="3" fontId="0" fillId="0" borderId="0" xfId="0" applyNumberFormat="1" applyAlignment="1">
      <alignment horizontal="right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7" fillId="0" borderId="0" xfId="0" applyFont="1" applyAlignment="1">
      <alignment horizontal="center" vertical="center"/>
    </xf>
    <xf numFmtId="165" fontId="0" fillId="0" borderId="0" xfId="0" applyNumberFormat="1" applyAlignment="1">
      <alignment horizontal="right" indent="1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3" fontId="0" fillId="0" borderId="0" xfId="0" applyNumberFormat="1" applyAlignment="1">
      <alignment horizontal="right" vertical="center" indent="1"/>
    </xf>
    <xf numFmtId="3" fontId="1" fillId="0" borderId="0" xfId="0" applyNumberFormat="1" applyFont="1" applyAlignment="1">
      <alignment horizontal="right" indent="1"/>
    </xf>
    <xf numFmtId="167" fontId="0" fillId="0" borderId="0" xfId="0" applyNumberFormat="1" applyAlignment="1">
      <alignment horizontal="center"/>
    </xf>
    <xf numFmtId="164" fontId="0" fillId="0" borderId="0" xfId="0" applyNumberFormat="1"/>
    <xf numFmtId="167" fontId="0" fillId="0" borderId="0" xfId="0" applyNumberFormat="1" applyAlignment="1">
      <alignment horizontal="left" indent="1"/>
    </xf>
    <xf numFmtId="14" fontId="0" fillId="0" borderId="0" xfId="0" applyNumberFormat="1"/>
    <xf numFmtId="14" fontId="6" fillId="0" borderId="0" xfId="0" applyNumberFormat="1" applyFont="1"/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left" vertical="top" indent="1"/>
    </xf>
    <xf numFmtId="3" fontId="17" fillId="2" borderId="2" xfId="0" applyNumberFormat="1" applyFont="1" applyFill="1" applyBorder="1" applyAlignment="1">
      <alignment horizontal="center" vertical="center"/>
    </xf>
    <xf numFmtId="3" fontId="17" fillId="2" borderId="3" xfId="0" applyNumberFormat="1" applyFont="1" applyFill="1" applyBorder="1" applyAlignment="1">
      <alignment horizontal="center" vertical="center"/>
    </xf>
    <xf numFmtId="3" fontId="17" fillId="2" borderId="4" xfId="0" applyNumberFormat="1" applyFont="1" applyFill="1" applyBorder="1" applyAlignment="1">
      <alignment horizontal="center" vertical="center"/>
    </xf>
    <xf numFmtId="49" fontId="17" fillId="2" borderId="2" xfId="0" applyNumberFormat="1" applyFont="1" applyFill="1" applyBorder="1" applyAlignment="1">
      <alignment horizontal="left" vertical="center" indent="1"/>
    </xf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left" vertical="center" indent="1"/>
    </xf>
    <xf numFmtId="165" fontId="10" fillId="0" borderId="0" xfId="2" applyNumberFormat="1" applyFont="1" applyAlignment="1">
      <alignment horizontal="right" vertical="center" indent="1"/>
    </xf>
    <xf numFmtId="4" fontId="7" fillId="0" borderId="0" xfId="0" applyNumberFormat="1" applyFont="1" applyAlignment="1">
      <alignment horizontal="center" vertical="center"/>
    </xf>
    <xf numFmtId="0" fontId="10" fillId="0" borderId="0" xfId="2" applyFont="1" applyAlignment="1">
      <alignment horizontal="left" vertical="center"/>
    </xf>
    <xf numFmtId="3" fontId="17" fillId="2" borderId="0" xfId="0" applyNumberFormat="1" applyFont="1" applyFill="1" applyAlignment="1">
      <alignment horizontal="center" vertical="center"/>
    </xf>
    <xf numFmtId="1" fontId="17" fillId="2" borderId="2" xfId="0" applyNumberFormat="1" applyFont="1" applyFill="1" applyBorder="1" applyAlignment="1">
      <alignment horizontal="center" vertical="center"/>
    </xf>
    <xf numFmtId="1" fontId="17" fillId="2" borderId="2" xfId="0" applyNumberFormat="1" applyFont="1" applyFill="1" applyBorder="1" applyAlignment="1">
      <alignment horizontal="left" vertical="center"/>
    </xf>
    <xf numFmtId="1" fontId="17" fillId="2" borderId="2" xfId="0" applyNumberFormat="1" applyFont="1" applyFill="1" applyBorder="1" applyAlignment="1">
      <alignment horizontal="left" vertical="center" indent="1"/>
    </xf>
    <xf numFmtId="3" fontId="17" fillId="2" borderId="0" xfId="0" applyNumberFormat="1" applyFont="1" applyFill="1" applyAlignment="1">
      <alignment horizontal="left" vertical="center" indent="1"/>
    </xf>
    <xf numFmtId="3" fontId="17" fillId="2" borderId="0" xfId="0" applyNumberFormat="1" applyFont="1" applyFill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right" vertical="center" indent="1"/>
    </xf>
    <xf numFmtId="49" fontId="7" fillId="0" borderId="0" xfId="0" applyNumberFormat="1" applyFont="1" applyAlignment="1">
      <alignment horizontal="left" vertical="center" wrapText="1" indent="1"/>
    </xf>
    <xf numFmtId="169" fontId="20" fillId="0" borderId="0" xfId="0" applyNumberFormat="1" applyFont="1" applyAlignment="1">
      <alignment horizontal="right" vertical="center"/>
    </xf>
    <xf numFmtId="166" fontId="7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 indent="1"/>
    </xf>
    <xf numFmtId="0" fontId="1" fillId="0" borderId="13" xfId="0" applyFont="1" applyBorder="1" applyAlignment="1">
      <alignment horizontal="center" vertical="center"/>
    </xf>
    <xf numFmtId="3" fontId="0" fillId="0" borderId="14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textRotation="90"/>
    </xf>
    <xf numFmtId="3" fontId="1" fillId="0" borderId="14" xfId="0" applyNumberFormat="1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49" fontId="1" fillId="0" borderId="14" xfId="0" applyNumberFormat="1" applyFont="1" applyBorder="1" applyAlignment="1">
      <alignment horizontal="center" vertical="center" wrapText="1"/>
    </xf>
    <xf numFmtId="167" fontId="1" fillId="0" borderId="14" xfId="0" applyNumberFormat="1" applyFont="1" applyBorder="1" applyAlignment="1">
      <alignment horizontal="center" vertical="center" wrapText="1"/>
    </xf>
    <xf numFmtId="167" fontId="1" fillId="0" borderId="14" xfId="0" applyNumberFormat="1" applyFont="1" applyBorder="1" applyAlignment="1">
      <alignment horizontal="left" vertical="center" wrapText="1" indent="1"/>
    </xf>
    <xf numFmtId="166" fontId="1" fillId="0" borderId="14" xfId="0" applyNumberFormat="1" applyFont="1" applyBorder="1" applyAlignment="1">
      <alignment horizontal="center" vertical="center"/>
    </xf>
    <xf numFmtId="3" fontId="1" fillId="0" borderId="14" xfId="0" applyNumberFormat="1" applyFont="1" applyBorder="1" applyAlignment="1">
      <alignment horizontal="center" vertical="center"/>
    </xf>
    <xf numFmtId="3" fontId="1" fillId="0" borderId="14" xfId="0" applyNumberFormat="1" applyFont="1" applyBorder="1" applyAlignment="1">
      <alignment horizontal="center" vertical="center" textRotation="90"/>
    </xf>
    <xf numFmtId="0" fontId="1" fillId="0" borderId="14" xfId="0" applyFont="1" applyBorder="1" applyAlignment="1">
      <alignment horizontal="left" vertical="center" indent="1"/>
    </xf>
    <xf numFmtId="0" fontId="1" fillId="0" borderId="15" xfId="0" applyFont="1" applyBorder="1" applyAlignment="1">
      <alignment horizontal="center" vertical="center" wrapText="1"/>
    </xf>
    <xf numFmtId="3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left" vertical="center" wrapText="1" indent="1"/>
    </xf>
    <xf numFmtId="0" fontId="0" fillId="0" borderId="12" xfId="0" applyBorder="1" applyAlignment="1">
      <alignment horizontal="center" vertical="center"/>
    </xf>
    <xf numFmtId="3" fontId="1" fillId="0" borderId="12" xfId="0" applyNumberFormat="1" applyFont="1" applyBorder="1" applyAlignment="1">
      <alignment horizontal="right" vertical="center" indent="1"/>
    </xf>
    <xf numFmtId="3" fontId="0" fillId="0" borderId="12" xfId="1" applyNumberFormat="1" applyFont="1" applyFill="1" applyBorder="1" applyAlignment="1">
      <alignment horizontal="right" vertical="center" indent="1"/>
    </xf>
    <xf numFmtId="49" fontId="0" fillId="0" borderId="12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right" vertical="center" indent="1"/>
    </xf>
    <xf numFmtId="167" fontId="0" fillId="0" borderId="12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left" vertical="center"/>
    </xf>
    <xf numFmtId="0" fontId="0" fillId="0" borderId="12" xfId="0" applyBorder="1" applyAlignment="1">
      <alignment vertical="center"/>
    </xf>
    <xf numFmtId="166" fontId="0" fillId="0" borderId="12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3" fontId="5" fillId="0" borderId="0" xfId="0" applyNumberFormat="1" applyFont="1" applyAlignment="1">
      <alignment horizontal="right" vertical="center" indent="1"/>
    </xf>
    <xf numFmtId="49" fontId="13" fillId="0" borderId="18" xfId="0" applyNumberFormat="1" applyFont="1" applyBorder="1" applyAlignment="1">
      <alignment horizontal="left" vertical="center" wrapText="1" indent="1"/>
    </xf>
    <xf numFmtId="0" fontId="13" fillId="0" borderId="18" xfId="0" applyFont="1" applyBorder="1" applyAlignment="1">
      <alignment horizontal="center" vertical="center"/>
    </xf>
    <xf numFmtId="169" fontId="4" fillId="0" borderId="18" xfId="0" applyNumberFormat="1" applyFont="1" applyBorder="1" applyAlignment="1">
      <alignment vertical="center"/>
    </xf>
    <xf numFmtId="167" fontId="13" fillId="0" borderId="18" xfId="0" applyNumberFormat="1" applyFont="1" applyBorder="1" applyAlignment="1">
      <alignment horizontal="center" vertical="center"/>
    </xf>
    <xf numFmtId="49" fontId="13" fillId="0" borderId="18" xfId="0" applyNumberFormat="1" applyFont="1" applyBorder="1" applyAlignment="1">
      <alignment horizontal="center" vertical="center"/>
    </xf>
    <xf numFmtId="169" fontId="13" fillId="0" borderId="18" xfId="0" applyNumberFormat="1" applyFont="1" applyBorder="1" applyAlignment="1">
      <alignment vertical="center"/>
    </xf>
    <xf numFmtId="169" fontId="12" fillId="0" borderId="18" xfId="0" applyNumberFormat="1" applyFont="1" applyBorder="1" applyAlignment="1">
      <alignment vertical="center"/>
    </xf>
    <xf numFmtId="172" fontId="13" fillId="0" borderId="18" xfId="0" applyNumberFormat="1" applyFont="1" applyBorder="1" applyAlignment="1">
      <alignment vertical="center"/>
    </xf>
    <xf numFmtId="170" fontId="13" fillId="0" borderId="18" xfId="0" applyNumberFormat="1" applyFont="1" applyBorder="1" applyAlignment="1">
      <alignment horizontal="right" vertical="center"/>
    </xf>
    <xf numFmtId="169" fontId="22" fillId="0" borderId="18" xfId="0" applyNumberFormat="1" applyFont="1" applyBorder="1" applyAlignment="1">
      <alignment vertical="center"/>
    </xf>
    <xf numFmtId="0" fontId="13" fillId="0" borderId="19" xfId="0" applyFont="1" applyBorder="1" applyAlignment="1">
      <alignment horizontal="center" vertical="center"/>
    </xf>
    <xf numFmtId="49" fontId="13" fillId="0" borderId="19" xfId="0" applyNumberFormat="1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textRotation="90" wrapText="1"/>
    </xf>
    <xf numFmtId="0" fontId="7" fillId="0" borderId="19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0" fontId="13" fillId="0" borderId="18" xfId="0" applyNumberFormat="1" applyFont="1" applyBorder="1" applyAlignment="1">
      <alignment vertical="center"/>
    </xf>
    <xf numFmtId="0" fontId="13" fillId="0" borderId="0" xfId="0" applyFont="1" applyAlignment="1">
      <alignment horizontal="left" vertical="top" indent="1"/>
    </xf>
    <xf numFmtId="0" fontId="4" fillId="0" borderId="0" xfId="0" applyFont="1" applyAlignment="1">
      <alignment horizontal="left" vertical="top" indent="1"/>
    </xf>
    <xf numFmtId="169" fontId="7" fillId="3" borderId="0" xfId="0" applyNumberFormat="1" applyFont="1" applyFill="1" applyAlignment="1">
      <alignment horizontal="right" vertical="center"/>
    </xf>
    <xf numFmtId="49" fontId="7" fillId="3" borderId="0" xfId="0" applyNumberFormat="1" applyFont="1" applyFill="1" applyAlignment="1">
      <alignment horizontal="left" vertical="center" wrapText="1" indent="1"/>
    </xf>
    <xf numFmtId="1" fontId="24" fillId="3" borderId="0" xfId="0" applyNumberFormat="1" applyFont="1" applyFill="1" applyAlignment="1">
      <alignment horizontal="center" vertical="center"/>
    </xf>
    <xf numFmtId="171" fontId="24" fillId="3" borderId="0" xfId="0" applyNumberFormat="1" applyFont="1" applyFill="1" applyAlignment="1">
      <alignment horizontal="center" vertical="center"/>
    </xf>
    <xf numFmtId="169" fontId="19" fillId="3" borderId="0" xfId="0" applyNumberFormat="1" applyFont="1" applyFill="1" applyAlignment="1">
      <alignment horizontal="right" vertical="center"/>
    </xf>
    <xf numFmtId="169" fontId="20" fillId="3" borderId="0" xfId="0" applyNumberFormat="1" applyFont="1" applyFill="1" applyAlignment="1">
      <alignment horizontal="right" vertical="center"/>
    </xf>
    <xf numFmtId="166" fontId="7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20" fillId="3" borderId="0" xfId="0" applyNumberFormat="1" applyFont="1" applyFill="1" applyAlignment="1">
      <alignment horizontal="center" vertical="center"/>
    </xf>
    <xf numFmtId="169" fontId="26" fillId="3" borderId="0" xfId="0" applyNumberFormat="1" applyFont="1" applyFill="1" applyAlignment="1">
      <alignment horizontal="right" vertical="center"/>
    </xf>
    <xf numFmtId="168" fontId="0" fillId="0" borderId="0" xfId="0" applyNumberFormat="1" applyAlignment="1">
      <alignment horizontal="right" indent="1"/>
    </xf>
    <xf numFmtId="0" fontId="11" fillId="0" borderId="0" xfId="0" applyFont="1" applyAlignment="1">
      <alignment horizontal="center" vertical="center"/>
    </xf>
    <xf numFmtId="3" fontId="22" fillId="0" borderId="17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textRotation="90" wrapText="1"/>
    </xf>
    <xf numFmtId="170" fontId="1" fillId="0" borderId="12" xfId="0" applyNumberFormat="1" applyFont="1" applyBorder="1" applyAlignment="1">
      <alignment horizontal="center" vertical="center" textRotation="90"/>
    </xf>
    <xf numFmtId="173" fontId="0" fillId="0" borderId="12" xfId="1" applyNumberFormat="1" applyFont="1" applyFill="1" applyBorder="1" applyAlignment="1">
      <alignment horizontal="right" vertical="center" indent="1"/>
    </xf>
    <xf numFmtId="0" fontId="27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21" fontId="13" fillId="0" borderId="0" xfId="0" applyNumberFormat="1" applyFont="1" applyAlignment="1">
      <alignment horizontal="left" vertical="top" indent="1"/>
    </xf>
    <xf numFmtId="3" fontId="0" fillId="0" borderId="0" xfId="0" applyNumberFormat="1" applyAlignment="1" applyProtection="1">
      <alignment horizontal="right" indent="1"/>
      <protection locked="0"/>
    </xf>
    <xf numFmtId="4" fontId="0" fillId="0" borderId="0" xfId="0" applyNumberFormat="1" applyAlignment="1" applyProtection="1">
      <alignment horizontal="right" indent="1"/>
      <protection locked="0"/>
    </xf>
    <xf numFmtId="0" fontId="13" fillId="0" borderId="0" xfId="0" applyFont="1" applyAlignment="1">
      <alignment horizontal="left" vertical="top" wrapText="1" indent="1"/>
    </xf>
    <xf numFmtId="0" fontId="10" fillId="0" borderId="0" xfId="0" applyFont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 wrapText="1"/>
    </xf>
    <xf numFmtId="0" fontId="15" fillId="0" borderId="0" xfId="2" applyFont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0" borderId="0" xfId="2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</cellXfs>
  <cellStyles count="4">
    <cellStyle name="Moeda" xfId="1" builtinId="4"/>
    <cellStyle name="Normal" xfId="0" builtinId="0"/>
    <cellStyle name="Normal 2" xfId="3" xr:uid="{00000000-0005-0000-0000-000002000000}"/>
    <cellStyle name="Normal 36" xfId="2" xr:uid="{00000000-0005-0000-0000-000003000000}"/>
  </cellStyles>
  <dxfs count="100">
    <dxf>
      <font>
        <strike val="0"/>
        <outline val="0"/>
        <shadow val="0"/>
        <vertAlign val="baseline"/>
        <sz val="12"/>
        <name val="Calibri"/>
        <scheme val="minor"/>
      </font>
      <numFmt numFmtId="0" formatCode="General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66" formatCode="dd\.mm\.yyyy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6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6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2"/>
        <color rgb="FFFF0000"/>
        <name val="Calibri"/>
        <scheme val="minor"/>
      </font>
      <numFmt numFmtId="16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71" formatCode="0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" formatCode="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6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4" formatCode="#.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66" formatCode="dd\.mm\.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69" formatCode="#,##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4" formatCode="#,##0.00"/>
      <alignment horizontal="right" vertical="bottom" textRotation="0" wrapText="0" indent="1" justifyLastLine="0" shrinkToFit="0" readingOrder="0"/>
    </dxf>
    <dxf>
      <numFmt numFmtId="168" formatCode="#,##0.00;;;@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4" formatCode="#,##0.00"/>
      <alignment horizontal="right" vertical="bottom" textRotation="0" wrapText="0" indent="1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numFmt numFmtId="3" formatCode="#,##0"/>
      <alignment horizontal="right" vertical="bottom" textRotation="0" wrapText="0" indent="1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ill>
        <gradientFill degree="90">
          <stop position="0">
            <color theme="0"/>
          </stop>
          <stop position="1">
            <color theme="7" tint="0.40000610370189521"/>
          </stop>
        </gradientFill>
      </fill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vertical="top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4"/>
        <color rgb="FFFF0000"/>
        <name val="Calibri"/>
        <scheme val="minor"/>
      </font>
      <numFmt numFmtId="16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6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0" formatCode="#,##0_ ;;;@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7" formatCode="dd\.mm\.yy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2" formatCode="#0.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9" formatCode="#,##0_ "/>
      <alignment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left" vertical="center" textRotation="0" wrapText="1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0" formatCode="#,##0_ ;;;@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rgb="FFFF0000"/>
        <name val="Calibri"/>
        <scheme val="minor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/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#,##0_ ;;;@"/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6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7" formatCode="dd\.mm\.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7" formatCode="dd\.mm\.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5" formatCode="#,##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#,##0.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>
        <top style="dashed">
          <color indexed="64"/>
        </top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  <vertical style="dashed">
          <color indexed="64"/>
        </vertical>
        <horizontal style="dashed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2" defaultTableStyle="TableStyleMedium2" defaultPivotStyle="PivotStyleLight16">
    <tableStyle name="Estilo de Tabela 1" pivot="0" count="1" xr9:uid="{00000000-0011-0000-FFFF-FFFF00000000}">
      <tableStyleElement type="wholeTable" dxfId="99"/>
    </tableStyle>
    <tableStyle name="Estilo de Tabela Dinâmica 1" table="0" count="0" xr9:uid="{00000000-0011-0000-FFFF-FFFF01000000}"/>
  </tableStyles>
  <colors>
    <mruColors>
      <color rgb="FFFF6600"/>
      <color rgb="FF00863D"/>
      <color rgb="FF007033"/>
      <color rgb="FF57257D"/>
      <color rgb="FF3C0FB9"/>
      <color rgb="FFDC7324"/>
      <color rgb="FF006DF2"/>
      <color rgb="FF00FA71"/>
      <color rgb="FFE59D1B"/>
      <color rgb="FF0DC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68102</xdr:colOff>
      <xdr:row>0</xdr:row>
      <xdr:rowOff>55147</xdr:rowOff>
    </xdr:from>
    <xdr:to>
      <xdr:col>2</xdr:col>
      <xdr:colOff>304801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121920</xdr:rowOff>
        </xdr:from>
        <xdr:to>
          <xdr:col>24</xdr:col>
          <xdr:colOff>891540</xdr:colOff>
          <xdr:row>2</xdr:row>
          <xdr:rowOff>220980</xdr:rowOff>
        </xdr:to>
        <xdr:sp macro="" textlink="">
          <xdr:nvSpPr>
            <xdr:cNvPr id="764929" name="btn_EstimativaAta_Imprimir" hidden="1">
              <a:extLst>
                <a:ext uri="{63B3BB69-23CF-44E3-9099-C40C66FF867C}">
                  <a14:compatExt spid="_x0000_s764929"/>
                </a:ext>
                <a:ext uri="{FF2B5EF4-FFF2-40B4-BE49-F238E27FC236}">
                  <a16:creationId xmlns:a16="http://schemas.microsoft.com/office/drawing/2014/main" id="{00000000-0008-0000-0000-000001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1013460</xdr:colOff>
          <xdr:row>0</xdr:row>
          <xdr:rowOff>121920</xdr:rowOff>
        </xdr:from>
        <xdr:to>
          <xdr:col>26</xdr:col>
          <xdr:colOff>182880</xdr:colOff>
          <xdr:row>2</xdr:row>
          <xdr:rowOff>220980</xdr:rowOff>
        </xdr:to>
        <xdr:sp macro="" textlink="">
          <xdr:nvSpPr>
            <xdr:cNvPr id="764930" name="btn_EstimativaAta_Importar" hidden="1">
              <a:extLst>
                <a:ext uri="{63B3BB69-23CF-44E3-9099-C40C66FF867C}">
                  <a14:compatExt spid="_x0000_s764930"/>
                </a:ext>
                <a:ext uri="{FF2B5EF4-FFF2-40B4-BE49-F238E27FC236}">
                  <a16:creationId xmlns:a16="http://schemas.microsoft.com/office/drawing/2014/main" id="{00000000-0008-0000-0000-000002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495300</xdr:colOff>
          <xdr:row>0</xdr:row>
          <xdr:rowOff>121920</xdr:rowOff>
        </xdr:from>
        <xdr:to>
          <xdr:col>30</xdr:col>
          <xdr:colOff>541020</xdr:colOff>
          <xdr:row>2</xdr:row>
          <xdr:rowOff>220980</xdr:rowOff>
        </xdr:to>
        <xdr:sp macro="" textlink="">
          <xdr:nvSpPr>
            <xdr:cNvPr id="764931" name="btn_EstimativaAta_Exibir" hidden="1">
              <a:extLst>
                <a:ext uri="{63B3BB69-23CF-44E3-9099-C40C66FF867C}">
                  <a14:compatExt spid="_x0000_s764931"/>
                </a:ext>
                <a:ext uri="{FF2B5EF4-FFF2-40B4-BE49-F238E27FC236}">
                  <a16:creationId xmlns:a16="http://schemas.microsoft.com/office/drawing/2014/main" id="{00000000-0008-0000-0000-000003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0</xdr:row>
          <xdr:rowOff>121920</xdr:rowOff>
        </xdr:from>
        <xdr:to>
          <xdr:col>33</xdr:col>
          <xdr:colOff>83820</xdr:colOff>
          <xdr:row>2</xdr:row>
          <xdr:rowOff>220980</xdr:rowOff>
        </xdr:to>
        <xdr:sp macro="" textlink="">
          <xdr:nvSpPr>
            <xdr:cNvPr id="765048" name="btn_EstimativaAta_Cabec" hidden="1">
              <a:extLst>
                <a:ext uri="{63B3BB69-23CF-44E3-9099-C40C66FF867C}">
                  <a14:compatExt spid="_x0000_s765048"/>
                </a:ext>
                <a:ext uri="{FF2B5EF4-FFF2-40B4-BE49-F238E27FC236}">
                  <a16:creationId xmlns:a16="http://schemas.microsoft.com/office/drawing/2014/main" id="{00000000-0008-0000-0000-000078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342900</xdr:colOff>
          <xdr:row>0</xdr:row>
          <xdr:rowOff>121920</xdr:rowOff>
        </xdr:from>
        <xdr:to>
          <xdr:col>28</xdr:col>
          <xdr:colOff>388620</xdr:colOff>
          <xdr:row>2</xdr:row>
          <xdr:rowOff>220980</xdr:rowOff>
        </xdr:to>
        <xdr:sp macro="" textlink="">
          <xdr:nvSpPr>
            <xdr:cNvPr id="765049" name="btn_EstimativaAta_Exportar" hidden="1">
              <a:extLst>
                <a:ext uri="{63B3BB69-23CF-44E3-9099-C40C66FF867C}">
                  <a14:compatExt spid="_x0000_s765049"/>
                </a:ext>
                <a:ext uri="{FF2B5EF4-FFF2-40B4-BE49-F238E27FC236}">
                  <a16:creationId xmlns:a16="http://schemas.microsoft.com/office/drawing/2014/main" id="{00000000-0008-0000-0000-000079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0</xdr:row>
          <xdr:rowOff>83820</xdr:rowOff>
        </xdr:from>
        <xdr:to>
          <xdr:col>18</xdr:col>
          <xdr:colOff>60960</xdr:colOff>
          <xdr:row>1</xdr:row>
          <xdr:rowOff>121920</xdr:rowOff>
        </xdr:to>
        <xdr:sp macro="" textlink="">
          <xdr:nvSpPr>
            <xdr:cNvPr id="1403905" name="btnConferirCompra_Voltar" hidden="1">
              <a:extLst>
                <a:ext uri="{63B3BB69-23CF-44E3-9099-C40C66FF867C}">
                  <a14:compatExt spid="_x0000_s1403905"/>
                </a:ext>
                <a:ext uri="{FF2B5EF4-FFF2-40B4-BE49-F238E27FC236}">
                  <a16:creationId xmlns:a16="http://schemas.microsoft.com/office/drawing/2014/main" id="{00000000-0008-0000-0100-000001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297180</xdr:rowOff>
        </xdr:from>
        <xdr:to>
          <xdr:col>18</xdr:col>
          <xdr:colOff>60960</xdr:colOff>
          <xdr:row>3</xdr:row>
          <xdr:rowOff>327660</xdr:rowOff>
        </xdr:to>
        <xdr:sp macro="" textlink="">
          <xdr:nvSpPr>
            <xdr:cNvPr id="1403906" name="btnConferirCompra_Importar" hidden="1">
              <a:extLst>
                <a:ext uri="{63B3BB69-23CF-44E3-9099-C40C66FF867C}">
                  <a14:compatExt spid="_x0000_s1403906"/>
                </a:ext>
                <a:ext uri="{FF2B5EF4-FFF2-40B4-BE49-F238E27FC236}">
                  <a16:creationId xmlns:a16="http://schemas.microsoft.com/office/drawing/2014/main" id="{00000000-0008-0000-0100-000002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0</xdr:row>
          <xdr:rowOff>83820</xdr:rowOff>
        </xdr:from>
        <xdr:to>
          <xdr:col>22</xdr:col>
          <xdr:colOff>68580</xdr:colOff>
          <xdr:row>1</xdr:row>
          <xdr:rowOff>121920</xdr:rowOff>
        </xdr:to>
        <xdr:sp macro="" textlink="">
          <xdr:nvSpPr>
            <xdr:cNvPr id="1403907" name="btnConferirCompra_Imprimir" hidden="1">
              <a:extLst>
                <a:ext uri="{63B3BB69-23CF-44E3-9099-C40C66FF867C}">
                  <a14:compatExt spid="_x0000_s1403907"/>
                </a:ext>
                <a:ext uri="{FF2B5EF4-FFF2-40B4-BE49-F238E27FC236}">
                  <a16:creationId xmlns:a16="http://schemas.microsoft.com/office/drawing/2014/main" id="{00000000-0008-0000-0100-000003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2</xdr:row>
          <xdr:rowOff>297180</xdr:rowOff>
        </xdr:from>
        <xdr:to>
          <xdr:col>22</xdr:col>
          <xdr:colOff>68580</xdr:colOff>
          <xdr:row>3</xdr:row>
          <xdr:rowOff>327660</xdr:rowOff>
        </xdr:to>
        <xdr:sp macro="" textlink="">
          <xdr:nvSpPr>
            <xdr:cNvPr id="1403908" name="btnConferirCompra_Exportar" hidden="1">
              <a:extLst>
                <a:ext uri="{63B3BB69-23CF-44E3-9099-C40C66FF867C}">
                  <a14:compatExt spid="_x0000_s1403908"/>
                </a:ext>
                <a:ext uri="{FF2B5EF4-FFF2-40B4-BE49-F238E27FC236}">
                  <a16:creationId xmlns:a16="http://schemas.microsoft.com/office/drawing/2014/main" id="{00000000-0008-0000-0100-000004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68580</xdr:rowOff>
        </xdr:from>
        <xdr:to>
          <xdr:col>0</xdr:col>
          <xdr:colOff>2979420</xdr:colOff>
          <xdr:row>0</xdr:row>
          <xdr:rowOff>518160</xdr:rowOff>
        </xdr:to>
        <xdr:sp macro="" textlink="">
          <xdr:nvSpPr>
            <xdr:cNvPr id="626689" name="btn_Parâmetros_Reordenar" hidden="1">
              <a:extLst>
                <a:ext uri="{63B3BB69-23CF-44E3-9099-C40C66FF867C}">
                  <a14:compatExt spid="_x0000_s626689"/>
                </a:ext>
                <a:ext uri="{FF2B5EF4-FFF2-40B4-BE49-F238E27FC236}">
                  <a16:creationId xmlns:a16="http://schemas.microsoft.com/office/drawing/2014/main" id="{00000000-0008-0000-0200-000001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3238500</xdr:colOff>
          <xdr:row>0</xdr:row>
          <xdr:rowOff>68580</xdr:rowOff>
        </xdr:from>
        <xdr:to>
          <xdr:col>1</xdr:col>
          <xdr:colOff>1028700</xdr:colOff>
          <xdr:row>0</xdr:row>
          <xdr:rowOff>518160</xdr:rowOff>
        </xdr:to>
        <xdr:sp macro="" textlink="">
          <xdr:nvSpPr>
            <xdr:cNvPr id="626743" name="btn_Parâmetros_Abrir" hidden="1">
              <a:extLst>
                <a:ext uri="{63B3BB69-23CF-44E3-9099-C40C66FF867C}">
                  <a14:compatExt spid="_x0000_s626743"/>
                </a:ext>
                <a:ext uri="{FF2B5EF4-FFF2-40B4-BE49-F238E27FC236}">
                  <a16:creationId xmlns:a16="http://schemas.microsoft.com/office/drawing/2014/main" id="{00000000-0008-0000-0200-000037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68580</xdr:rowOff>
        </xdr:from>
        <xdr:to>
          <xdr:col>1</xdr:col>
          <xdr:colOff>4221480</xdr:colOff>
          <xdr:row>0</xdr:row>
          <xdr:rowOff>518160</xdr:rowOff>
        </xdr:to>
        <xdr:sp macro="" textlink="">
          <xdr:nvSpPr>
            <xdr:cNvPr id="626744" name="btn_Parâmetros_Atua" hidden="1">
              <a:extLst>
                <a:ext uri="{63B3BB69-23CF-44E3-9099-C40C66FF867C}">
                  <a14:compatExt spid="_x0000_s626744"/>
                </a:ext>
                <a:ext uri="{FF2B5EF4-FFF2-40B4-BE49-F238E27FC236}">
                  <a16:creationId xmlns:a16="http://schemas.microsoft.com/office/drawing/2014/main" id="{00000000-0008-0000-0200-000038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106680</xdr:rowOff>
        </xdr:from>
        <xdr:to>
          <xdr:col>2</xdr:col>
          <xdr:colOff>472440</xdr:colOff>
          <xdr:row>0</xdr:row>
          <xdr:rowOff>556260</xdr:rowOff>
        </xdr:to>
        <xdr:sp macro="" textlink="">
          <xdr:nvSpPr>
            <xdr:cNvPr id="786446" name="btn_VerificarAFsReordena" hidden="1">
              <a:extLst>
                <a:ext uri="{63B3BB69-23CF-44E3-9099-C40C66FF867C}">
                  <a14:compatExt spid="_x0000_s786446"/>
                </a:ext>
                <a:ext uri="{FF2B5EF4-FFF2-40B4-BE49-F238E27FC236}">
                  <a16:creationId xmlns:a16="http://schemas.microsoft.com/office/drawing/2014/main" id="{00000000-0008-0000-0400-00000E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1516380</xdr:colOff>
          <xdr:row>0</xdr:row>
          <xdr:rowOff>106680</xdr:rowOff>
        </xdr:from>
        <xdr:to>
          <xdr:col>11</xdr:col>
          <xdr:colOff>312420</xdr:colOff>
          <xdr:row>0</xdr:row>
          <xdr:rowOff>556260</xdr:rowOff>
        </xdr:to>
        <xdr:sp macro="" textlink="">
          <xdr:nvSpPr>
            <xdr:cNvPr id="786464" name="btn_VerificarAFsVoltar" hidden="1">
              <a:extLst>
                <a:ext uri="{63B3BB69-23CF-44E3-9099-C40C66FF867C}">
                  <a14:compatExt spid="_x0000_s786464"/>
                </a:ext>
                <a:ext uri="{FF2B5EF4-FFF2-40B4-BE49-F238E27FC236}">
                  <a16:creationId xmlns:a16="http://schemas.microsoft.com/office/drawing/2014/main" id="{00000000-0008-0000-0400-000020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0</xdr:row>
          <xdr:rowOff>106680</xdr:rowOff>
        </xdr:from>
        <xdr:to>
          <xdr:col>4</xdr:col>
          <xdr:colOff>487680</xdr:colOff>
          <xdr:row>0</xdr:row>
          <xdr:rowOff>556260</xdr:rowOff>
        </xdr:to>
        <xdr:sp macro="" textlink="">
          <xdr:nvSpPr>
            <xdr:cNvPr id="786477" name="btn_VerificarAFsExportar" hidden="1">
              <a:extLst>
                <a:ext uri="{63B3BB69-23CF-44E3-9099-C40C66FF867C}">
                  <a14:compatExt spid="_x0000_s786477"/>
                </a:ext>
                <a:ext uri="{FF2B5EF4-FFF2-40B4-BE49-F238E27FC236}">
                  <a16:creationId xmlns:a16="http://schemas.microsoft.com/office/drawing/2014/main" id="{00000000-0008-0000-0400-00002D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259080</xdr:rowOff>
        </xdr:from>
        <xdr:to>
          <xdr:col>1</xdr:col>
          <xdr:colOff>1196340</xdr:colOff>
          <xdr:row>0</xdr:row>
          <xdr:rowOff>708660</xdr:rowOff>
        </xdr:to>
        <xdr:sp macro="" textlink="">
          <xdr:nvSpPr>
            <xdr:cNvPr id="977921" name="btn_VerifRcAfOrd" hidden="1">
              <a:extLst>
                <a:ext uri="{63B3BB69-23CF-44E3-9099-C40C66FF867C}">
                  <a14:compatExt spid="_x0000_s977921"/>
                </a:ext>
                <a:ext uri="{FF2B5EF4-FFF2-40B4-BE49-F238E27FC236}">
                  <a16:creationId xmlns:a16="http://schemas.microsoft.com/office/drawing/2014/main" id="{00000000-0008-0000-0500-00000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1813560</xdr:colOff>
          <xdr:row>0</xdr:row>
          <xdr:rowOff>259080</xdr:rowOff>
        </xdr:from>
        <xdr:to>
          <xdr:col>14</xdr:col>
          <xdr:colOff>1729740</xdr:colOff>
          <xdr:row>0</xdr:row>
          <xdr:rowOff>708660</xdr:rowOff>
        </xdr:to>
        <xdr:sp macro="" textlink="">
          <xdr:nvSpPr>
            <xdr:cNvPr id="977922" name="btn_VerifRcAfVol" hidden="1">
              <a:extLst>
                <a:ext uri="{63B3BB69-23CF-44E3-9099-C40C66FF867C}">
                  <a14:compatExt spid="_x0000_s977922"/>
                </a:ext>
                <a:ext uri="{FF2B5EF4-FFF2-40B4-BE49-F238E27FC236}">
                  <a16:creationId xmlns:a16="http://schemas.microsoft.com/office/drawing/2014/main" id="{00000000-0008-0000-0500-000002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1341120</xdr:colOff>
          <xdr:row>0</xdr:row>
          <xdr:rowOff>259080</xdr:rowOff>
        </xdr:from>
        <xdr:to>
          <xdr:col>4</xdr:col>
          <xdr:colOff>274320</xdr:colOff>
          <xdr:row>0</xdr:row>
          <xdr:rowOff>708660</xdr:rowOff>
        </xdr:to>
        <xdr:sp macro="" textlink="">
          <xdr:nvSpPr>
            <xdr:cNvPr id="977994" name="btn_VerifRcAfExport" hidden="1">
              <a:extLst>
                <a:ext uri="{63B3BB69-23CF-44E3-9099-C40C66FF867C}">
                  <a14:compatExt spid="_x0000_s977994"/>
                </a:ext>
                <a:ext uri="{FF2B5EF4-FFF2-40B4-BE49-F238E27FC236}">
                  <a16:creationId xmlns:a16="http://schemas.microsoft.com/office/drawing/2014/main" id="{00000000-0008-0000-0500-00004A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830580</xdr:colOff>
          <xdr:row>0</xdr:row>
          <xdr:rowOff>259080</xdr:rowOff>
        </xdr:from>
        <xdr:to>
          <xdr:col>13</xdr:col>
          <xdr:colOff>1645920</xdr:colOff>
          <xdr:row>0</xdr:row>
          <xdr:rowOff>708660</xdr:rowOff>
        </xdr:to>
        <xdr:sp macro="" textlink="">
          <xdr:nvSpPr>
            <xdr:cNvPr id="978081" name="btn_VerifRcAfFilC" hidden="1">
              <a:extLst>
                <a:ext uri="{63B3BB69-23CF-44E3-9099-C40C66FF867C}">
                  <a14:compatExt spid="_x0000_s978081"/>
                </a:ext>
                <a:ext uri="{FF2B5EF4-FFF2-40B4-BE49-F238E27FC236}">
                  <a16:creationId xmlns:a16="http://schemas.microsoft.com/office/drawing/2014/main" id="{00000000-0008-0000-0500-0000A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EstimativaAta" displayName="tabEstimativaAta" ref="A8:Z9" insertRow="1" totalsRowShown="0" headerRowDxfId="97" dataDxfId="95" headerRowBorderDxfId="96" tableBorderDxfId="94" totalsRowBorderDxfId="93">
  <autoFilter ref="A8:Z9" xr:uid="{00000000-0009-0000-0100-00000A000000}"/>
  <sortState xmlns:xlrd2="http://schemas.microsoft.com/office/spreadsheetml/2017/richdata2" ref="A9:X74">
    <sortCondition ref="B9:B74"/>
  </sortState>
  <tableColumns count="26">
    <tableColumn id="1" xr3:uid="{00000000-0010-0000-0000-000001000000}" name="ITEM" dataDxfId="92"/>
    <tableColumn id="2" xr3:uid="{00000000-0010-0000-0000-000002000000}" name="CÓDIGO" dataDxfId="91"/>
    <tableColumn id="3" xr3:uid="{00000000-0010-0000-0000-000003000000}" name="ESPECIFICAÇÃO" dataDxfId="90"/>
    <tableColumn id="4" xr3:uid="{00000000-0010-0000-0000-000004000000}" name="UN" dataDxfId="89"/>
    <tableColumn id="5" xr3:uid="{00000000-0010-0000-0000-000005000000}" name="GRUPO" dataDxfId="88"/>
    <tableColumn id="6" xr3:uid="{00000000-0010-0000-0000-000006000000}" name="SUBG" dataDxfId="87"/>
    <tableColumn id="7" xr3:uid="{00000000-0010-0000-0000-000007000000}" name="COMPRA" dataDxfId="86"/>
    <tableColumn id="8" xr3:uid="{00000000-0010-0000-0000-000008000000}" name="SALDO ESTOQUE" dataDxfId="85" dataCellStyle="Moeda"/>
    <tableColumn id="9" xr3:uid="{00000000-0010-0000-0000-000009000000}" name="TOTAL CONSUMO ÚLTIMO ANO" dataDxfId="84" dataCellStyle="Moeda"/>
    <tableColumn id="28" xr3:uid="{00000000-0010-0000-0000-00001C000000}" name="TEMPO ESTOQUE (MESES)" dataDxfId="83" dataCellStyle="Moeda"/>
    <tableColumn id="10" xr3:uid="{00000000-0010-0000-0000-00000A000000}" name="ATA" dataDxfId="82"/>
    <tableColumn id="11" xr3:uid="{00000000-0010-0000-0000-00000B000000}" name="ATA QTDE" dataDxfId="81"/>
    <tableColumn id="12" xr3:uid="{00000000-0010-0000-0000-00000C000000}" name="VIGÊNCIA DA ATA" dataDxfId="80"/>
    <tableColumn id="13" xr3:uid="{00000000-0010-0000-0000-00000D000000}" name="FORNECEDOR" dataDxfId="79"/>
    <tableColumn id="14" xr3:uid="{00000000-0010-0000-0000-00000E000000}" name="RC Nº" dataDxfId="78"/>
    <tableColumn id="15" xr3:uid="{00000000-0010-0000-0000-00000F000000}" name="RC QTDE" dataDxfId="77"/>
    <tableColumn id="16" xr3:uid="{00000000-0010-0000-0000-000010000000}" name="AF Nº" dataDxfId="76"/>
    <tableColumn id="17" xr3:uid="{00000000-0010-0000-0000-000011000000}" name="AF SALDO" dataDxfId="75"/>
    <tableColumn id="18" xr3:uid="{00000000-0010-0000-0000-000012000000}" name="DATA ENTREGA" dataDxfId="74"/>
    <tableColumn id="19" xr3:uid="{00000000-0010-0000-0000-000013000000}" name="RC" dataDxfId="73"/>
    <tableColumn id="20" xr3:uid="{00000000-0010-0000-0000-000014000000}" name="FICHA" dataDxfId="72"/>
    <tableColumn id="21" xr3:uid="{00000000-0010-0000-0000-000015000000}" name="PROJ" dataDxfId="71"/>
    <tableColumn id="24" xr3:uid="{00000000-0010-0000-0000-000018000000}" name="OBSERVAÇÕES" dataDxfId="70"/>
    <tableColumn id="23" xr3:uid="{00000000-0010-0000-0000-000017000000}" name="ESTIMATIVA ANTERIOR" dataDxfId="69"/>
    <tableColumn id="22" xr3:uid="{00000000-0010-0000-0000-000016000000}" name="QUANTIDADE ESTIMADA" dataDxfId="68"/>
    <tableColumn id="25" xr3:uid="{00000000-0010-0000-0000-000019000000}" name="INFORMAR &quot;OK&quot; OU NOVA QUANTIDADE" dataDxfId="67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ConferirCompra" displayName="tabConferirCompra" ref="A5:N6" insertRow="1" totalsRowShown="0" headerRowDxfId="66" dataDxfId="64" headerRowBorderDxfId="65" tableBorderDxfId="63" totalsRowBorderDxfId="62">
  <tableColumns count="14">
    <tableColumn id="1" xr3:uid="{00000000-0010-0000-0300-000001000000}" name="CÓDIGO" dataDxfId="61"/>
    <tableColumn id="2" xr3:uid="{00000000-0010-0000-0300-000002000000}" name="DESCRIÇÃO" dataDxfId="60"/>
    <tableColumn id="3" xr3:uid="{00000000-0010-0000-0300-000003000000}" name="UNIDADE" dataDxfId="59"/>
    <tableColumn id="13" xr3:uid="{00000000-0010-0000-0300-00000D000000}" name="GRUPO" dataDxfId="58"/>
    <tableColumn id="4" xr3:uid="{00000000-0010-0000-0300-000004000000}" name="ESTOQUE FÍSICO" dataDxfId="57"/>
    <tableColumn id="12" xr3:uid="{00000000-0010-0000-0300-00000C000000}" name="DURAÇÃO EM MESES" dataDxfId="56"/>
    <tableColumn id="5" xr3:uid="{00000000-0010-0000-0300-000005000000}" name="COMPRAS EM ANDAMENTO" dataDxfId="55"/>
    <tableColumn id="6" xr3:uid="{00000000-0010-0000-0300-000006000000}" name="SALDO" dataDxfId="54"/>
    <tableColumn id="7" xr3:uid="{00000000-0010-0000-0300-000007000000}" name="ÚLTIMA ENTRADA ESTOQUE" dataDxfId="53"/>
    <tableColumn id="8" xr3:uid="{00000000-0010-0000-0300-000008000000}" name="ÚLTIMA SAÍDA" dataDxfId="52"/>
    <tableColumn id="9" xr3:uid="{00000000-0010-0000-0300-000009000000}" name="CONSUMO" dataDxfId="51"/>
    <tableColumn id="14" xr3:uid="{00000000-0010-0000-0300-00000E000000}" name="COMPRA EXTRA" dataDxfId="50"/>
    <tableColumn id="10" xr3:uid="{00000000-0010-0000-0300-00000A000000}" name="SUGESTÃO DE COMPRA" dataDxfId="49"/>
    <tableColumn id="11" xr3:uid="{00000000-0010-0000-0300-00000B000000}" name="QUANT ESTIMADA PELO SETOR" dataDxfId="48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Parametros" displayName="tabParametros" ref="A2:D54" totalsRowShown="0" headerRowDxfId="46" dataDxfId="45">
  <autoFilter ref="A2:D54" xr:uid="{00000000-0009-0000-0100-000004000000}"/>
  <sortState xmlns:xlrd2="http://schemas.microsoft.com/office/spreadsheetml/2017/richdata2" ref="A3:C14">
    <sortCondition ref="A3:A14"/>
  </sortState>
  <tableColumns count="4">
    <tableColumn id="1" xr3:uid="{00000000-0010-0000-0600-000001000000}" name="Referência" dataDxfId="44"/>
    <tableColumn id="2" xr3:uid="{00000000-0010-0000-0600-000002000000}" name="Valor" dataDxfId="43"/>
    <tableColumn id="3" xr3:uid="{00000000-0010-0000-0600-000003000000}" name="Observações" dataDxfId="42"/>
    <tableColumn id="4" xr3:uid="{00000000-0010-0000-0600-000004000000}" name="Manter" dataDxfId="41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RCsGeradas" displayName="tabRCsGeradas" ref="A1:D3" totalsRowCount="1" headerRowDxfId="39" dataDxfId="38">
  <autoFilter ref="A1:D2" xr:uid="{00000000-000C-0000-FFFF-FFFF08000000}"/>
  <tableColumns count="4">
    <tableColumn id="1" xr3:uid="{00000000-0010-0000-0800-000001000000}" name="RC" dataDxfId="37" totalsRowDxfId="36"/>
    <tableColumn id="2" xr3:uid="{00000000-0010-0000-0800-000002000000}" name="VALOR" totalsRowFunction="sum" dataDxfId="35" totalsRowDxfId="34"/>
    <tableColumn id="4" xr3:uid="{00000000-0010-0000-0800-000004000000}" name="Assinatura" totalsRowFunction="sum" dataDxfId="33" totalsRowDxfId="32">
      <calculatedColumnFormula>IF(ISBLANK(tabRCsGeradas[[#This Row],[RC]]),0,SUMIF(#REF!,tabRCsGeradas[[#This Row],[RC]],#REF!))</calculatedColumnFormula>
    </tableColumn>
    <tableColumn id="5" xr3:uid="{00000000-0010-0000-0800-000005000000}" name="Diferente" dataDxfId="31">
      <calculatedColumnFormula>IF(tabRCsGeradas[[#This Row],[VALOR]] &lt;&gt; tabRCsGeradas[[#This Row],[Assinatura]],"&lt;&lt;&lt;&lt;","")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VerificarAFs" displayName="tabVerificarAFs" ref="A2:L3" insertRow="1" totalsRowShown="0" dataDxfId="30">
  <autoFilter ref="A2:L3" xr:uid="{00000000-0009-0000-0100-00000B000000}"/>
  <tableColumns count="12">
    <tableColumn id="1" xr3:uid="{00000000-0010-0000-0900-000001000000}" name="AF ANO" dataDxfId="29"/>
    <tableColumn id="2" xr3:uid="{00000000-0010-0000-0900-000002000000}" name="AF Nº" dataDxfId="28"/>
    <tableColumn id="3" xr3:uid="{00000000-0010-0000-0900-000003000000}" name="AF SALDO" dataDxfId="27"/>
    <tableColumn id="4" xr3:uid="{00000000-0010-0000-0900-000004000000}" name="AF QTDE" dataDxfId="26"/>
    <tableColumn id="5" xr3:uid="{00000000-0010-0000-0900-000005000000}" name="CÓDIGO" dataDxfId="25"/>
    <tableColumn id="6" xr3:uid="{00000000-0010-0000-0900-000006000000}" name="DESCRIÇÃO" dataDxfId="24"/>
    <tableColumn id="12" xr3:uid="{00000000-0010-0000-0900-00000C000000}" name="ESTOQUE" dataDxfId="23"/>
    <tableColumn id="7" xr3:uid="{00000000-0010-0000-0900-000007000000}" name="FORNECEDOR" dataDxfId="22"/>
    <tableColumn id="8" xr3:uid="{00000000-0010-0000-0900-000008000000}" name="PREVISÃO" dataDxfId="21"/>
    <tableColumn id="9" xr3:uid="{00000000-0010-0000-0900-000009000000}" name="STATUS" dataDxfId="20"/>
    <tableColumn id="10" xr3:uid="{00000000-0010-0000-0900-00000A000000}" name="SITUAÇÃO" dataDxfId="19"/>
    <tableColumn id="11" xr3:uid="{00000000-0010-0000-0900-00000B000000}" name="OBSERVAÇÃO" dataDxfId="18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tabRCsAFs" displayName="tabRCsAFs" ref="A2:P3" insertRow="1" totalsRowShown="0" headerRowDxfId="17" dataDxfId="16">
  <tableColumns count="16">
    <tableColumn id="2" xr3:uid="{00000000-0010-0000-0A00-000002000000}" name="CÓDIGO" dataDxfId="15"/>
    <tableColumn id="3" xr3:uid="{00000000-0010-0000-0A00-000003000000}" name="DESCRIÇÃO" dataDxfId="14"/>
    <tableColumn id="16" xr3:uid="{00000000-0010-0000-0A00-000010000000}" name="GRUPO" dataDxfId="13"/>
    <tableColumn id="1" xr3:uid="{00000000-0010-0000-0A00-000001000000}" name="SUBGRUPO" dataDxfId="12"/>
    <tableColumn id="4" xr3:uid="{00000000-0010-0000-0A00-000004000000}" name="TIPO" dataDxfId="11"/>
    <tableColumn id="5" xr3:uid="{00000000-0010-0000-0A00-000005000000}" name="ANO" dataDxfId="10"/>
    <tableColumn id="6" xr3:uid="{00000000-0010-0000-0A00-000006000000}" name="Nº" dataDxfId="9"/>
    <tableColumn id="7" xr3:uid="{00000000-0010-0000-0A00-000007000000}" name="QTDE" dataDxfId="8"/>
    <tableColumn id="8" xr3:uid="{00000000-0010-0000-0A00-000008000000}" name="SALDO" dataDxfId="7"/>
    <tableColumn id="9" xr3:uid="{00000000-0010-0000-0A00-000009000000}" name="ESTOQUE" dataDxfId="6"/>
    <tableColumn id="10" xr3:uid="{00000000-0010-0000-0A00-00000A000000}" name="FORNECEDOR" dataDxfId="5"/>
    <tableColumn id="11" xr3:uid="{00000000-0010-0000-0A00-00000B000000}" name="PREVISÃO" dataDxfId="4"/>
    <tableColumn id="12" xr3:uid="{00000000-0010-0000-0A00-00000C000000}" name="STATUS" dataDxfId="3"/>
    <tableColumn id="13" xr3:uid="{00000000-0010-0000-0A00-00000D000000}" name="SITUAÇÃO" dataDxfId="2"/>
    <tableColumn id="14" xr3:uid="{00000000-0010-0000-0A00-00000E000000}" name="OBSERVAÇÃO" dataDxfId="1"/>
    <tableColumn id="15" xr3:uid="{00000000-0010-0000-0A00-00000F000000}" name="FIM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comments" Target="../comments2.xml"/><Relationship Id="rId5" Type="http://schemas.openxmlformats.org/officeDocument/2006/relationships/image" Target="../media/image11.emf"/><Relationship Id="rId10" Type="http://schemas.openxmlformats.org/officeDocument/2006/relationships/table" Target="../tables/table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11" Type="http://schemas.openxmlformats.org/officeDocument/2006/relationships/comments" Target="../comments3.xml"/><Relationship Id="rId5" Type="http://schemas.openxmlformats.org/officeDocument/2006/relationships/image" Target="../media/image14.emf"/><Relationship Id="rId10" Type="http://schemas.openxmlformats.org/officeDocument/2006/relationships/table" Target="../tables/table5.xml"/><Relationship Id="rId4" Type="http://schemas.openxmlformats.org/officeDocument/2006/relationships/control" Target="../activeX/activeX13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07">
    <tabColor rgb="FF006DF2"/>
    <pageSetUpPr fitToPage="1"/>
  </sheetPr>
  <dimension ref="A1:Z9"/>
  <sheetViews>
    <sheetView showGridLines="0" zoomScaleNormal="100" workbookViewId="0">
      <pane ySplit="8" topLeftCell="A9" activePane="bottomLeft" state="frozen"/>
      <selection pane="bottomLeft" activeCell="A9" sqref="A9"/>
    </sheetView>
  </sheetViews>
  <sheetFormatPr defaultRowHeight="50.1" customHeight="1" x14ac:dyDescent="0.3"/>
  <cols>
    <col min="1" max="1" width="6" customWidth="1"/>
    <col min="2" max="2" width="10.6640625" style="12" customWidth="1"/>
    <col min="3" max="3" width="40.6640625" style="4" customWidth="1"/>
    <col min="4" max="4" width="4.88671875" style="3" customWidth="1"/>
    <col min="5" max="5" width="3.6640625" style="3" hidden="1" customWidth="1"/>
    <col min="6" max="6" width="3.6640625" style="10" hidden="1" customWidth="1"/>
    <col min="7" max="7" width="13.5546875" style="13" hidden="1" customWidth="1"/>
    <col min="8" max="8" width="10.6640625" customWidth="1"/>
    <col min="9" max="9" width="10.6640625" style="15" customWidth="1"/>
    <col min="10" max="10" width="10.44140625" style="3" customWidth="1"/>
    <col min="11" max="11" width="14.33203125" style="2" hidden="1" customWidth="1"/>
    <col min="12" max="12" width="9.6640625" style="14" hidden="1" customWidth="1"/>
    <col min="13" max="13" width="10.6640625" style="16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8" hidden="1" customWidth="1"/>
    <col min="19" max="19" width="19.33203125" style="9" hidden="1" customWidth="1"/>
    <col min="20" max="20" width="8.33203125" style="2" hidden="1" customWidth="1"/>
    <col min="21" max="21" width="8.33203125" style="5" hidden="1" customWidth="1"/>
    <col min="22" max="23" width="8.33203125" style="6" hidden="1" customWidth="1"/>
    <col min="24" max="24" width="6.5546875" style="4" customWidth="1"/>
    <col min="25" max="25" width="15.6640625" customWidth="1"/>
    <col min="26" max="26" width="14.88671875" customWidth="1"/>
  </cols>
  <sheetData>
    <row r="1" spans="1:26" ht="18" customHeight="1" x14ac:dyDescent="0.3">
      <c r="A1" s="120"/>
      <c r="B1" s="120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</row>
    <row r="2" spans="1:26" ht="19.5" customHeight="1" x14ac:dyDescent="0.3">
      <c r="A2" s="120"/>
      <c r="B2" s="120"/>
      <c r="C2" s="119" t="s">
        <v>35</v>
      </c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</row>
    <row r="3" spans="1:26" ht="18" customHeight="1" x14ac:dyDescent="0.3">
      <c r="A3" s="120"/>
      <c r="B3" s="120"/>
      <c r="C3" s="119" t="s">
        <v>36</v>
      </c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</row>
    <row r="4" spans="1:26" ht="18" customHeight="1" x14ac:dyDescent="0.3">
      <c r="A4" s="121"/>
      <c r="B4" s="121"/>
      <c r="C4" s="119" t="s">
        <v>37</v>
      </c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  <c r="W4" s="119"/>
      <c r="X4" s="119"/>
    </row>
    <row r="5" spans="1:26" ht="20.100000000000001" customHeight="1" x14ac:dyDescent="0.3">
      <c r="A5" s="117"/>
      <c r="B5" s="117"/>
      <c r="C5" s="118" t="s">
        <v>38</v>
      </c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</row>
    <row r="6" spans="1:26" ht="23.25" customHeight="1" x14ac:dyDescent="0.3">
      <c r="A6" s="18"/>
      <c r="B6"/>
      <c r="C6"/>
      <c r="D6"/>
      <c r="E6"/>
      <c r="F6" s="17"/>
      <c r="G6"/>
      <c r="J6"/>
      <c r="L6" s="29" t="s">
        <v>33</v>
      </c>
      <c r="M6" s="26"/>
      <c r="N6" s="25"/>
      <c r="O6" s="25"/>
      <c r="P6" s="25"/>
      <c r="Q6" s="25"/>
      <c r="R6" s="27"/>
      <c r="S6" s="25"/>
      <c r="T6" s="25"/>
      <c r="U6" s="25"/>
      <c r="V6" s="25"/>
      <c r="W6" s="25"/>
      <c r="X6" s="25"/>
    </row>
    <row r="7" spans="1:26" ht="71.25" customHeight="1" x14ac:dyDescent="0.3">
      <c r="A7" s="116" t="s">
        <v>74</v>
      </c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</row>
    <row r="8" spans="1:26" s="11" customFormat="1" ht="63" customHeight="1" x14ac:dyDescent="0.3">
      <c r="A8" s="42" t="s">
        <v>16</v>
      </c>
      <c r="B8" s="43" t="s">
        <v>0</v>
      </c>
      <c r="C8" s="44" t="s">
        <v>31</v>
      </c>
      <c r="D8" s="45" t="s">
        <v>15</v>
      </c>
      <c r="E8" s="46" t="s">
        <v>6</v>
      </c>
      <c r="F8" s="46" t="s">
        <v>17</v>
      </c>
      <c r="G8" s="47" t="s">
        <v>18</v>
      </c>
      <c r="H8" s="48" t="s">
        <v>34</v>
      </c>
      <c r="I8" s="49" t="s">
        <v>60</v>
      </c>
      <c r="J8" s="49" t="s">
        <v>61</v>
      </c>
      <c r="K8" s="45" t="s">
        <v>19</v>
      </c>
      <c r="L8" s="49" t="s">
        <v>5</v>
      </c>
      <c r="M8" s="50" t="s">
        <v>20</v>
      </c>
      <c r="N8" s="51" t="s">
        <v>3</v>
      </c>
      <c r="O8" s="45" t="s">
        <v>8</v>
      </c>
      <c r="P8" s="45" t="s">
        <v>9</v>
      </c>
      <c r="Q8" s="45" t="s">
        <v>10</v>
      </c>
      <c r="R8" s="45" t="s">
        <v>12</v>
      </c>
      <c r="S8" s="52" t="s">
        <v>14</v>
      </c>
      <c r="T8" s="53" t="s">
        <v>21</v>
      </c>
      <c r="U8" s="54" t="s">
        <v>23</v>
      </c>
      <c r="V8" s="54" t="s">
        <v>24</v>
      </c>
      <c r="W8" s="55" t="s">
        <v>22</v>
      </c>
      <c r="X8" s="107" t="s">
        <v>66</v>
      </c>
      <c r="Y8" s="48" t="s">
        <v>32</v>
      </c>
      <c r="Z8" s="56" t="s">
        <v>67</v>
      </c>
    </row>
    <row r="9" spans="1:26" ht="60" customHeight="1" x14ac:dyDescent="0.3">
      <c r="A9" s="105"/>
      <c r="B9" s="57"/>
      <c r="C9" s="58"/>
      <c r="D9" s="59"/>
      <c r="E9" s="59"/>
      <c r="F9" s="59"/>
      <c r="G9" s="60"/>
      <c r="H9" s="61"/>
      <c r="I9" s="61"/>
      <c r="J9" s="109"/>
      <c r="K9" s="62"/>
      <c r="L9" s="63"/>
      <c r="M9" s="64"/>
      <c r="N9" s="65"/>
      <c r="O9" s="66"/>
      <c r="P9" s="66"/>
      <c r="Q9" s="66"/>
      <c r="R9" s="66"/>
      <c r="S9" s="67"/>
      <c r="T9" s="57"/>
      <c r="U9" s="68"/>
      <c r="V9" s="57"/>
      <c r="W9" s="69"/>
      <c r="X9" s="108"/>
      <c r="Y9" s="106"/>
      <c r="Z9" s="104"/>
    </row>
  </sheetData>
  <dataConsolidate/>
  <mergeCells count="11">
    <mergeCell ref="A7:Z7"/>
    <mergeCell ref="A5:B5"/>
    <mergeCell ref="C5:X5"/>
    <mergeCell ref="C1:X1"/>
    <mergeCell ref="A1:B1"/>
    <mergeCell ref="A2:B2"/>
    <mergeCell ref="A3:B3"/>
    <mergeCell ref="A4:B4"/>
    <mergeCell ref="C2:X2"/>
    <mergeCell ref="C3:X3"/>
    <mergeCell ref="C4:X4"/>
  </mergeCells>
  <conditionalFormatting sqref="B8:B1048576">
    <cfRule type="duplicateValues" dxfId="98" priority="1"/>
  </conditionalFormatting>
  <printOptions horizontalCentered="1"/>
  <pageMargins left="0" right="0" top="0" bottom="0.47244094488188981" header="0" footer="0.19685039370078741"/>
  <pageSetup paperSize="9" scale="75" fitToHeight="0" orientation="portrait" errors="blank" r:id="rId1"/>
  <headerFooter>
    <oddFooter>&amp;L&amp;12Emissão: &amp;D - &amp;T&amp;CAssinatura: ___________________________________________________________________&amp;RPágina &amp;P de &amp;N</oddFooter>
  </headerFooter>
  <colBreaks count="1" manualBreakCount="1">
    <brk id="24" max="1048575" man="1"/>
  </colBreaks>
  <drawing r:id="rId2"/>
  <legacyDrawing r:id="rId3"/>
  <controls>
    <mc:AlternateContent xmlns:mc="http://schemas.openxmlformats.org/markup-compatibility/2006">
      <mc:Choice Requires="x14">
        <control shapeId="765049" r:id="rId4" name="btn_EstimativaAta_Exportar">
          <controlPr defaultSize="0" print="0" autoLine="0" r:id="rId5">
            <anchor moveWithCells="1">
              <from>
                <xdr:col>26</xdr:col>
                <xdr:colOff>342900</xdr:colOff>
                <xdr:row>0</xdr:row>
                <xdr:rowOff>121920</xdr:rowOff>
              </from>
              <to>
                <xdr:col>28</xdr:col>
                <xdr:colOff>388620</xdr:colOff>
                <xdr:row>2</xdr:row>
                <xdr:rowOff>220980</xdr:rowOff>
              </to>
            </anchor>
          </controlPr>
        </control>
      </mc:Choice>
      <mc:Fallback>
        <control shapeId="765049" r:id="rId4" name="btn_EstimativaAta_Exportar"/>
      </mc:Fallback>
    </mc:AlternateContent>
    <mc:AlternateContent xmlns:mc="http://schemas.openxmlformats.org/markup-compatibility/2006">
      <mc:Choice Requires="x14">
        <control shapeId="765048" r:id="rId6" name="btn_EstimativaAta_Cabec">
          <controlPr defaultSize="0" print="0" autoLine="0" r:id="rId7">
            <anchor moveWithCells="1">
              <from>
                <xdr:col>31</xdr:col>
                <xdr:colOff>38100</xdr:colOff>
                <xdr:row>0</xdr:row>
                <xdr:rowOff>121920</xdr:rowOff>
              </from>
              <to>
                <xdr:col>33</xdr:col>
                <xdr:colOff>83820</xdr:colOff>
                <xdr:row>2</xdr:row>
                <xdr:rowOff>220980</xdr:rowOff>
              </to>
            </anchor>
          </controlPr>
        </control>
      </mc:Choice>
      <mc:Fallback>
        <control shapeId="765048" r:id="rId6" name="btn_EstimativaAta_Cabec"/>
      </mc:Fallback>
    </mc:AlternateContent>
    <mc:AlternateContent xmlns:mc="http://schemas.openxmlformats.org/markup-compatibility/2006">
      <mc:Choice Requires="x14">
        <control shapeId="764931" r:id="rId8" name="btn_EstimativaAta_Exibir">
          <controlPr defaultSize="0" print="0" autoLine="0" r:id="rId9">
            <anchor moveWithCells="1">
              <from>
                <xdr:col>28</xdr:col>
                <xdr:colOff>495300</xdr:colOff>
                <xdr:row>0</xdr:row>
                <xdr:rowOff>121920</xdr:rowOff>
              </from>
              <to>
                <xdr:col>30</xdr:col>
                <xdr:colOff>541020</xdr:colOff>
                <xdr:row>2</xdr:row>
                <xdr:rowOff>220980</xdr:rowOff>
              </to>
            </anchor>
          </controlPr>
        </control>
      </mc:Choice>
      <mc:Fallback>
        <control shapeId="764931" r:id="rId8" name="btn_EstimativaAta_Exibir"/>
      </mc:Fallback>
    </mc:AlternateContent>
    <mc:AlternateContent xmlns:mc="http://schemas.openxmlformats.org/markup-compatibility/2006">
      <mc:Choice Requires="x14">
        <control shapeId="764930" r:id="rId10" name="btn_EstimativaAta_Importar">
          <controlPr defaultSize="0" print="0" autoLine="0" r:id="rId11">
            <anchor moveWithCells="1">
              <from>
                <xdr:col>24</xdr:col>
                <xdr:colOff>1013460</xdr:colOff>
                <xdr:row>0</xdr:row>
                <xdr:rowOff>121920</xdr:rowOff>
              </from>
              <to>
                <xdr:col>26</xdr:col>
                <xdr:colOff>182880</xdr:colOff>
                <xdr:row>2</xdr:row>
                <xdr:rowOff>220980</xdr:rowOff>
              </to>
            </anchor>
          </controlPr>
        </control>
      </mc:Choice>
      <mc:Fallback>
        <control shapeId="764930" r:id="rId10" name="btn_EstimativaAta_Importar"/>
      </mc:Fallback>
    </mc:AlternateContent>
    <mc:AlternateContent xmlns:mc="http://schemas.openxmlformats.org/markup-compatibility/2006">
      <mc:Choice Requires="x14">
        <control shapeId="764929" r:id="rId12" name="btn_EstimativaAta_Imprimir">
          <controlPr defaultSize="0" print="0" autoLine="0" r:id="rId13">
            <anchor moveWithCells="1">
              <from>
                <xdr:col>23</xdr:col>
                <xdr:colOff>76200</xdr:colOff>
                <xdr:row>0</xdr:row>
                <xdr:rowOff>121920</xdr:rowOff>
              </from>
              <to>
                <xdr:col>24</xdr:col>
                <xdr:colOff>891540</xdr:colOff>
                <xdr:row>2</xdr:row>
                <xdr:rowOff>220980</xdr:rowOff>
              </to>
            </anchor>
          </controlPr>
        </control>
      </mc:Choice>
      <mc:Fallback>
        <control shapeId="764929" r:id="rId12" name="btn_EstimativaAta_Imprimir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08">
    <pageSetUpPr fitToPage="1"/>
  </sheetPr>
  <dimension ref="A1:W6"/>
  <sheetViews>
    <sheetView zoomScale="85" zoomScaleNormal="85" workbookViewId="0">
      <pane xSplit="23" ySplit="4" topLeftCell="X5" activePane="bottomRight" state="frozen"/>
      <selection pane="topRight" activeCell="X1" sqref="X1"/>
      <selection pane="bottomLeft" activeCell="A5" sqref="A5"/>
      <selection pane="bottomRight" activeCell="A6" sqref="A6"/>
    </sheetView>
  </sheetViews>
  <sheetFormatPr defaultRowHeight="14.4" x14ac:dyDescent="0.3"/>
  <cols>
    <col min="1" max="1" width="11.109375" bestFit="1" customWidth="1"/>
    <col min="2" max="2" width="37.5546875" customWidth="1"/>
    <col min="3" max="4" width="4.6640625" bestFit="1" customWidth="1"/>
    <col min="5" max="5" width="11.88671875" bestFit="1" customWidth="1"/>
    <col min="6" max="6" width="9.6640625" bestFit="1" customWidth="1"/>
    <col min="7" max="7" width="14.109375" customWidth="1"/>
    <col min="8" max="8" width="10.5546875" customWidth="1"/>
    <col min="9" max="9" width="12.44140625" bestFit="1" customWidth="1"/>
    <col min="10" max="10" width="10.5546875" bestFit="1" customWidth="1"/>
    <col min="11" max="11" width="13.88671875" bestFit="1" customWidth="1"/>
    <col min="12" max="12" width="13.88671875" customWidth="1"/>
    <col min="13" max="13" width="14" customWidth="1"/>
    <col min="14" max="14" width="15" bestFit="1" customWidth="1"/>
  </cols>
  <sheetData>
    <row r="1" spans="1:23" ht="36.6" x14ac:dyDescent="0.3">
      <c r="A1" s="122" t="s">
        <v>68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4"/>
      <c r="O1" s="131"/>
      <c r="P1" s="132"/>
      <c r="Q1" s="132"/>
      <c r="R1" s="132"/>
      <c r="S1" s="132"/>
      <c r="T1" s="132"/>
      <c r="U1" s="132"/>
      <c r="V1" s="132"/>
      <c r="W1" s="132"/>
    </row>
    <row r="2" spans="1:23" ht="36" customHeight="1" x14ac:dyDescent="0.3">
      <c r="A2" s="128" t="s">
        <v>69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30"/>
      <c r="O2" s="131"/>
      <c r="P2" s="132"/>
      <c r="Q2" s="132"/>
      <c r="R2" s="132"/>
      <c r="S2" s="132"/>
      <c r="T2" s="132"/>
      <c r="U2" s="132"/>
      <c r="V2" s="132"/>
      <c r="W2" s="132"/>
    </row>
    <row r="3" spans="1:23" ht="36" customHeight="1" x14ac:dyDescent="0.3">
      <c r="A3" s="128"/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30"/>
      <c r="O3" s="131"/>
      <c r="P3" s="132"/>
      <c r="Q3" s="132"/>
      <c r="R3" s="132"/>
      <c r="S3" s="132"/>
      <c r="T3" s="132"/>
      <c r="U3" s="132"/>
      <c r="V3" s="132"/>
      <c r="W3" s="132"/>
    </row>
    <row r="4" spans="1:23" ht="37.200000000000003" thickBot="1" x14ac:dyDescent="0.35">
      <c r="A4" s="125" t="s">
        <v>70</v>
      </c>
      <c r="B4" s="126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7"/>
      <c r="O4" s="131"/>
      <c r="P4" s="132"/>
      <c r="Q4" s="132"/>
      <c r="R4" s="132"/>
      <c r="S4" s="132"/>
      <c r="T4" s="132"/>
      <c r="U4" s="132"/>
      <c r="V4" s="132"/>
      <c r="W4" s="132"/>
    </row>
    <row r="5" spans="1:23" ht="66" thickBot="1" x14ac:dyDescent="0.35">
      <c r="A5" s="83" t="s">
        <v>0</v>
      </c>
      <c r="B5" s="82" t="s">
        <v>1</v>
      </c>
      <c r="C5" s="84" t="s">
        <v>2</v>
      </c>
      <c r="D5" s="84" t="s">
        <v>6</v>
      </c>
      <c r="E5" s="85" t="s">
        <v>54</v>
      </c>
      <c r="F5" s="86" t="s">
        <v>62</v>
      </c>
      <c r="G5" s="87" t="s">
        <v>55</v>
      </c>
      <c r="H5" s="81" t="s">
        <v>48</v>
      </c>
      <c r="I5" s="85" t="s">
        <v>56</v>
      </c>
      <c r="J5" s="85" t="s">
        <v>57</v>
      </c>
      <c r="K5" s="85" t="s">
        <v>71</v>
      </c>
      <c r="L5" s="85" t="s">
        <v>63</v>
      </c>
      <c r="M5" s="85" t="s">
        <v>58</v>
      </c>
      <c r="N5" s="88" t="s">
        <v>59</v>
      </c>
    </row>
    <row r="6" spans="1:23" ht="60" customHeight="1" thickBot="1" x14ac:dyDescent="0.35">
      <c r="A6" s="79"/>
      <c r="B6" s="71"/>
      <c r="C6" s="72"/>
      <c r="D6" s="72"/>
      <c r="E6" s="73"/>
      <c r="F6" s="78"/>
      <c r="G6" s="73"/>
      <c r="H6" s="73"/>
      <c r="I6" s="74"/>
      <c r="J6" s="75"/>
      <c r="K6" s="76"/>
      <c r="L6" s="89"/>
      <c r="M6" s="77"/>
      <c r="N6" s="80"/>
    </row>
  </sheetData>
  <mergeCells count="4">
    <mergeCell ref="A1:N1"/>
    <mergeCell ref="A4:N4"/>
    <mergeCell ref="A2:N3"/>
    <mergeCell ref="O1:W4"/>
  </mergeCells>
  <pageMargins left="0.23622047244094491" right="0.23622047244094491" top="0" bottom="0.74803149606299213" header="0.31496062992125984" footer="0.31496062992125984"/>
  <pageSetup paperSize="9" scale="37" fitToHeight="0" orientation="portrait" r:id="rId1"/>
  <headerFooter>
    <oddFooter>&amp;L&amp;14Impressão: &amp;D - &amp;T&amp;C&amp;"-,Negrito"&amp;16Data: ____/____/____ Ass.: ______________________________________________________&amp;R&amp;14Página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1403908" r:id="rId4" name="btnConferirCompra_Exportar">
          <controlPr locked="0" defaultSize="0" print="0" autoLine="0" r:id="rId5">
            <anchor moveWithCells="1">
              <from>
                <xdr:col>18</xdr:col>
                <xdr:colOff>198120</xdr:colOff>
                <xdr:row>2</xdr:row>
                <xdr:rowOff>297180</xdr:rowOff>
              </from>
              <to>
                <xdr:col>22</xdr:col>
                <xdr:colOff>68580</xdr:colOff>
                <xdr:row>3</xdr:row>
                <xdr:rowOff>327660</xdr:rowOff>
              </to>
            </anchor>
          </controlPr>
        </control>
      </mc:Choice>
      <mc:Fallback>
        <control shapeId="1403908" r:id="rId4" name="btnConferirCompra_Exportar"/>
      </mc:Fallback>
    </mc:AlternateContent>
    <mc:AlternateContent xmlns:mc="http://schemas.openxmlformats.org/markup-compatibility/2006">
      <mc:Choice Requires="x14">
        <control shapeId="1403907" r:id="rId6" name="btnConferirCompra_Imprimir">
          <controlPr locked="0" defaultSize="0" print="0" autoLine="0" r:id="rId7">
            <anchor moveWithCells="1">
              <from>
                <xdr:col>18</xdr:col>
                <xdr:colOff>198120</xdr:colOff>
                <xdr:row>0</xdr:row>
                <xdr:rowOff>83820</xdr:rowOff>
              </from>
              <to>
                <xdr:col>22</xdr:col>
                <xdr:colOff>68580</xdr:colOff>
                <xdr:row>1</xdr:row>
                <xdr:rowOff>121920</xdr:rowOff>
              </to>
            </anchor>
          </controlPr>
        </control>
      </mc:Choice>
      <mc:Fallback>
        <control shapeId="1403907" r:id="rId6" name="btnConferirCompra_Imprimir"/>
      </mc:Fallback>
    </mc:AlternateContent>
    <mc:AlternateContent xmlns:mc="http://schemas.openxmlformats.org/markup-compatibility/2006">
      <mc:Choice Requires="x14">
        <control shapeId="1403906" r:id="rId8" name="btnConferirCompra_Importar">
          <controlPr locked="0" defaultSize="0" print="0" autoLine="0" r:id="rId9">
            <anchor moveWithCells="1">
              <from>
                <xdr:col>14</xdr:col>
                <xdr:colOff>190500</xdr:colOff>
                <xdr:row>2</xdr:row>
                <xdr:rowOff>297180</xdr:rowOff>
              </from>
              <to>
                <xdr:col>18</xdr:col>
                <xdr:colOff>60960</xdr:colOff>
                <xdr:row>3</xdr:row>
                <xdr:rowOff>327660</xdr:rowOff>
              </to>
            </anchor>
          </controlPr>
        </control>
      </mc:Choice>
      <mc:Fallback>
        <control shapeId="1403906" r:id="rId8" name="btnConferirCompra_Importar"/>
      </mc:Fallback>
    </mc:AlternateContent>
    <mc:AlternateContent xmlns:mc="http://schemas.openxmlformats.org/markup-compatibility/2006">
      <mc:Choice Requires="x14">
        <control shapeId="1403905" r:id="rId10" name="btnConferirCompra_Voltar">
          <controlPr locked="0" defaultSize="0" print="0" autoLine="0" r:id="rId11">
            <anchor moveWithCells="1">
              <from>
                <xdr:col>14</xdr:col>
                <xdr:colOff>190500</xdr:colOff>
                <xdr:row>0</xdr:row>
                <xdr:rowOff>83820</xdr:rowOff>
              </from>
              <to>
                <xdr:col>18</xdr:col>
                <xdr:colOff>60960</xdr:colOff>
                <xdr:row>1</xdr:row>
                <xdr:rowOff>121920</xdr:rowOff>
              </to>
            </anchor>
          </controlPr>
        </control>
      </mc:Choice>
      <mc:Fallback>
        <control shapeId="1403905" r:id="rId10" name="btnConferirCompra_Voltar"/>
      </mc:Fallback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2">
    <tabColor rgb="FF7030A0"/>
  </sheetPr>
  <dimension ref="A1:D54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4" sqref="A54"/>
    </sheetView>
  </sheetViews>
  <sheetFormatPr defaultRowHeight="14.4" x14ac:dyDescent="0.3"/>
  <cols>
    <col min="1" max="1" width="72.88671875" bestFit="1" customWidth="1"/>
    <col min="2" max="2" width="67.44140625" bestFit="1" customWidth="1"/>
    <col min="3" max="3" width="125.33203125" bestFit="1" customWidth="1"/>
    <col min="4" max="4" width="11.109375" customWidth="1"/>
  </cols>
  <sheetData>
    <row r="1" spans="1:4" ht="47.25" customHeight="1" x14ac:dyDescent="0.3">
      <c r="A1" s="132"/>
      <c r="B1" s="132"/>
      <c r="C1" s="132"/>
      <c r="D1" s="18"/>
    </row>
    <row r="2" spans="1:4" ht="21" x14ac:dyDescent="0.3">
      <c r="A2" s="19" t="s">
        <v>26</v>
      </c>
      <c r="B2" s="20" t="s">
        <v>27</v>
      </c>
      <c r="C2" s="19" t="s">
        <v>28</v>
      </c>
      <c r="D2" s="110" t="s">
        <v>72</v>
      </c>
    </row>
    <row r="3" spans="1:4" ht="18" x14ac:dyDescent="0.3">
      <c r="A3" s="91" t="s">
        <v>75</v>
      </c>
      <c r="B3" s="90">
        <v>60</v>
      </c>
      <c r="C3" s="90" t="s">
        <v>76</v>
      </c>
      <c r="D3" s="111"/>
    </row>
    <row r="4" spans="1:4" ht="18" x14ac:dyDescent="0.3">
      <c r="A4" s="91" t="s">
        <v>77</v>
      </c>
      <c r="B4" s="90" t="b">
        <v>0</v>
      </c>
      <c r="C4" s="90" t="s">
        <v>184</v>
      </c>
      <c r="D4" s="111"/>
    </row>
    <row r="5" spans="1:4" ht="18" x14ac:dyDescent="0.3">
      <c r="A5" s="91" t="s">
        <v>78</v>
      </c>
      <c r="B5" s="90"/>
      <c r="C5" s="90" t="s">
        <v>185</v>
      </c>
      <c r="D5" s="111"/>
    </row>
    <row r="6" spans="1:4" ht="360" x14ac:dyDescent="0.3">
      <c r="A6" s="91" t="s">
        <v>79</v>
      </c>
      <c r="B6" s="115" t="s">
        <v>80</v>
      </c>
      <c r="C6" s="90" t="s">
        <v>81</v>
      </c>
      <c r="D6" s="111"/>
    </row>
    <row r="7" spans="1:4" ht="18" x14ac:dyDescent="0.3">
      <c r="A7" s="91" t="s">
        <v>82</v>
      </c>
      <c r="B7" s="90">
        <v>3</v>
      </c>
      <c r="C7" s="90" t="s">
        <v>83</v>
      </c>
      <c r="D7" s="111"/>
    </row>
    <row r="8" spans="1:4" ht="18" x14ac:dyDescent="0.3">
      <c r="A8" s="91" t="s">
        <v>84</v>
      </c>
      <c r="B8" s="90" t="b">
        <v>1</v>
      </c>
      <c r="C8" s="90" t="s">
        <v>85</v>
      </c>
      <c r="D8" s="111"/>
    </row>
    <row r="9" spans="1:4" ht="18" x14ac:dyDescent="0.3">
      <c r="A9" s="91" t="s">
        <v>86</v>
      </c>
      <c r="B9" s="90">
        <v>120</v>
      </c>
      <c r="C9" s="90" t="s">
        <v>87</v>
      </c>
      <c r="D9" s="111"/>
    </row>
    <row r="10" spans="1:4" ht="18" x14ac:dyDescent="0.3">
      <c r="A10" s="91" t="s">
        <v>29</v>
      </c>
      <c r="B10" s="90" t="s">
        <v>53</v>
      </c>
      <c r="C10" s="90" t="s">
        <v>30</v>
      </c>
      <c r="D10" s="111" t="s">
        <v>73</v>
      </c>
    </row>
    <row r="11" spans="1:4" ht="18" x14ac:dyDescent="0.3">
      <c r="A11" s="91" t="s">
        <v>88</v>
      </c>
      <c r="B11" s="90" t="s">
        <v>25</v>
      </c>
      <c r="C11" s="90" t="s">
        <v>89</v>
      </c>
      <c r="D11" s="111"/>
    </row>
    <row r="12" spans="1:4" ht="18" x14ac:dyDescent="0.3">
      <c r="A12" s="91" t="s">
        <v>90</v>
      </c>
      <c r="B12" s="90">
        <v>17</v>
      </c>
      <c r="C12" s="90" t="s">
        <v>91</v>
      </c>
      <c r="D12" s="111"/>
    </row>
    <row r="13" spans="1:4" ht="18" x14ac:dyDescent="0.3">
      <c r="A13" s="91" t="s">
        <v>92</v>
      </c>
      <c r="B13" s="90">
        <v>29</v>
      </c>
      <c r="C13" s="90" t="s">
        <v>93</v>
      </c>
      <c r="D13" s="111"/>
    </row>
    <row r="14" spans="1:4" ht="18" x14ac:dyDescent="0.3">
      <c r="A14" s="91" t="s">
        <v>94</v>
      </c>
      <c r="B14" s="90">
        <v>3</v>
      </c>
      <c r="C14" s="90" t="s">
        <v>95</v>
      </c>
      <c r="D14" s="111"/>
    </row>
    <row r="15" spans="1:4" ht="18" x14ac:dyDescent="0.3">
      <c r="A15" s="91" t="s">
        <v>96</v>
      </c>
      <c r="B15" s="90">
        <v>12</v>
      </c>
      <c r="C15" s="90" t="s">
        <v>97</v>
      </c>
      <c r="D15" s="111"/>
    </row>
    <row r="16" spans="1:4" ht="18" x14ac:dyDescent="0.3">
      <c r="A16" s="91" t="s">
        <v>98</v>
      </c>
      <c r="B16" s="90">
        <v>24</v>
      </c>
      <c r="C16" s="90" t="s">
        <v>99</v>
      </c>
      <c r="D16" s="111"/>
    </row>
    <row r="17" spans="1:4" ht="18" x14ac:dyDescent="0.3">
      <c r="A17" s="91" t="s">
        <v>100</v>
      </c>
      <c r="B17" s="90" t="b">
        <v>1</v>
      </c>
      <c r="C17" s="90" t="s">
        <v>101</v>
      </c>
      <c r="D17" s="111"/>
    </row>
    <row r="18" spans="1:4" ht="18" x14ac:dyDescent="0.3">
      <c r="A18" s="91" t="s">
        <v>102</v>
      </c>
      <c r="B18" s="90" t="s">
        <v>103</v>
      </c>
      <c r="C18" s="90" t="s">
        <v>104</v>
      </c>
      <c r="D18" s="111"/>
    </row>
    <row r="19" spans="1:4" ht="18" x14ac:dyDescent="0.3">
      <c r="A19" s="91" t="s">
        <v>105</v>
      </c>
      <c r="B19" s="90">
        <v>50</v>
      </c>
      <c r="C19" s="90" t="s">
        <v>106</v>
      </c>
      <c r="D19" s="111"/>
    </row>
    <row r="20" spans="1:4" ht="18" x14ac:dyDescent="0.3">
      <c r="A20" s="91" t="s">
        <v>107</v>
      </c>
      <c r="B20" s="90" t="s">
        <v>108</v>
      </c>
      <c r="C20" s="90" t="s">
        <v>186</v>
      </c>
      <c r="D20" s="111"/>
    </row>
    <row r="21" spans="1:4" ht="18" x14ac:dyDescent="0.3">
      <c r="A21" s="91" t="s">
        <v>109</v>
      </c>
      <c r="B21" s="90"/>
      <c r="C21" s="90" t="s">
        <v>187</v>
      </c>
      <c r="D21" s="111"/>
    </row>
    <row r="22" spans="1:4" ht="18" x14ac:dyDescent="0.3">
      <c r="A22" s="91" t="s">
        <v>110</v>
      </c>
      <c r="B22" s="90" t="s">
        <v>111</v>
      </c>
      <c r="C22" s="90" t="s">
        <v>188</v>
      </c>
      <c r="D22" s="111"/>
    </row>
    <row r="23" spans="1:4" ht="18" x14ac:dyDescent="0.3">
      <c r="A23" s="91" t="s">
        <v>112</v>
      </c>
      <c r="B23" s="90" t="s">
        <v>113</v>
      </c>
      <c r="C23" s="90" t="s">
        <v>189</v>
      </c>
      <c r="D23" s="111"/>
    </row>
    <row r="24" spans="1:4" ht="18" x14ac:dyDescent="0.3">
      <c r="A24" s="91" t="s">
        <v>114</v>
      </c>
      <c r="B24" s="90" t="s">
        <v>115</v>
      </c>
      <c r="C24" s="90" t="s">
        <v>116</v>
      </c>
      <c r="D24" s="111"/>
    </row>
    <row r="25" spans="1:4" ht="18" x14ac:dyDescent="0.3">
      <c r="A25" s="91" t="s">
        <v>117</v>
      </c>
      <c r="B25" s="90" t="s">
        <v>118</v>
      </c>
      <c r="C25" s="90" t="s">
        <v>119</v>
      </c>
      <c r="D25" s="111"/>
    </row>
    <row r="26" spans="1:4" ht="18" x14ac:dyDescent="0.3">
      <c r="A26" s="91" t="s">
        <v>120</v>
      </c>
      <c r="B26" s="90" t="b">
        <v>0</v>
      </c>
      <c r="C26" s="90" t="s">
        <v>121</v>
      </c>
      <c r="D26" s="111"/>
    </row>
    <row r="27" spans="1:4" ht="18" x14ac:dyDescent="0.3">
      <c r="A27" s="91" t="s">
        <v>122</v>
      </c>
      <c r="B27" s="90"/>
      <c r="C27" s="90" t="s">
        <v>190</v>
      </c>
      <c r="D27" s="111"/>
    </row>
    <row r="28" spans="1:4" ht="18" x14ac:dyDescent="0.3">
      <c r="A28" s="91" t="s">
        <v>123</v>
      </c>
      <c r="B28" s="90" t="s">
        <v>124</v>
      </c>
      <c r="C28" s="90" t="s">
        <v>125</v>
      </c>
      <c r="D28" s="111"/>
    </row>
    <row r="29" spans="1:4" ht="18" x14ac:dyDescent="0.3">
      <c r="A29" s="91" t="s">
        <v>126</v>
      </c>
      <c r="B29" s="90">
        <v>54.62</v>
      </c>
      <c r="C29" s="90" t="s">
        <v>127</v>
      </c>
      <c r="D29" s="111"/>
    </row>
    <row r="30" spans="1:4" ht="18" x14ac:dyDescent="0.3">
      <c r="A30" s="91" t="s">
        <v>128</v>
      </c>
      <c r="B30" s="112"/>
      <c r="C30" s="90" t="s">
        <v>191</v>
      </c>
      <c r="D30" s="111"/>
    </row>
    <row r="31" spans="1:4" ht="18" x14ac:dyDescent="0.3">
      <c r="A31" s="91" t="s">
        <v>129</v>
      </c>
      <c r="B31" s="90" t="s">
        <v>130</v>
      </c>
      <c r="C31" s="90" t="s">
        <v>131</v>
      </c>
      <c r="D31" s="111"/>
    </row>
    <row r="32" spans="1:4" ht="18" x14ac:dyDescent="0.3">
      <c r="A32" s="91" t="s">
        <v>132</v>
      </c>
      <c r="B32" s="90" t="s">
        <v>4</v>
      </c>
      <c r="C32" s="90" t="s">
        <v>133</v>
      </c>
      <c r="D32" s="111"/>
    </row>
    <row r="33" spans="1:4" ht="18" x14ac:dyDescent="0.3">
      <c r="A33" s="91" t="s">
        <v>134</v>
      </c>
      <c r="B33" s="90" t="b">
        <v>0</v>
      </c>
      <c r="C33" s="90" t="s">
        <v>192</v>
      </c>
      <c r="D33" s="111"/>
    </row>
    <row r="34" spans="1:4" ht="18" x14ac:dyDescent="0.3">
      <c r="A34" s="91" t="s">
        <v>135</v>
      </c>
      <c r="B34" s="90" t="b">
        <v>0</v>
      </c>
      <c r="C34" s="90" t="s">
        <v>193</v>
      </c>
      <c r="D34" s="111"/>
    </row>
    <row r="35" spans="1:4" ht="18" x14ac:dyDescent="0.3">
      <c r="A35" s="91" t="s">
        <v>136</v>
      </c>
      <c r="B35" s="90" t="s">
        <v>137</v>
      </c>
      <c r="C35" s="90" t="s">
        <v>138</v>
      </c>
      <c r="D35" s="111"/>
    </row>
    <row r="36" spans="1:4" ht="18" x14ac:dyDescent="0.3">
      <c r="A36" s="91" t="s">
        <v>139</v>
      </c>
      <c r="B36" s="90" t="b">
        <v>0</v>
      </c>
      <c r="C36" s="90" t="s">
        <v>194</v>
      </c>
      <c r="D36" s="111"/>
    </row>
    <row r="37" spans="1:4" ht="18" x14ac:dyDescent="0.3">
      <c r="A37" s="91" t="s">
        <v>140</v>
      </c>
      <c r="B37" s="90" t="s">
        <v>141</v>
      </c>
      <c r="C37" s="90" t="s">
        <v>142</v>
      </c>
      <c r="D37" s="111"/>
    </row>
    <row r="38" spans="1:4" ht="18" x14ac:dyDescent="0.3">
      <c r="A38" s="91" t="s">
        <v>143</v>
      </c>
      <c r="B38" s="90" t="s">
        <v>144</v>
      </c>
      <c r="C38" s="90" t="s">
        <v>145</v>
      </c>
      <c r="D38" s="111"/>
    </row>
    <row r="39" spans="1:4" ht="18" x14ac:dyDescent="0.3">
      <c r="A39" s="91" t="s">
        <v>146</v>
      </c>
      <c r="B39" s="90" t="s">
        <v>147</v>
      </c>
      <c r="C39" s="90" t="s">
        <v>148</v>
      </c>
      <c r="D39" s="111"/>
    </row>
    <row r="40" spans="1:4" ht="18" x14ac:dyDescent="0.3">
      <c r="A40" s="91" t="s">
        <v>149</v>
      </c>
      <c r="B40" s="90">
        <v>1</v>
      </c>
      <c r="C40" s="90" t="s">
        <v>150</v>
      </c>
      <c r="D40" s="111"/>
    </row>
    <row r="41" spans="1:4" ht="18" x14ac:dyDescent="0.3">
      <c r="A41" s="91" t="s">
        <v>151</v>
      </c>
      <c r="B41" s="90">
        <v>3</v>
      </c>
      <c r="C41" s="90" t="s">
        <v>152</v>
      </c>
      <c r="D41" s="111"/>
    </row>
    <row r="42" spans="1:4" ht="18" x14ac:dyDescent="0.3">
      <c r="A42" s="91" t="s">
        <v>153</v>
      </c>
      <c r="B42" s="90">
        <v>6</v>
      </c>
      <c r="C42" s="90" t="s">
        <v>154</v>
      </c>
      <c r="D42" s="111"/>
    </row>
    <row r="43" spans="1:4" ht="18" x14ac:dyDescent="0.3">
      <c r="A43" s="91" t="s">
        <v>155</v>
      </c>
      <c r="B43" s="90">
        <v>4</v>
      </c>
      <c r="C43" s="90" t="s">
        <v>156</v>
      </c>
      <c r="D43" s="111"/>
    </row>
    <row r="44" spans="1:4" ht="18" x14ac:dyDescent="0.3">
      <c r="A44" s="91" t="s">
        <v>157</v>
      </c>
      <c r="B44" s="90">
        <v>8</v>
      </c>
      <c r="C44" s="90" t="s">
        <v>158</v>
      </c>
      <c r="D44" s="111"/>
    </row>
    <row r="45" spans="1:4" ht="18" x14ac:dyDescent="0.3">
      <c r="A45" s="91" t="s">
        <v>159</v>
      </c>
      <c r="B45" s="90" t="s">
        <v>160</v>
      </c>
      <c r="C45" s="90" t="s">
        <v>161</v>
      </c>
      <c r="D45" s="111"/>
    </row>
    <row r="46" spans="1:4" ht="18" x14ac:dyDescent="0.3">
      <c r="A46" s="91" t="s">
        <v>162</v>
      </c>
      <c r="B46" s="90" t="b">
        <v>0</v>
      </c>
      <c r="C46" s="90" t="s">
        <v>163</v>
      </c>
      <c r="D46" s="111"/>
    </row>
    <row r="47" spans="1:4" ht="18" x14ac:dyDescent="0.3">
      <c r="A47" s="91" t="s">
        <v>164</v>
      </c>
      <c r="B47" s="90" t="s">
        <v>165</v>
      </c>
      <c r="C47" s="90" t="s">
        <v>195</v>
      </c>
      <c r="D47" s="111"/>
    </row>
    <row r="48" spans="1:4" ht="18" x14ac:dyDescent="0.3">
      <c r="A48" s="91" t="s">
        <v>166</v>
      </c>
      <c r="B48" s="90" t="s">
        <v>167</v>
      </c>
      <c r="C48" s="90" t="s">
        <v>168</v>
      </c>
      <c r="D48" s="111"/>
    </row>
    <row r="49" spans="1:4" ht="18" x14ac:dyDescent="0.3">
      <c r="A49" s="91" t="s">
        <v>169</v>
      </c>
      <c r="B49" s="90" t="s">
        <v>170</v>
      </c>
      <c r="C49" s="90" t="s">
        <v>171</v>
      </c>
      <c r="D49" s="111"/>
    </row>
    <row r="50" spans="1:4" ht="18" x14ac:dyDescent="0.3">
      <c r="A50" s="91" t="s">
        <v>172</v>
      </c>
      <c r="B50" s="90">
        <v>-1</v>
      </c>
      <c r="C50" s="90" t="s">
        <v>196</v>
      </c>
      <c r="D50" s="111"/>
    </row>
    <row r="51" spans="1:4" ht="18" x14ac:dyDescent="0.3">
      <c r="A51" s="91" t="s">
        <v>173</v>
      </c>
      <c r="B51" s="90" t="s">
        <v>174</v>
      </c>
      <c r="C51" s="90" t="s">
        <v>175</v>
      </c>
      <c r="D51" s="111"/>
    </row>
    <row r="52" spans="1:4" ht="18" x14ac:dyDescent="0.3">
      <c r="A52" s="91" t="s">
        <v>176</v>
      </c>
      <c r="B52" s="90" t="s">
        <v>177</v>
      </c>
      <c r="C52" s="90" t="s">
        <v>178</v>
      </c>
      <c r="D52" s="111"/>
    </row>
    <row r="53" spans="1:4" ht="18" x14ac:dyDescent="0.3">
      <c r="A53" s="91" t="s">
        <v>179</v>
      </c>
      <c r="B53" s="90" t="s">
        <v>180</v>
      </c>
      <c r="C53" s="90" t="s">
        <v>181</v>
      </c>
      <c r="D53" s="111"/>
    </row>
    <row r="54" spans="1:4" ht="18" x14ac:dyDescent="0.3">
      <c r="A54" s="91" t="s">
        <v>182</v>
      </c>
      <c r="B54" s="90">
        <v>2019</v>
      </c>
      <c r="C54" s="90" t="s">
        <v>183</v>
      </c>
      <c r="D54" s="111"/>
    </row>
  </sheetData>
  <sortState xmlns:xlrd2="http://schemas.microsoft.com/office/spreadsheetml/2017/richdata2" ref="A3:D54">
    <sortCondition ref="A2:A54"/>
  </sortState>
  <dataConsolidate/>
  <mergeCells count="1">
    <mergeCell ref="A1:C1"/>
  </mergeCells>
  <conditionalFormatting sqref="A3:A54">
    <cfRule type="duplicateValues" dxfId="47" priority="1682"/>
  </conditionalFormatting>
  <dataValidations disablePrompts="1" count="1">
    <dataValidation type="list" allowBlank="1" showInputMessage="1" showErrorMessage="1" sqref="D3:D54" xr:uid="{00000000-0002-0000-0700-000000000000}">
      <formula1>"X"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6744" r:id="rId4" name="btn_Parâmetros_Atua">
          <controlPr defaultSize="0" autoLine="0" r:id="rId5">
            <anchor moveWithCells="1">
              <from>
                <xdr:col>1</xdr:col>
                <xdr:colOff>1432560</xdr:colOff>
                <xdr:row>0</xdr:row>
                <xdr:rowOff>68580</xdr:rowOff>
              </from>
              <to>
                <xdr:col>1</xdr:col>
                <xdr:colOff>4221480</xdr:colOff>
                <xdr:row>0</xdr:row>
                <xdr:rowOff>518160</xdr:rowOff>
              </to>
            </anchor>
          </controlPr>
        </control>
      </mc:Choice>
      <mc:Fallback>
        <control shapeId="626744" r:id="rId4" name="btn_Parâmetros_Atua"/>
      </mc:Fallback>
    </mc:AlternateContent>
    <mc:AlternateContent xmlns:mc="http://schemas.openxmlformats.org/markup-compatibility/2006">
      <mc:Choice Requires="x14">
        <control shapeId="626743" r:id="rId6" name="btn_Parâmetros_Abrir">
          <controlPr defaultSize="0" autoLine="0" r:id="rId7">
            <anchor moveWithCells="1">
              <from>
                <xdr:col>0</xdr:col>
                <xdr:colOff>3238500</xdr:colOff>
                <xdr:row>0</xdr:row>
                <xdr:rowOff>68580</xdr:rowOff>
              </from>
              <to>
                <xdr:col>1</xdr:col>
                <xdr:colOff>1028700</xdr:colOff>
                <xdr:row>0</xdr:row>
                <xdr:rowOff>518160</xdr:rowOff>
              </to>
            </anchor>
          </controlPr>
        </control>
      </mc:Choice>
      <mc:Fallback>
        <control shapeId="626743" r:id="rId6" name="btn_Parâmetros_Abrir"/>
      </mc:Fallback>
    </mc:AlternateContent>
    <mc:AlternateContent xmlns:mc="http://schemas.openxmlformats.org/markup-compatibility/2006">
      <mc:Choice Requires="x14">
        <control shapeId="626689" r:id="rId8" name="btn_Parâmetros_Reordenar">
          <controlPr defaultSize="0" autoLine="0" r:id="rId9">
            <anchor moveWithCells="1">
              <from>
                <xdr:col>0</xdr:col>
                <xdr:colOff>190500</xdr:colOff>
                <xdr:row>0</xdr:row>
                <xdr:rowOff>68580</xdr:rowOff>
              </from>
              <to>
                <xdr:col>0</xdr:col>
                <xdr:colOff>2979420</xdr:colOff>
                <xdr:row>0</xdr:row>
                <xdr:rowOff>518160</xdr:rowOff>
              </to>
            </anchor>
          </controlPr>
        </control>
      </mc:Choice>
      <mc:Fallback>
        <control shapeId="626689" r:id="rId8" name="btn_Parâmetros_Reordenar"/>
      </mc:Fallback>
    </mc:AlternateContent>
  </controls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06"/>
  <dimension ref="A1:D3"/>
  <sheetViews>
    <sheetView workbookViewId="0">
      <pane ySplit="1" topLeftCell="A2" activePane="bottomLeft" state="frozen"/>
      <selection pane="bottomLeft" activeCell="A3" sqref="A3"/>
    </sheetView>
  </sheetViews>
  <sheetFormatPr defaultRowHeight="14.4" x14ac:dyDescent="0.3"/>
  <cols>
    <col min="1" max="1" width="12.88671875" style="1" customWidth="1"/>
    <col min="2" max="2" width="17.6640625" customWidth="1"/>
    <col min="3" max="3" width="20.88671875" customWidth="1"/>
    <col min="4" max="4" width="14.6640625" bestFit="1" customWidth="1"/>
  </cols>
  <sheetData>
    <row r="1" spans="1:4" ht="27.75" customHeight="1" x14ac:dyDescent="0.3">
      <c r="A1" s="7" t="s">
        <v>21</v>
      </c>
      <c r="B1" s="28" t="s">
        <v>40</v>
      </c>
      <c r="C1" s="7" t="s">
        <v>41</v>
      </c>
      <c r="D1" s="7" t="s">
        <v>42</v>
      </c>
    </row>
    <row r="2" spans="1:4" x14ac:dyDescent="0.3">
      <c r="A2" s="113"/>
      <c r="B2" s="114"/>
      <c r="C2" s="102">
        <f>IF(ISBLANK(tabRCsGeradas[[#This Row],[RC]]),0,SUMIF(#REF!,tabRCsGeradas[[#This Row],[RC]],#REF!))</f>
        <v>0</v>
      </c>
      <c r="D2" s="103" t="str">
        <f>IF(tabRCsGeradas[[#This Row],[VALOR]] &lt;&gt; tabRCsGeradas[[#This Row],[Assinatura]],"&lt;&lt;&lt;&lt;","")</f>
        <v/>
      </c>
    </row>
    <row r="3" spans="1:4" x14ac:dyDescent="0.3">
      <c r="A3" s="2"/>
      <c r="B3" s="1">
        <f>SUBTOTAL(109,tabRCsGeradas[VALOR])</f>
        <v>0</v>
      </c>
      <c r="C3" s="1">
        <f>SUBTOTAL(109,tabRCsGeradas[Assinatura])</f>
        <v>0</v>
      </c>
    </row>
  </sheetData>
  <dataConsolidate/>
  <conditionalFormatting sqref="C2">
    <cfRule type="cellIs" dxfId="40" priority="1" operator="notEqual">
      <formula>$B2</formula>
    </cfRule>
  </conditionalFormatting>
  <dataValidations count="2">
    <dataValidation type="whole" operator="greaterThan" allowBlank="1" showInputMessage="1" showErrorMessage="1" sqref="A1:A2" xr:uid="{00000000-0002-0000-0900-000000000000}">
      <formula1>0</formula1>
    </dataValidation>
    <dataValidation type="decimal" operator="greaterThan" allowBlank="1" showInputMessage="1" showErrorMessage="1" sqref="B1:B2" xr:uid="{00000000-0002-0000-0900-000001000000}">
      <formula1>-1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09">
    <pageSetUpPr fitToPage="1"/>
  </sheetPr>
  <dimension ref="A1:L3"/>
  <sheetViews>
    <sheetView workbookViewId="0">
      <pane xSplit="12" ySplit="2" topLeftCell="M3" activePane="bottomRight" state="frozen"/>
      <selection pane="topRight" activeCell="L1" sqref="L1"/>
      <selection pane="bottomLeft" activeCell="A3" sqref="A3"/>
      <selection pane="bottomRight" activeCell="A3" sqref="A3"/>
    </sheetView>
  </sheetViews>
  <sheetFormatPr defaultRowHeight="14.4" x14ac:dyDescent="0.3"/>
  <cols>
    <col min="1" max="1" width="10" customWidth="1"/>
    <col min="2" max="2" width="10.109375" customWidth="1"/>
    <col min="3" max="3" width="13.6640625" customWidth="1"/>
    <col min="4" max="4" width="13.44140625" customWidth="1"/>
    <col min="5" max="5" width="10.44140625" customWidth="1"/>
    <col min="6" max="6" width="44.6640625" customWidth="1"/>
    <col min="7" max="7" width="10.5546875" bestFit="1" customWidth="1"/>
    <col min="8" max="8" width="27" customWidth="1"/>
    <col min="9" max="9" width="14.44140625" bestFit="1" customWidth="1"/>
    <col min="10" max="10" width="17.109375" customWidth="1"/>
    <col min="11" max="11" width="43.5546875" customWidth="1"/>
    <col min="12" max="12" width="16.88671875" bestFit="1" customWidth="1"/>
  </cols>
  <sheetData>
    <row r="1" spans="1:12" ht="49.5" customHeight="1" x14ac:dyDescent="0.3">
      <c r="A1" s="133" t="s">
        <v>65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</row>
    <row r="2" spans="1:12" x14ac:dyDescent="0.3">
      <c r="A2" s="31" t="s">
        <v>11</v>
      </c>
      <c r="B2" s="21" t="s">
        <v>10</v>
      </c>
      <c r="C2" s="21" t="s">
        <v>12</v>
      </c>
      <c r="D2" s="22" t="s">
        <v>13</v>
      </c>
      <c r="E2" s="23" t="s">
        <v>0</v>
      </c>
      <c r="F2" s="24" t="s">
        <v>1</v>
      </c>
      <c r="G2" s="24" t="s">
        <v>47</v>
      </c>
      <c r="H2" s="24" t="s">
        <v>3</v>
      </c>
      <c r="I2" s="30" t="s">
        <v>46</v>
      </c>
      <c r="J2" s="30" t="s">
        <v>44</v>
      </c>
      <c r="K2" s="30" t="s">
        <v>45</v>
      </c>
      <c r="L2" s="30" t="s">
        <v>43</v>
      </c>
    </row>
    <row r="3" spans="1:12" ht="15.6" x14ac:dyDescent="0.3">
      <c r="A3" s="36"/>
      <c r="B3" s="70"/>
      <c r="C3" s="37"/>
      <c r="D3" s="37"/>
      <c r="E3" s="37"/>
      <c r="F3" s="38"/>
      <c r="G3" s="39"/>
      <c r="H3" s="38"/>
      <c r="I3" s="40"/>
      <c r="J3" s="41"/>
      <c r="K3" s="41"/>
      <c r="L3" s="41"/>
    </row>
  </sheetData>
  <sortState xmlns:xlrd2="http://schemas.microsoft.com/office/spreadsheetml/2017/richdata2" ref="A3:L3">
    <sortCondition ref="H2:H3"/>
    <sortCondition ref="A2:A3"/>
    <sortCondition ref="B2:B3"/>
    <sortCondition ref="E2:E3"/>
  </sortState>
  <mergeCells count="1">
    <mergeCell ref="A1:L1"/>
  </mergeCells>
  <pageMargins left="0.23622047244094491" right="0.23622047244094491" top="0" bottom="0.39370078740157483" header="0.11811023622047245" footer="0.11811023622047245"/>
  <pageSetup paperSize="9" scale="61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786477" r:id="rId4" name="btn_VerificarAFsExportar">
          <controlPr defaultSize="0" print="0" autoLine="0" r:id="rId5">
            <anchor moveWithCells="1">
              <from>
                <xdr:col>2</xdr:col>
                <xdr:colOff>563880</xdr:colOff>
                <xdr:row>0</xdr:row>
                <xdr:rowOff>106680</xdr:rowOff>
              </from>
              <to>
                <xdr:col>4</xdr:col>
                <xdr:colOff>487680</xdr:colOff>
                <xdr:row>0</xdr:row>
                <xdr:rowOff>556260</xdr:rowOff>
              </to>
            </anchor>
          </controlPr>
        </control>
      </mc:Choice>
      <mc:Fallback>
        <control shapeId="786477" r:id="rId4" name="btn_VerificarAFsExportar"/>
      </mc:Fallback>
    </mc:AlternateContent>
    <mc:AlternateContent xmlns:mc="http://schemas.openxmlformats.org/markup-compatibility/2006">
      <mc:Choice Requires="x14">
        <control shapeId="786446" r:id="rId6" name="btn_VerificarAFsReordena">
          <controlPr defaultSize="0" print="0" autoLine="0" r:id="rId7">
            <anchor moveWithCells="1">
              <from>
                <xdr:col>0</xdr:col>
                <xdr:colOff>68580</xdr:colOff>
                <xdr:row>0</xdr:row>
                <xdr:rowOff>106680</xdr:rowOff>
              </from>
              <to>
                <xdr:col>2</xdr:col>
                <xdr:colOff>472440</xdr:colOff>
                <xdr:row>0</xdr:row>
                <xdr:rowOff>556260</xdr:rowOff>
              </to>
            </anchor>
          </controlPr>
        </control>
      </mc:Choice>
      <mc:Fallback>
        <control shapeId="786446" r:id="rId6" name="btn_VerificarAFsReordena"/>
      </mc:Fallback>
    </mc:AlternateContent>
    <mc:AlternateContent xmlns:mc="http://schemas.openxmlformats.org/markup-compatibility/2006">
      <mc:Choice Requires="x14">
        <control shapeId="786464" r:id="rId8" name="btn_VerificarAFsVoltar">
          <controlPr defaultSize="0" print="0" autoLine="0" r:id="rId9">
            <anchor moveWithCells="1">
              <from>
                <xdr:col>10</xdr:col>
                <xdr:colOff>1516380</xdr:colOff>
                <xdr:row>0</xdr:row>
                <xdr:rowOff>106680</xdr:rowOff>
              </from>
              <to>
                <xdr:col>11</xdr:col>
                <xdr:colOff>312420</xdr:colOff>
                <xdr:row>0</xdr:row>
                <xdr:rowOff>556260</xdr:rowOff>
              </to>
            </anchor>
          </controlPr>
        </control>
      </mc:Choice>
      <mc:Fallback>
        <control shapeId="786464" r:id="rId8" name="btn_VerificarAFsVoltar"/>
      </mc:Fallback>
    </mc:AlternateContent>
  </controls>
  <tableParts count="1"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pageSetUpPr fitToPage="1"/>
  </sheetPr>
  <dimension ref="A1:P3"/>
  <sheetViews>
    <sheetView workbookViewId="0">
      <pane xSplit="16" ySplit="2" topLeftCell="Q3" activePane="bottomRight" state="frozen"/>
      <selection pane="topRight" activeCell="O1" sqref="O1"/>
      <selection pane="bottomLeft" activeCell="A3" sqref="A3"/>
      <selection pane="bottomRight" activeCell="A3" sqref="A3"/>
    </sheetView>
  </sheetViews>
  <sheetFormatPr defaultRowHeight="14.4" x14ac:dyDescent="0.3"/>
  <cols>
    <col min="1" max="1" width="11.33203125" bestFit="1" customWidth="1"/>
    <col min="2" max="2" width="35.33203125" customWidth="1"/>
    <col min="3" max="4" width="4" customWidth="1"/>
    <col min="5" max="6" width="7.44140625" bestFit="1" customWidth="1"/>
    <col min="7" max="7" width="8" bestFit="1" customWidth="1"/>
    <col min="8" max="8" width="10.33203125" bestFit="1" customWidth="1"/>
    <col min="9" max="9" width="11.44140625" bestFit="1" customWidth="1"/>
    <col min="10" max="10" width="12.88671875" bestFit="1" customWidth="1"/>
    <col min="11" max="11" width="16.6640625" bestFit="1" customWidth="1"/>
    <col min="12" max="12" width="12.109375" bestFit="1" customWidth="1"/>
    <col min="13" max="13" width="15.88671875" customWidth="1"/>
    <col min="14" max="15" width="29" customWidth="1"/>
    <col min="16" max="16" width="2.109375" customWidth="1"/>
  </cols>
  <sheetData>
    <row r="1" spans="1:16" ht="89.25" customHeight="1" x14ac:dyDescent="0.3">
      <c r="A1" s="133" t="s">
        <v>64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</row>
    <row r="2" spans="1:16" x14ac:dyDescent="0.3">
      <c r="A2" s="32" t="s">
        <v>0</v>
      </c>
      <c r="B2" s="33" t="s">
        <v>1</v>
      </c>
      <c r="C2" s="33" t="s">
        <v>6</v>
      </c>
      <c r="D2" s="33" t="s">
        <v>7</v>
      </c>
      <c r="E2" s="32" t="s">
        <v>39</v>
      </c>
      <c r="F2" s="32" t="s">
        <v>49</v>
      </c>
      <c r="G2" s="21" t="s">
        <v>50</v>
      </c>
      <c r="H2" s="21" t="s">
        <v>51</v>
      </c>
      <c r="I2" s="22" t="s">
        <v>48</v>
      </c>
      <c r="J2" s="24" t="s">
        <v>47</v>
      </c>
      <c r="K2" s="24" t="s">
        <v>3</v>
      </c>
      <c r="L2" s="35" t="s">
        <v>46</v>
      </c>
      <c r="M2" s="35" t="s">
        <v>44</v>
      </c>
      <c r="N2" s="35" t="s">
        <v>45</v>
      </c>
      <c r="O2" s="34" t="s">
        <v>43</v>
      </c>
      <c r="P2" s="30" t="s">
        <v>52</v>
      </c>
    </row>
    <row r="3" spans="1:16" ht="15.6" x14ac:dyDescent="0.3">
      <c r="A3" s="92"/>
      <c r="B3" s="93"/>
      <c r="C3" s="94"/>
      <c r="D3" s="95"/>
      <c r="E3" s="100"/>
      <c r="F3" s="100"/>
      <c r="G3" s="101"/>
      <c r="H3" s="96"/>
      <c r="I3" s="92"/>
      <c r="J3" s="97"/>
      <c r="K3" s="93"/>
      <c r="L3" s="98"/>
      <c r="M3" s="93"/>
      <c r="N3" s="93"/>
      <c r="O3" s="93"/>
      <c r="P3" s="99"/>
    </row>
  </sheetData>
  <sortState xmlns:xlrd2="http://schemas.microsoft.com/office/spreadsheetml/2017/richdata2" ref="A3:P3">
    <sortCondition ref="B2:B3"/>
    <sortCondition ref="A2:A3"/>
    <sortCondition ref="E2:E3"/>
    <sortCondition ref="F2:F3"/>
    <sortCondition ref="G2:G3"/>
  </sortState>
  <dataConsolidate/>
  <mergeCells count="1">
    <mergeCell ref="A1:P1"/>
  </mergeCells>
  <dataValidations count="1">
    <dataValidation type="list" allowBlank="1" showInputMessage="1" showErrorMessage="1" sqref="E3" xr:uid="{00000000-0002-0000-0B00-000000000000}">
      <formula1>"ATA,AF,RC"</formula1>
    </dataValidation>
  </dataValidations>
  <pageMargins left="0.23622047244094491" right="0.23622047244094491" top="0" bottom="0.39370078740157483" header="0.11811023622047245" footer="0.11811023622047245"/>
  <pageSetup paperSize="9" scale="63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978081" r:id="rId4" name="btn_VerifRcAfFilC">
          <controlPr defaultSize="0" print="0" autoLine="0" r:id="rId5">
            <anchor moveWithCells="1">
              <from>
                <xdr:col>12</xdr:col>
                <xdr:colOff>830580</xdr:colOff>
                <xdr:row>0</xdr:row>
                <xdr:rowOff>259080</xdr:rowOff>
              </from>
              <to>
                <xdr:col>13</xdr:col>
                <xdr:colOff>1645920</xdr:colOff>
                <xdr:row>0</xdr:row>
                <xdr:rowOff>708660</xdr:rowOff>
              </to>
            </anchor>
          </controlPr>
        </control>
      </mc:Choice>
      <mc:Fallback>
        <control shapeId="978081" r:id="rId4" name="btn_VerifRcAfFilC"/>
      </mc:Fallback>
    </mc:AlternateContent>
    <mc:AlternateContent xmlns:mc="http://schemas.openxmlformats.org/markup-compatibility/2006">
      <mc:Choice Requires="x14">
        <control shapeId="977922" r:id="rId6" name="btn_VerifRcAfVol">
          <controlPr defaultSize="0" print="0" autoLine="0" r:id="rId7">
            <anchor moveWithCells="1">
              <from>
                <xdr:col>13</xdr:col>
                <xdr:colOff>1813560</xdr:colOff>
                <xdr:row>0</xdr:row>
                <xdr:rowOff>259080</xdr:rowOff>
              </from>
              <to>
                <xdr:col>14</xdr:col>
                <xdr:colOff>1729740</xdr:colOff>
                <xdr:row>0</xdr:row>
                <xdr:rowOff>708660</xdr:rowOff>
              </to>
            </anchor>
          </controlPr>
        </control>
      </mc:Choice>
      <mc:Fallback>
        <control shapeId="977922" r:id="rId6" name="btn_VerifRcAfVol"/>
      </mc:Fallback>
    </mc:AlternateContent>
    <mc:AlternateContent xmlns:mc="http://schemas.openxmlformats.org/markup-compatibility/2006">
      <mc:Choice Requires="x14">
        <control shapeId="977921" r:id="rId8" name="btn_VerifRcAfOrd">
          <controlPr defaultSize="0" print="0" autoLine="0" r:id="rId9">
            <anchor moveWithCells="1">
              <from>
                <xdr:col>0</xdr:col>
                <xdr:colOff>68580</xdr:colOff>
                <xdr:row>0</xdr:row>
                <xdr:rowOff>259080</xdr:rowOff>
              </from>
              <to>
                <xdr:col>1</xdr:col>
                <xdr:colOff>1196340</xdr:colOff>
                <xdr:row>0</xdr:row>
                <xdr:rowOff>708660</xdr:rowOff>
              </to>
            </anchor>
          </controlPr>
        </control>
      </mc:Choice>
      <mc:Fallback>
        <control shapeId="977921" r:id="rId8" name="btn_VerifRcAfOrd"/>
      </mc:Fallback>
    </mc:AlternateContent>
    <mc:AlternateContent xmlns:mc="http://schemas.openxmlformats.org/markup-compatibility/2006">
      <mc:Choice Requires="x14">
        <control shapeId="977994" r:id="rId10" name="btn_VerifRcAfExport">
          <controlPr defaultSize="0" print="0" autoLine="0" r:id="rId11">
            <anchor moveWithCells="1">
              <from>
                <xdr:col>1</xdr:col>
                <xdr:colOff>1341120</xdr:colOff>
                <xdr:row>0</xdr:row>
                <xdr:rowOff>259080</xdr:rowOff>
              </from>
              <to>
                <xdr:col>4</xdr:col>
                <xdr:colOff>274320</xdr:colOff>
                <xdr:row>0</xdr:row>
                <xdr:rowOff>708660</xdr:rowOff>
              </to>
            </anchor>
          </controlPr>
        </control>
      </mc:Choice>
      <mc:Fallback>
        <control shapeId="977994" r:id="rId10" name="btn_VerifRcAfExport"/>
      </mc:Fallback>
    </mc:AlternateContent>
  </controls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</vt:i4>
      </vt:variant>
    </vt:vector>
  </HeadingPairs>
  <TitlesOfParts>
    <vt:vector size="10" baseType="lpstr">
      <vt:lpstr>EstimativaDeAta</vt:lpstr>
      <vt:lpstr>ConferirCompra</vt:lpstr>
      <vt:lpstr>ParâmetrosFixos</vt:lpstr>
      <vt:lpstr>RCsGeradas</vt:lpstr>
      <vt:lpstr>VerificarAFs</vt:lpstr>
      <vt:lpstr>VerificarRCsAFs</vt:lpstr>
      <vt:lpstr>ConferirCompra!Titulos_de_impressao</vt:lpstr>
      <vt:lpstr>EstimativaDeAta!Titulos_de_impressao</vt:lpstr>
      <vt:lpstr>VerificarAFs!Titulos_de_impressao</vt:lpstr>
      <vt:lpstr>VerificarRCsAFs!Titulos_de_impressao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Marcos Vinicio Pereira</cp:lastModifiedBy>
  <cp:lastPrinted>2020-07-22T15:09:39Z</cp:lastPrinted>
  <dcterms:created xsi:type="dcterms:W3CDTF">2018-10-31T11:37:29Z</dcterms:created>
  <dcterms:modified xsi:type="dcterms:W3CDTF">2023-10-14T23:15:27Z</dcterms:modified>
</cp:coreProperties>
</file>